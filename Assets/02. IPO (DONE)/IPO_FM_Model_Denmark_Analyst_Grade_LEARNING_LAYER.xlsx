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DASHBOARD" sheetId="1" state="visible" r:id="rId1"/>
    <sheet xmlns:r="http://schemas.openxmlformats.org/officeDocument/2006/relationships" name="01_CONTROL" sheetId="2" state="visible" r:id="rId2"/>
    <sheet xmlns:r="http://schemas.openxmlformats.org/officeDocument/2006/relationships" name="02_COVER_AND_TOC" sheetId="3" state="visible" r:id="rId3"/>
    <sheet xmlns:r="http://schemas.openxmlformats.org/officeDocument/2006/relationships" name="03_HISTORICALS" sheetId="4" state="visible" r:id="rId4"/>
    <sheet xmlns:r="http://schemas.openxmlformats.org/officeDocument/2006/relationships" name="04_DRIVERS" sheetId="5" state="visible" r:id="rId5"/>
    <sheet xmlns:r="http://schemas.openxmlformats.org/officeDocument/2006/relationships" name="05_FORECAST" sheetId="6" state="visible" r:id="rId6"/>
    <sheet xmlns:r="http://schemas.openxmlformats.org/officeDocument/2006/relationships" name="06_VALUATION_COMPS" sheetId="7" state="visible" r:id="rId7"/>
    <sheet xmlns:r="http://schemas.openxmlformats.org/officeDocument/2006/relationships" name="07_VALUATION_DCF" sheetId="8" state="visible" r:id="rId8"/>
    <sheet xmlns:r="http://schemas.openxmlformats.org/officeDocument/2006/relationships" name="08_VALUATION_TRIANGULATION" sheetId="9" state="visible" r:id="rId9"/>
    <sheet xmlns:r="http://schemas.openxmlformats.org/officeDocument/2006/relationships" name="09_OFFER_STRUCTURE" sheetId="10" state="visible" r:id="rId10"/>
    <sheet xmlns:r="http://schemas.openxmlformats.org/officeDocument/2006/relationships" name="10_CAP_TABLE" sheetId="11" state="visible" r:id="rId11"/>
    <sheet xmlns:r="http://schemas.openxmlformats.org/officeDocument/2006/relationships" name="11_PRO_FORMA_BS" sheetId="12" state="visible" r:id="rId12"/>
    <sheet xmlns:r="http://schemas.openxmlformats.org/officeDocument/2006/relationships" name="12_USE_OF_PROCEEDS" sheetId="13" state="visible" r:id="rId13"/>
    <sheet xmlns:r="http://schemas.openxmlformats.org/officeDocument/2006/relationships" name="13_METRICS_AND_KPIS" sheetId="14" state="visible" r:id="rId14"/>
    <sheet xmlns:r="http://schemas.openxmlformats.org/officeDocument/2006/relationships" name="14_SENSITIVITIES" sheetId="15" state="visible" r:id="rId15"/>
    <sheet xmlns:r="http://schemas.openxmlformats.org/officeDocument/2006/relationships" name="80_IPO_LEARN_MAP" sheetId="16" state="visible" r:id="rId16"/>
    <sheet xmlns:r="http://schemas.openxmlformats.org/officeDocument/2006/relationships" name="81_IPO_LEARN_FORMULAS" sheetId="17" state="visible" r:id="rId17"/>
    <sheet xmlns:r="http://schemas.openxmlformats.org/officeDocument/2006/relationships" name="82_IPO_LEARN_INTERPRETATION" sheetId="18" state="visible" r:id="rId18"/>
    <sheet xmlns:r="http://schemas.openxmlformats.org/officeDocument/2006/relationships" name="83_IPO_LEARN_SCENARIOS" sheetId="19" state="visible" r:id="rId19"/>
    <sheet xmlns:r="http://schemas.openxmlformats.org/officeDocument/2006/relationships" name="84_IPO_LEARN_DRILLS" sheetId="20" state="visible" r:id="rId20"/>
    <sheet xmlns:r="http://schemas.openxmlformats.org/officeDocument/2006/relationships" name="85_IPO_LEARN_MISTAKES" sheetId="21" state="visible" r:id="rId21"/>
    <sheet xmlns:r="http://schemas.openxmlformats.org/officeDocument/2006/relationships" name="86_IPO_SPECIAL_MODULE" sheetId="22" state="visible" r:id="rId22"/>
    <sheet xmlns:r="http://schemas.openxmlformats.org/officeDocument/2006/relationships" name="90_CHECKS" sheetId="23" state="visible" r:id="rId23"/>
    <sheet xmlns:r="http://schemas.openxmlformats.org/officeDocument/2006/relationships" name="99_APPENDIX_DATA" sheetId="24" state="visible" r:id="rId24"/>
  </sheets>
  <definedNames>
    <definedName name="IPO_YEAR">'01_CONTROL'!$C$6</definedName>
    <definedName name="CTRL_SCEN">'01_CONTROL'!$C$14</definedName>
    <definedName name="CTRL_PX_CASE">'01_CONTROL'!$C$15</definedName>
    <definedName name="CTRL_VAL_METHOD">'01_CONTROL'!$C$16</definedName>
    <definedName name="CTRL_GS_ON">'01_CONTROL'!$C$17</definedName>
    <definedName name="CTRL_FEE_ALLOC">'01_CONTROL'!$C$18</definedName>
    <definedName name="CTRL_SEC_ALLOC">'01_CONTROL'!$C$19</definedName>
    <definedName name="IPO_PX_LOW">'01_CONTROL'!$C$24</definedName>
    <definedName name="IPO_PX_BASE">'01_CONTROL'!$C$25</definedName>
    <definedName name="IPO_PX_HIGH">'01_CONTROL'!$C$26</definedName>
    <definedName name="GROSS_PROCEEDS_BASE">'01_CONTROL'!$C$27</definedName>
    <definedName name="PRIMARY_PCT">'01_CONTROL'!$C$28</definedName>
    <definedName name="SECONDARY_PCT">'01_CONTROL'!$C$29</definedName>
    <definedName name="GS_PCT">'01_CONTROL'!$C$30</definedName>
    <definedName name="FEE_PCT">'01_CONTROL'!$C$31</definedName>
    <definedName name="OTHER_COSTS">'01_CONTROL'!$C$32</definedName>
    <definedName name="UOP_DEBT_PCT">'01_CONTROL'!$C$37</definedName>
    <definedName name="UOP_CASH_PCT">'01_CONTROL'!$C$38</definedName>
    <definedName name="UOP_GROWTH_PCT">'01_CONTROL'!$C$39</definedName>
    <definedName name="W_COMPS">'01_CONTROL'!$C$45</definedName>
    <definedName name="W_DCF">'01_CONTROL'!$C$46</definedName>
    <definedName name="WACC">'01_CONTROL'!$C$47</definedName>
    <definedName name="TERM_G">'01_CONTROL'!$C$48</definedName>
    <definedName name="TERM_METHOD">'01_CONTROL'!$C$49</definedName>
    <definedName name="EXIT_MULT">'01_CONTROL'!$C$50</definedName>
    <definedName name="IPO_PX_SEL">'01_CONTROL'!$C$56</definedName>
    <definedName name="LTM_REV">'05_FORECAST'!$F$52</definedName>
    <definedName name="NTM_REV">'05_FORECAST'!$F$53</definedName>
    <definedName name="LTM_EBITDA">'05_FORECAST'!$F$54</definedName>
    <definedName name="NTM_EBITDA">'05_FORECAST'!$F$55</definedName>
    <definedName name="NETDEBT_PRE">'05_FORECAST'!$F$56</definedName>
    <definedName name="NEW_PRIMARY_SHARES">'09_OFFER_STRUCTURE'!$C$38</definedName>
    <definedName name="SHARES_SOLD_PUBLIC">'09_OFFER_STRUCTURE'!$C$39</definedName>
    <definedName name="NET_PROCEEDS_CO">'09_OFFER_STRUCTURE'!$C$40</definedName>
    <definedName name="TXN_COSTS">'09_OFFER_STRUCTURE'!$C$41</definedName>
    <definedName name="DEBT_PAYDOWN">'12_USE_OF_PROCEEDS'!$C$17</definedName>
    <definedName name="CASH_RETAINED">'12_USE_OF_PROCEEDS'!$C$18</definedName>
    <definedName name="GROWTH_INVEST">'12_USE_OF_PROCEEDS'!$C$19</definedName>
    <definedName name="NETDEBT_POST">'11_PRO_FORMA_BS'!$C$25</definedName>
    <definedName name="PRE_SHARES">'10_CAP_TABLE'!$C$8</definedName>
    <definedName name="OPT_SHARES">'10_CAP_TABLE'!$C$9</definedName>
    <definedName name="POST_SHARES">'10_CAP_TABLE'!$C$23</definedName>
    <definedName name="POST_SHARES_FD">'10_CAP_TABLE'!$C$24</definedName>
    <definedName name="FREE_FLOAT_PCT">'10_CAP_TABLE'!$C$25</definedName>
    <definedName name="PRIMARY_DILUTION">'10_CAP_TABLE'!$C$26</definedName>
    <definedName name="MULT_SEL">'06_VALUATION_COMPS'!$C$21</definedName>
    <definedName name="EV_COMPS_LOW">'06_VALUATION_COMPS'!$C$26</definedName>
    <definedName name="EV_COMPS_BASE">'06_VALUATION_COMPS'!$C$27</definedName>
    <definedName name="EV_COMPS_HIGH">'06_VALUATION_COMPS'!$C$28</definedName>
    <definedName name="EV_DCF_BASE">'07_VALUATION_DCF'!$C$27</definedName>
    <definedName name="EV_TRI_LOW">'08_VALUATION_TRIANGULATION'!$C$17</definedName>
    <definedName name="EV_TRI_BASE">'08_VALUATION_TRIANGULATION'!$C$18</definedName>
    <definedName name="EV_TRI_HIGH">'08_VALUATION_TRIANGULATION'!$C$19</definedName>
    <definedName name="EQ_LOW">'08_VALUATION_TRIANGULATION'!$C$26</definedName>
    <definedName name="EQ_BASE">'08_VALUATION_TRIANGULATION'!$C$27</definedName>
    <definedName name="EQ_HIGH">'08_VALUATION_TRIANGULATION'!$C$28</definedName>
    <definedName name="PX_IMP_LOW">'08_VALUATION_TRIANGULATION'!$C$29</definedName>
    <definedName name="PX_IMP_BASE">'08_VALUATION_TRIANGULATION'!$C$30</definedName>
    <definedName name="PX_IMP_HIGH">'08_VALUATION_TRIANGULATION'!$C$31</definedName>
    <definedName name="MKT_CAP">'13_METRICS_AND_KPIS'!$C$19</definedName>
    <definedName name="EV_OFFER">'13_METRICS_AND_KPIS'!$C$21</definedName>
    <definedName name="EV_EBITDA_OFFER">'13_METRICS_AND_KPIS'!$C$22</definedName>
    <definedName name="SECONDARY_SHARES">'09_OFFER_STRUCTURE'!$C$21</definedName>
    <definedName name="GS_SHARES">'09_OFFER_STRUCTURE'!$C$22</definedName>
    <definedName name="TOTAL_SOLD_SHARES">'09_OFFER_STRUCTURE'!$C$23</definedName>
    <definedName name="CHECKS_OVERALL">'90_CHECKS'!$C$16</definedName>
    <definedName name="DRILL_TARGET_MKT_CAP">'84_IPO_LEARN_DRILLS'!$C$41</definedName>
    <definedName name="TRAINING_MODE">'85_IPO_LEARN_MISTAKES'!$C$8</definedName>
    <definedName name="SIM_EV_A">'86_IPO_SPECIAL_MODULE'!$C$63</definedName>
    <definedName name="SIM_EV_B">'86_IPO_SPECIAL_MODULE'!$C$64</definedName>
    <definedName name="SIM_EQ_A">'86_IPO_SPECIAL_MODULE'!$C$67</definedName>
    <definedName name="SIM_EQ_B">'86_IPO_SPECIAL_MODULE'!$C$68</definedName>
    <definedName name="DEF_STATUS">'86_IPO_SPECIAL_MODULE'!$C$69</definedName>
  </definedNames>
  <calcPr calcId="124519" fullCalcOnLoad="1"/>
</workbook>
</file>

<file path=xl/styles.xml><?xml version="1.0" encoding="utf-8"?>
<styleSheet xmlns="http://schemas.openxmlformats.org/spreadsheetml/2006/main">
  <numFmts count="8">
    <numFmt numFmtId="164" formatCode="#,##0;[Red](#,##0);&quot;-&quot;"/>
    <numFmt numFmtId="165" formatCode="0.0%;[Red]-0.0%;&quot;-&quot;"/>
    <numFmt numFmtId="166" formatCode="0.0&quot;x&quot;"/>
    <numFmt numFmtId="167" formatCode="0.000"/>
    <numFmt numFmtId="168" formatCode="#,##0.0"/>
    <numFmt numFmtId="169" formatCode="0.0%"/>
    <numFmt numFmtId="170" formatCode="0.0x"/>
    <numFmt numFmtId="171" formatCode="0.00x"/>
  </numFmts>
  <fonts count="19">
    <font>
      <name val="Calibri"/>
      <family val="2"/>
      <color theme="1"/>
      <sz val="11"/>
      <scheme val="minor"/>
    </font>
    <font>
      <b val="1"/>
      <color rgb="00FFFFFF"/>
      <sz val="12"/>
    </font>
    <font>
      <b val="1"/>
    </font>
    <font>
      <i val="1"/>
      <color rgb="00595959"/>
      <sz val="9"/>
    </font>
    <font>
      <color rgb="000000FF"/>
    </font>
    <font>
      <b val="1"/>
      <color rgb="001F4E79"/>
    </font>
    <font>
      <color rgb="00008000"/>
    </font>
    <font>
      <color rgb="000563C1"/>
      <u val="single"/>
    </font>
    <font/>
    <font>
      <color rgb="00595959"/>
    </font>
    <font>
      <b val="1"/>
      <color rgb="00FFFFFF"/>
    </font>
    <font>
      <name val="Calibri"/>
      <b val="1"/>
      <color rgb="001F1F1F"/>
      <sz val="10"/>
    </font>
    <font>
      <name val="Calibri"/>
      <color rgb="001F1F1F"/>
      <sz val="10"/>
    </font>
    <font>
      <name val="Calibri"/>
      <b val="1"/>
      <color theme="1"/>
      <sz val="11"/>
    </font>
    <font>
      <b val="1"/>
      <color rgb="000000FF"/>
      <sz val="11"/>
    </font>
    <font>
      <name val="Calibri"/>
      <b val="1"/>
      <sz val="11"/>
    </font>
    <font>
      <name val="Calibri"/>
      <b val="1"/>
    </font>
    <font>
      <b val="1"/>
      <color rgb="000000FF"/>
    </font>
    <font>
      <i val="1"/>
      <color rgb="00666666"/>
      <sz val="9"/>
    </font>
  </fonts>
  <fills count="6">
    <fill>
      <patternFill/>
    </fill>
    <fill>
      <patternFill patternType="gray125"/>
    </fill>
    <fill>
      <patternFill patternType="solid">
        <fgColor rgb="001F4E79"/>
      </patternFill>
    </fill>
    <fill>
      <patternFill patternType="solid">
        <fgColor rgb="00FFF2CC"/>
      </patternFill>
    </fill>
    <fill>
      <patternFill patternType="solid">
        <fgColor rgb="00D9E1F2"/>
      </patternFill>
    </fill>
    <fill>
      <patternFill patternType="solid">
        <fgColor rgb="0063BE7B"/>
      </patternFill>
    </fill>
  </fills>
  <borders count="12">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right style="thin">
        <color rgb="00A6A6A6"/>
      </right>
      <top/>
      <bottom/>
      <diagonal/>
    </border>
    <border>
      <left style="thin">
        <color rgb="00A6A6A6"/>
      </left>
      <right/>
      <top/>
      <bottom style="thin">
        <color rgb="00A6A6A6"/>
      </bottom>
      <diagonal/>
    </border>
    <border>
      <left/>
      <right/>
      <top/>
      <bottom style="thin">
        <color rgb="00A6A6A6"/>
      </bottom>
      <diagonal/>
    </border>
    <border>
      <left/>
      <right style="thin">
        <color rgb="00A6A6A6"/>
      </right>
      <top/>
      <bottom style="thin">
        <color rgb="00A6A6A6"/>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center" vertical="center"/>
    </xf>
    <xf numFmtId="0" fontId="2" fillId="0" borderId="0" applyAlignment="1" pivotButton="0" quotePrefix="0" xfId="0">
      <alignment horizontal="left" vertical="center"/>
    </xf>
    <xf numFmtId="1" fontId="6" fillId="0" borderId="1" applyAlignment="1" pivotButton="0" quotePrefix="0" xfId="0">
      <alignment horizontal="right" vertical="center"/>
    </xf>
    <xf numFmtId="0" fontId="3" fillId="0" borderId="0" applyAlignment="1" pivotButton="0" quotePrefix="0" xfId="0">
      <alignment horizontal="left" vertical="top" wrapText="1"/>
    </xf>
    <xf numFmtId="0" fontId="5" fillId="4" borderId="1" applyAlignment="1" pivotButton="0" quotePrefix="0" xfId="0">
      <alignment horizontal="left" vertical="center"/>
    </xf>
    <xf numFmtId="0" fontId="0" fillId="0" borderId="1" applyAlignment="1" pivotButton="0" quotePrefix="0" xfId="0">
      <alignment horizontal="left" vertical="center"/>
    </xf>
    <xf numFmtId="164" fontId="6" fillId="0" borderId="1" applyAlignment="1" pivotButton="0" quotePrefix="0" xfId="0">
      <alignment horizontal="right" vertical="center"/>
    </xf>
    <xf numFmtId="164" fontId="9" fillId="0" borderId="1" applyAlignment="1" pivotButton="0" quotePrefix="0" xfId="0">
      <alignment horizontal="right" vertical="center"/>
    </xf>
    <xf numFmtId="165" fontId="9" fillId="0" borderId="1" applyAlignment="1" pivotButton="0" quotePrefix="0" xfId="0">
      <alignment horizontal="right" vertical="center"/>
    </xf>
    <xf numFmtId="165" fontId="6" fillId="0" borderId="1" applyAlignment="1" pivotButton="0" quotePrefix="0" xfId="0">
      <alignment horizontal="right" vertical="center"/>
    </xf>
    <xf numFmtId="166" fontId="9" fillId="0" borderId="1" applyAlignment="1" pivotButton="0" quotePrefix="0" xfId="0">
      <alignment horizontal="right" vertical="center"/>
    </xf>
    <xf numFmtId="166" fontId="6" fillId="0" borderId="1" applyAlignment="1" pivotButton="0" quotePrefix="0" xfId="0">
      <alignment horizontal="right" vertical="center"/>
    </xf>
    <xf numFmtId="0" fontId="0" fillId="0" borderId="0" applyAlignment="1" pivotButton="0" quotePrefix="0" xfId="0">
      <alignment horizontal="left" vertical="center"/>
    </xf>
    <xf numFmtId="0" fontId="6" fillId="0" borderId="0" applyAlignment="1" pivotButton="0" quotePrefix="0" xfId="0">
      <alignment horizontal="left" vertical="top" wrapText="1"/>
    </xf>
    <xf numFmtId="0" fontId="10" fillId="5" borderId="1" applyAlignment="1" pivotButton="0" quotePrefix="0" xfId="0">
      <alignment horizontal="center" vertical="center"/>
    </xf>
    <xf numFmtId="0" fontId="5" fillId="4" borderId="0" pivotButton="0" quotePrefix="0" xfId="0"/>
    <xf numFmtId="0" fontId="6" fillId="0" borderId="1" applyAlignment="1" pivotButton="0" quotePrefix="0" xfId="0">
      <alignment horizontal="left" vertical="center"/>
    </xf>
    <xf numFmtId="0" fontId="3" fillId="0" borderId="0" pivotButton="0" quotePrefix="0" xfId="0"/>
    <xf numFmtId="1" fontId="4" fillId="3" borderId="1" applyAlignment="1" pivotButton="0" quotePrefix="0" xfId="0">
      <alignment horizontal="right" vertical="center"/>
    </xf>
    <xf numFmtId="0" fontId="5" fillId="4" borderId="1" applyAlignment="1" pivotButton="0" quotePrefix="0" xfId="0">
      <alignment horizontal="center" vertical="center"/>
    </xf>
    <xf numFmtId="164" fontId="4" fillId="3" borderId="1" applyAlignment="1" pivotButton="0" quotePrefix="0" xfId="0">
      <alignment horizontal="right" vertical="center"/>
    </xf>
    <xf numFmtId="165" fontId="4" fillId="3" borderId="1" applyAlignment="1" pivotButton="0" quotePrefix="0" xfId="0">
      <alignment horizontal="right" vertical="center"/>
    </xf>
    <xf numFmtId="166" fontId="4" fillId="3" borderId="1" applyAlignment="1" pivotButton="0" quotePrefix="0" xfId="0">
      <alignment horizontal="right" vertical="center"/>
    </xf>
    <xf numFmtId="0" fontId="6" fillId="0" borderId="1" applyAlignment="1" pivotButton="0" quotePrefix="0" xfId="0">
      <alignment horizontal="right" vertical="center"/>
    </xf>
    <xf numFmtId="0" fontId="7" fillId="0" borderId="0" pivotButton="0" quotePrefix="0" xfId="0"/>
    <xf numFmtId="0" fontId="0" fillId="0" borderId="1" applyAlignment="1" pivotButton="0" quotePrefix="0" xfId="0">
      <alignment horizontal="right" vertical="center"/>
    </xf>
    <xf numFmtId="0" fontId="8" fillId="0" borderId="0" applyAlignment="1" pivotButton="0" quotePrefix="0" xfId="0">
      <alignment horizontal="left" vertical="center"/>
    </xf>
    <xf numFmtId="164" fontId="6" fillId="0" borderId="0" pivotButton="0" quotePrefix="0" xfId="0"/>
    <xf numFmtId="164" fontId="0" fillId="0" borderId="1" applyAlignment="1" pivotButton="0" quotePrefix="0" xfId="0">
      <alignment horizontal="right" vertical="center"/>
    </xf>
    <xf numFmtId="165" fontId="0" fillId="0" borderId="1" applyAlignment="1" pivotButton="0" quotePrefix="0" xfId="0">
      <alignment horizontal="right" vertical="center"/>
    </xf>
    <xf numFmtId="3" fontId="4" fillId="3" borderId="1" applyAlignment="1" pivotButton="0" quotePrefix="0" xfId="0">
      <alignment horizontal="right" vertical="center"/>
    </xf>
    <xf numFmtId="3" fontId="0" fillId="0" borderId="1" applyAlignment="1" pivotButton="0" quotePrefix="0" xfId="0">
      <alignment horizontal="right" vertical="center"/>
    </xf>
    <xf numFmtId="3" fontId="6" fillId="0" borderId="1" applyAlignment="1" pivotButton="0" quotePrefix="0" xfId="0">
      <alignment horizontal="right" vertical="center"/>
    </xf>
    <xf numFmtId="167" fontId="6" fillId="0" borderId="1" applyAlignment="1" pivotButton="0" quotePrefix="0" xfId="0">
      <alignment horizontal="right" vertical="center"/>
    </xf>
    <xf numFmtId="168" fontId="6" fillId="0" borderId="1" applyAlignment="1" pivotButton="0" quotePrefix="0" xfId="0">
      <alignment horizontal="right" vertical="center"/>
    </xf>
    <xf numFmtId="168" fontId="4" fillId="3" borderId="1" applyAlignment="1" pivotButton="0" quotePrefix="0" xfId="0">
      <alignment horizontal="right" vertical="center"/>
    </xf>
    <xf numFmtId="0" fontId="2" fillId="0" borderId="0" pivotButton="0" quotePrefix="0" xfId="0"/>
    <xf numFmtId="0" fontId="5" fillId="4" borderId="0" applyAlignment="1" pivotButton="0" quotePrefix="0" xfId="0">
      <alignment horizontal="left" vertical="center"/>
    </xf>
    <xf numFmtId="165" fontId="5" fillId="4" borderId="1" applyAlignment="1" pivotButton="0" quotePrefix="0" xfId="0">
      <alignment horizontal="center" vertical="center"/>
    </xf>
    <xf numFmtId="166" fontId="0" fillId="0" borderId="1" applyAlignment="1" pivotButton="0" quotePrefix="0" xfId="0">
      <alignment horizontal="right" vertical="center"/>
    </xf>
    <xf numFmtId="0" fontId="6" fillId="0" borderId="1" pivotButton="0" quotePrefix="0" xfId="0"/>
    <xf numFmtId="0" fontId="0" fillId="0" borderId="1" applyAlignment="1" pivotButton="0" quotePrefix="0" xfId="0">
      <alignment horizontal="center" vertical="center"/>
    </xf>
    <xf numFmtId="0" fontId="3" fillId="0" borderId="0" applyAlignment="1" pivotButton="0" quotePrefix="0" xfId="0">
      <alignment horizontal="left" vertical="center"/>
    </xf>
    <xf numFmtId="167" fontId="6" fillId="0" borderId="1" applyAlignment="1" pivotButton="0" quotePrefix="0" xfId="0">
      <alignment horizontal="right" vertical="center"/>
    </xf>
    <xf numFmtId="168" fontId="6" fillId="0" borderId="1" applyAlignment="1" pivotButton="0" quotePrefix="0" xfId="0">
      <alignment horizontal="right" vertical="center"/>
    </xf>
    <xf numFmtId="168" fontId="4" fillId="3" borderId="1" applyAlignment="1" pivotButton="0" quotePrefix="0" xfId="0">
      <alignment horizontal="right" vertical="center"/>
    </xf>
    <xf numFmtId="0" fontId="11" fillId="0" borderId="0" applyAlignment="1" pivotButton="0" quotePrefix="0" xfId="0">
      <alignment horizontal="left" vertical="center"/>
    </xf>
    <xf numFmtId="0" fontId="4" fillId="3" borderId="0" applyAlignment="1" pivotButton="0" quotePrefix="0" xfId="0">
      <alignment horizontal="left" vertical="center"/>
    </xf>
    <xf numFmtId="0" fontId="7" fillId="0" borderId="1" applyAlignment="1" pivotButton="0" quotePrefix="0" xfId="0">
      <alignment horizontal="left" vertical="center"/>
    </xf>
    <xf numFmtId="0" fontId="12" fillId="0" borderId="1" applyAlignment="1" pivotButton="0" quotePrefix="0" xfId="0">
      <alignment horizontal="left" vertical="center"/>
    </xf>
    <xf numFmtId="0" fontId="0" fillId="0" borderId="0" applyAlignment="1" pivotButton="0" quotePrefix="0" xfId="0">
      <alignment horizontal="center" vertical="center"/>
    </xf>
    <xf numFmtId="0" fontId="12" fillId="0" borderId="0" applyAlignment="1" pivotButton="0" quotePrefix="0" xfId="0">
      <alignment horizontal="left" vertical="center"/>
    </xf>
    <xf numFmtId="0" fontId="5" fillId="4" borderId="11" applyAlignment="1" pivotButton="0" quotePrefix="0" xfId="0">
      <alignment horizontal="center" vertical="center" wrapText="1"/>
    </xf>
    <xf numFmtId="2" fontId="18" fillId="3" borderId="11" applyAlignment="1" pivotButton="0" quotePrefix="0" xfId="0">
      <alignment horizontal="left" vertical="top" wrapText="1"/>
    </xf>
    <xf numFmtId="0" fontId="0" fillId="0" borderId="11" pivotButton="0" quotePrefix="0" xfId="0"/>
    <xf numFmtId="0" fontId="0" fillId="0" borderId="0" applyAlignment="1" pivotButton="0" quotePrefix="0" xfId="0">
      <alignment horizontal="left" vertical="top" wrapText="1"/>
    </xf>
    <xf numFmtId="0" fontId="0" fillId="0" borderId="11" applyAlignment="1" pivotButton="0" quotePrefix="0" xfId="0">
      <alignment horizontal="left" vertical="top" wrapText="1"/>
    </xf>
    <xf numFmtId="166" fontId="4" fillId="3" borderId="11" applyAlignment="1" pivotButton="0" quotePrefix="0" xfId="0">
      <alignment horizontal="left" vertical="top" wrapText="1"/>
    </xf>
    <xf numFmtId="166" fontId="14" fillId="3" borderId="11" applyAlignment="1" pivotButton="0" quotePrefix="0" xfId="0">
      <alignment horizontal="center" vertical="center"/>
    </xf>
    <xf numFmtId="0" fontId="0" fillId="0" borderId="11" applyAlignment="1" pivotButton="0" quotePrefix="0" xfId="0">
      <alignment horizontal="center" vertical="top"/>
    </xf>
    <xf numFmtId="2" fontId="4" fillId="3" borderId="11" applyAlignment="1" pivotButton="0" quotePrefix="0" xfId="0">
      <alignment horizontal="left" vertical="top" wrapText="1"/>
    </xf>
    <xf numFmtId="2" fontId="14" fillId="3" borderId="11" applyAlignment="1" pivotButton="0" quotePrefix="0" xfId="0">
      <alignment horizontal="center" vertical="center"/>
    </xf>
    <xf numFmtId="0" fontId="0" fillId="0" borderId="11" applyAlignment="1" pivotButton="0" quotePrefix="0" xfId="0">
      <alignment horizontal="center" vertical="top"/>
    </xf>
    <xf numFmtId="0" fontId="5" fillId="4" borderId="11" applyAlignment="1" pivotButton="0" quotePrefix="0" xfId="0">
      <alignment horizontal="left" vertical="center" wrapText="1"/>
    </xf>
    <xf numFmtId="2" fontId="4" fillId="3" borderId="11" applyAlignment="1" pivotButton="0" quotePrefix="0" xfId="0">
      <alignment horizontal="left" vertical="top"/>
    </xf>
    <xf numFmtId="0" fontId="16" fillId="0" borderId="0" applyAlignment="1" pivotButton="0" quotePrefix="0" xfId="0">
      <alignment horizontal="left" vertical="center"/>
    </xf>
    <xf numFmtId="0" fontId="0" fillId="0" borderId="11" applyAlignment="1" pivotButton="0" quotePrefix="0" xfId="0">
      <alignment horizontal="center" vertical="center"/>
    </xf>
    <xf numFmtId="2" fontId="4" fillId="3"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4" pivotButton="0" quotePrefix="0" xfId="0"/>
    <xf numFmtId="0" fontId="0" fillId="0" borderId="5" pivotButton="0" quotePrefix="0" xfId="0"/>
    <xf numFmtId="0" fontId="0" fillId="0" borderId="11" applyAlignment="1" pivotButton="0" quotePrefix="0" xfId="0">
      <alignment horizontal="left" vertical="top"/>
    </xf>
    <xf numFmtId="2" fontId="4" fillId="3" borderId="11" applyAlignment="1" pivotButton="0" quotePrefix="0" xfId="0">
      <alignment horizontal="left" vertical="top"/>
    </xf>
    <xf numFmtId="0" fontId="0" fillId="0" borderId="6" pivotButton="0" quotePrefix="0" xfId="0"/>
    <xf numFmtId="0" fontId="0" fillId="0" borderId="7" pivotButton="0" quotePrefix="0" xfId="0"/>
    <xf numFmtId="0" fontId="5" fillId="4" borderId="1" applyAlignment="1" pivotButton="0" quotePrefix="0" xfId="0">
      <alignment horizontal="left" vertical="center" wrapText="1"/>
    </xf>
    <xf numFmtId="2" fontId="4" fillId="3" borderId="1" applyAlignment="1" pivotButton="0" quotePrefix="0" xfId="0">
      <alignment horizontal="right" vertical="top" wrapText="1"/>
    </xf>
    <xf numFmtId="166" fontId="4" fillId="3" borderId="1" applyAlignment="1" pivotButton="0" quotePrefix="0" xfId="0">
      <alignment horizontal="right" vertical="top" wrapText="1"/>
    </xf>
    <xf numFmtId="166" fontId="4" fillId="3" borderId="1" applyAlignment="1" pivotButton="0" quotePrefix="0" xfId="0">
      <alignment horizontal="left" vertical="top" wrapText="1"/>
    </xf>
    <xf numFmtId="169" fontId="4" fillId="3" borderId="1" applyAlignment="1" pivotButton="0" quotePrefix="0" xfId="0">
      <alignment horizontal="right" vertical="top" wrapText="1"/>
    </xf>
    <xf numFmtId="171" fontId="4" fillId="3" borderId="1" applyAlignment="1" pivotButton="0" quotePrefix="0" xfId="0">
      <alignment horizontal="right" vertical="top" wrapText="1"/>
    </xf>
    <xf numFmtId="170" fontId="4" fillId="3" borderId="1" applyAlignment="1" pivotButton="0" quotePrefix="0" xfId="0">
      <alignment horizontal="right" vertical="top" wrapText="1"/>
    </xf>
    <xf numFmtId="2" fontId="4" fillId="3" borderId="1" applyAlignment="1" pivotButton="0" quotePrefix="0" xfId="0">
      <alignment horizontal="right" vertical="center"/>
    </xf>
    <xf numFmtId="166" fontId="4" fillId="3" borderId="1" applyAlignment="1" pivotButton="0" quotePrefix="0" xfId="0">
      <alignment horizontal="center" vertical="center"/>
    </xf>
    <xf numFmtId="166" fontId="4" fillId="3" borderId="1" applyAlignment="1" pivotButton="0" quotePrefix="0" xfId="0">
      <alignment horizontal="left" vertical="center"/>
    </xf>
    <xf numFmtId="166" fontId="4" fillId="3" borderId="1" applyAlignment="1" pivotButton="0" quotePrefix="0" xfId="0">
      <alignment horizontal="center" vertical="top" wrapText="1"/>
    </xf>
    <xf numFmtId="0" fontId="0" fillId="0" borderId="0" applyAlignment="1" pivotButton="0" quotePrefix="0" xfId="0">
      <alignment horizontal="center" vertical="top" wrapText="1"/>
    </xf>
    <xf numFmtId="166" fontId="14" fillId="3" borderId="1" applyAlignment="1" pivotButton="0" quotePrefix="0" xfId="0">
      <alignment horizontal="center" vertical="center"/>
    </xf>
    <xf numFmtId="2" fontId="17" fillId="3" borderId="1" applyAlignment="1" pivotButton="0" quotePrefix="0" xfId="0">
      <alignment horizontal="center" vertical="center"/>
    </xf>
    <xf numFmtId="2" fontId="4" fillId="3" borderId="11" applyAlignment="1" pivotButton="0" quotePrefix="0" xfId="0">
      <alignment horizontal="right" vertical="top" wrapText="1"/>
    </xf>
    <xf numFmtId="2" fontId="17" fillId="3" borderId="11" applyAlignment="1" pivotButton="0" quotePrefix="0" xfId="0">
      <alignment horizontal="center" vertical="center"/>
    </xf>
    <xf numFmtId="2" fontId="4" fillId="3" borderId="1" applyAlignment="1" pivotButton="0" quotePrefix="0" xfId="0">
      <alignment horizontal="left" vertical="center" wrapText="1"/>
    </xf>
    <xf numFmtId="166" fontId="14" fillId="3" borderId="1" applyAlignment="1" pivotButton="0" quotePrefix="0" xfId="0">
      <alignment horizontal="center" vertical="top" wrapText="1"/>
    </xf>
    <xf numFmtId="3" fontId="4" fillId="3"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Enterprise Value Range (DKKm)</a:t>
            </a:r>
          </a:p>
        </rich>
      </tx>
    </title>
    <plotArea>
      <barChart>
        <barDir val="col"/>
        <grouping val="clustered"/>
        <ser>
          <idx val="0"/>
          <order val="0"/>
          <tx>
            <strRef>
              <f>'00_DASHBOARD'!C37</f>
            </strRef>
          </tx>
          <spPr>
            <a:ln xmlns:a="http://schemas.openxmlformats.org/drawingml/2006/main">
              <a:prstDash val="solid"/>
            </a:ln>
          </spPr>
          <cat>
            <numRef>
              <f>'00_DASHBOARD'!$B$38:$B$40</f>
            </numRef>
          </cat>
          <val>
            <numRef>
              <f>'00_DASHBOARD'!$C$38:$C$40</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None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DKKm</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Ownership Split (Post IPO, Base)</a:t>
            </a:r>
          </a:p>
        </rich>
      </tx>
    </title>
    <plotArea>
      <barChart>
        <barDir val="col"/>
        <grouping val="clustered"/>
        <ser>
          <idx val="0"/>
          <order val="0"/>
          <tx>
            <strRef>
              <f>'00_DASHBOARD'!C45</f>
            </strRef>
          </tx>
          <spPr>
            <a:ln xmlns:a="http://schemas.openxmlformats.org/drawingml/2006/main">
              <a:prstDash val="solid"/>
            </a:ln>
          </spPr>
          <cat>
            <numRef>
              <f>'00_DASHBOARD'!$B$46:$B$51</f>
            </numRef>
          </cat>
          <val>
            <numRef>
              <f>'00_DASHBOARD'!$C$46:$C$51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7</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26</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00_DASHBOARD!B2" TargetMode="External" Id="rId1"/><Relationship Type="http://schemas.openxmlformats.org/officeDocument/2006/relationships/hyperlink" Target="#01_CONTROL!B2" TargetMode="External" Id="rId2"/><Relationship Type="http://schemas.openxmlformats.org/officeDocument/2006/relationships/hyperlink" Target="#03_HISTORICALS!B2" TargetMode="External" Id="rId3"/><Relationship Type="http://schemas.openxmlformats.org/officeDocument/2006/relationships/hyperlink" Target="#04_DRIVERS!B2" TargetMode="External" Id="rId4"/><Relationship Type="http://schemas.openxmlformats.org/officeDocument/2006/relationships/hyperlink" Target="#00_DASHBOARD!A1" TargetMode="External" Id="rId5"/><Relationship Type="http://schemas.openxmlformats.org/officeDocument/2006/relationships/hyperlink" Target="#01_CONTROL!A1" TargetMode="External" Id="rId6"/><Relationship Type="http://schemas.openxmlformats.org/officeDocument/2006/relationships/hyperlink" Target="#02_COVER_AND_TOC!A1" TargetMode="External" Id="rId7"/><Relationship Type="http://schemas.openxmlformats.org/officeDocument/2006/relationships/hyperlink" Target="#03_HISTORICALS!A1" TargetMode="External" Id="rId8"/><Relationship Type="http://schemas.openxmlformats.org/officeDocument/2006/relationships/hyperlink" Target="#04_DRIVERS!A1" TargetMode="External" Id="rId9"/><Relationship Type="http://schemas.openxmlformats.org/officeDocument/2006/relationships/hyperlink" Target="#05_FORECAST!A1" TargetMode="External" Id="rId10"/><Relationship Type="http://schemas.openxmlformats.org/officeDocument/2006/relationships/hyperlink" Target="#06_VALUATION_COMPS!A1" TargetMode="External" Id="rId11"/><Relationship Type="http://schemas.openxmlformats.org/officeDocument/2006/relationships/hyperlink" Target="#07_VALUATION_DCF!A1" TargetMode="External" Id="rId12"/><Relationship Type="http://schemas.openxmlformats.org/officeDocument/2006/relationships/hyperlink" Target="#08_VALUATION_TRIANGULATION!A1" TargetMode="External" Id="rId13"/><Relationship Type="http://schemas.openxmlformats.org/officeDocument/2006/relationships/hyperlink" Target="#09_OFFER_STRUCTURE!A1" TargetMode="External" Id="rId14"/><Relationship Type="http://schemas.openxmlformats.org/officeDocument/2006/relationships/hyperlink" Target="#10_CAP_TABLE!A1" TargetMode="External" Id="rId15"/><Relationship Type="http://schemas.openxmlformats.org/officeDocument/2006/relationships/hyperlink" Target="#11_PRO_FORMA_BS!A1" TargetMode="External" Id="rId16"/><Relationship Type="http://schemas.openxmlformats.org/officeDocument/2006/relationships/hyperlink" Target="#12_USE_OF_PROCEEDS!A1" TargetMode="External" Id="rId17"/><Relationship Type="http://schemas.openxmlformats.org/officeDocument/2006/relationships/hyperlink" Target="#13_METRICS_AND_KPIS!A1" TargetMode="External" Id="rId18"/><Relationship Type="http://schemas.openxmlformats.org/officeDocument/2006/relationships/hyperlink" Target="#14_SENSITIVITIES!A1" TargetMode="External" Id="rId19"/><Relationship Type="http://schemas.openxmlformats.org/officeDocument/2006/relationships/hyperlink" Target="#90_CHECKS!A1" TargetMode="External" Id="rId20"/><Relationship Type="http://schemas.openxmlformats.org/officeDocument/2006/relationships/hyperlink" Target="#99_APPENDIX_DATA!A1" TargetMode="External" Id="rId21"/></Relationships>
</file>

<file path=xl/worksheets/sheet1.xml><?xml version="1.0" encoding="utf-8"?>
<worksheet xmlns="http://schemas.openxmlformats.org/spreadsheetml/2006/main">
  <sheetPr>
    <outlinePr summaryBelow="1" summaryRight="1"/>
    <pageSetUpPr/>
  </sheetPr>
  <dimension ref="A1:AC199"/>
  <sheetViews>
    <sheetView showGridLines="0" workbookViewId="0">
      <pane xSplit="5" ySplit="7" topLeftCell="F8"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4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6" customHeight="1">
      <c r="B2" s="1" t="inlineStr">
        <is>
          <t>IPO DASHBOARD (TRAINING) - PRICE RANGE, VALUATION, DILUTION</t>
        </is>
      </c>
      <c r="C2" s="2" t="n"/>
      <c r="D2" s="2" t="n"/>
      <c r="E2" s="2" t="n"/>
      <c r="F2" s="2" t="n"/>
      <c r="G2" s="2" t="n"/>
      <c r="H2" s="2" t="n"/>
      <c r="I2" s="2" t="n"/>
      <c r="J2" s="2" t="n"/>
      <c r="K2" s="2" t="n"/>
      <c r="L2" s="2" t="n"/>
      <c r="M2" s="2" t="n"/>
      <c r="N2" s="2" t="n"/>
      <c r="O2" s="2" t="n"/>
      <c r="P2" s="2" t="n"/>
      <c r="Q2" s="2" t="n"/>
      <c r="R2" s="2" t="n"/>
      <c r="S2" s="2" t="n"/>
      <c r="T2" s="2" t="n"/>
    </row>
    <row r="3"/>
    <row r="4">
      <c r="B4" s="3" t="inlineStr">
        <is>
          <t>Scenario</t>
        </is>
      </c>
      <c r="C4" s="4">
        <f>CTRL_SCEN</f>
        <v/>
      </c>
      <c r="D4" s="3" t="inlineStr">
        <is>
          <t>Price case</t>
        </is>
      </c>
      <c r="E4" s="4">
        <f>CTRL_PX_CASE</f>
        <v/>
      </c>
    </row>
    <row r="5">
      <c r="B5" s="5" t="inlineStr">
        <is>
          <t>All numbers trace to calc tabs. Blue cells = inputs (in relevant tabs).</t>
        </is>
      </c>
    </row>
    <row r="6"/>
    <row r="7" ht="20" customHeight="1">
      <c r="B7" s="1" t="inlineStr">
        <is>
          <t>KEY OUTPUTS</t>
        </is>
      </c>
      <c r="C7" s="2" t="n"/>
      <c r="D7" s="2" t="n"/>
      <c r="E7" s="2" t="n"/>
      <c r="F7" s="2" t="n"/>
      <c r="G7" s="2" t="n"/>
      <c r="H7" s="2" t="n"/>
      <c r="I7" s="2" t="n"/>
      <c r="J7" s="2" t="n"/>
      <c r="K7" s="2" t="n"/>
      <c r="L7" s="2" t="n"/>
      <c r="M7" s="2" t="n"/>
      <c r="N7" s="2" t="n"/>
      <c r="O7" s="2" t="n"/>
      <c r="P7" s="2" t="n"/>
      <c r="Q7" s="2" t="n"/>
      <c r="R7" s="2" t="n"/>
      <c r="S7" s="2" t="n"/>
      <c r="T7" s="2" t="n"/>
    </row>
    <row r="8" ht="18" customHeight="1">
      <c r="B8" s="6" t="inlineStr">
        <is>
          <t>Metric</t>
        </is>
      </c>
      <c r="C8" s="6" t="inlineStr">
        <is>
          <t>Low</t>
        </is>
      </c>
      <c r="D8" s="6" t="inlineStr">
        <is>
          <t>Base</t>
        </is>
      </c>
      <c r="E8" s="6" t="inlineStr">
        <is>
          <t>High</t>
        </is>
      </c>
      <c r="F8" s="54" t="inlineStr">
        <is>
          <t>Learning cue (click)</t>
        </is>
      </c>
    </row>
    <row r="9" ht="26" customHeight="1">
      <c r="B9" s="7" t="inlineStr">
        <is>
          <t>IPO price (DKK/share)</t>
        </is>
      </c>
      <c r="C9" s="8">
        <f>IPO_PX_LOW</f>
        <v/>
      </c>
      <c r="D9" s="8">
        <f>IPO_PX_BASE</f>
        <v/>
      </c>
      <c r="E9" s="8">
        <f>IPO_PX_HIGH</f>
        <v/>
      </c>
      <c r="F9" s="55">
        <f>HYPERLINK("#'80_IPO_LEARN_MAP'!B11","Price range: defend the discount vs comps and demand.")</f>
        <v/>
      </c>
    </row>
    <row r="10" ht="26" customHeight="1">
      <c r="B10" s="7" t="inlineStr">
        <is>
          <t>Implied price (DKK/share)</t>
        </is>
      </c>
      <c r="C10" s="8">
        <f>PX_IMP_LOW</f>
        <v/>
      </c>
      <c r="D10" s="8">
        <f>PX_IMP_BASE</f>
        <v/>
      </c>
      <c r="E10" s="8">
        <f>PX_IMP_HIGH</f>
        <v/>
      </c>
      <c r="F10" s="55">
        <f>HYPERLINK("#'80_IPO_LEARN_MAP'!B12","Implied price: triangulated valuation output, not the offer price.")</f>
        <v/>
      </c>
    </row>
    <row r="11" ht="26" customHeight="1">
      <c r="B11" s="7" t="inlineStr">
        <is>
          <t>Equity value (DKKm)</t>
        </is>
      </c>
      <c r="C11" s="8">
        <f>EQ_LOW</f>
        <v/>
      </c>
      <c r="D11" s="8">
        <f>EQ_BASE</f>
        <v/>
      </c>
      <c r="E11" s="8">
        <f>EQ_HIGH</f>
        <v/>
      </c>
      <c r="F11" s="55">
        <f>HYPERLINK("#'80_IPO_LEARN_MAP'!B13","Equity value: market cap at price point (watch share count definition).")</f>
        <v/>
      </c>
    </row>
    <row r="12" ht="26" customHeight="1">
      <c r="B12" s="7" t="inlineStr">
        <is>
          <t>Enterprise value (DKKm)</t>
        </is>
      </c>
      <c r="C12" s="8">
        <f>EV_TRI_LOW</f>
        <v/>
      </c>
      <c r="D12" s="8">
        <f>EV_TRI_BASE</f>
        <v/>
      </c>
      <c r="E12" s="8">
        <f>EV_TRI_HIGH</f>
        <v/>
      </c>
      <c r="F12" s="55">
        <f>HYPERLINK("#'80_IPO_LEARN_MAP'!B14","EV: equity value + net debt (definition drives the bridge).")</f>
        <v/>
      </c>
    </row>
    <row r="13" ht="26" customHeight="1">
      <c r="B13" s="7" t="inlineStr">
        <is>
          <t>Net debt post (DKKm)</t>
        </is>
      </c>
      <c r="C13" s="9" t="inlineStr"/>
      <c r="D13" s="8">
        <f>NETDEBT_POST</f>
        <v/>
      </c>
      <c r="E13" s="9" t="inlineStr"/>
      <c r="F13" s="55">
        <f>HYPERLINK("#'80_IPO_LEARN_MAP'!B15","Net debt post: pro forma bridge from proceeds and debt paydown.")</f>
        <v/>
      </c>
    </row>
    <row r="14" ht="26" customHeight="1">
      <c r="B14" s="7" t="inlineStr">
        <is>
          <t>Free float post (%)</t>
        </is>
      </c>
      <c r="C14" s="10" t="inlineStr"/>
      <c r="D14" s="11">
        <f>FREE_FLOAT_PCT</f>
        <v/>
      </c>
      <c r="E14" s="10" t="inlineStr"/>
      <c r="F14" s="55">
        <f>HYPERLINK("#'80_IPO_LEARN_MAP'!B16","Free float: liquidity metric; balance with dilution and sell-down.")</f>
        <v/>
      </c>
    </row>
    <row r="15" ht="26" customHeight="1">
      <c r="B15" s="7" t="inlineStr">
        <is>
          <t>Net primary proceeds (DKKm)</t>
        </is>
      </c>
      <c r="C15" s="9" t="inlineStr"/>
      <c r="D15" s="8">
        <f>NET_PROCEEDS_CO</f>
        <v/>
      </c>
      <c r="E15" s="9" t="inlineStr"/>
      <c r="F15" s="55">
        <f>HYPERLINK("#'80_IPO_LEARN_MAP'!B17","Net primary proceeds: cash to company after fees and costs.")</f>
        <v/>
      </c>
    </row>
    <row r="16" ht="18" customHeight="1">
      <c r="B16" s="7" t="inlineStr">
        <is>
          <t>Secondary proceeds gross (DKKm)</t>
        </is>
      </c>
      <c r="C16" s="9" t="inlineStr"/>
      <c r="D16" s="8">
        <f>'09_OFFER_STRUCTURE'!$C$25</f>
        <v/>
      </c>
      <c r="E16" s="9" t="inlineStr"/>
      <c r="F16" s="56" t="n"/>
    </row>
    <row r="17" ht="26" customHeight="1">
      <c r="B17" s="7" t="inlineStr">
        <is>
          <t>Total costs (DKKm)</t>
        </is>
      </c>
      <c r="C17" s="9" t="inlineStr"/>
      <c r="D17" s="8">
        <f>TXN_COSTS</f>
        <v/>
      </c>
      <c r="E17" s="9" t="inlineStr"/>
      <c r="F17" s="55">
        <f>HYPERLINK("#'80_IPO_LEARN_MAP'!B19","Costs: sanity check net proceeds vs gross; watch sign conventions.")</f>
        <v/>
      </c>
    </row>
    <row r="18" ht="26" customHeight="1">
      <c r="B18" s="7" t="inlineStr">
        <is>
          <t>EV / NTM EBITDA at offer (x)</t>
        </is>
      </c>
      <c r="C18" s="12" t="inlineStr"/>
      <c r="D18" s="13">
        <f>EV_EBITDA_OFFER</f>
        <v/>
      </c>
      <c r="E18" s="12" t="inlineStr"/>
      <c r="F18" s="55">
        <f>HYPERLINK("#'80_IPO_LEARN_MAP'!B24","Offer multiple: quick marketability check vs peers.")</f>
        <v/>
      </c>
    </row>
    <row r="19" ht="18" customHeight="1">
      <c r="B19" s="7" t="inlineStr">
        <is>
          <t>LTM Revenue (DKKm)</t>
        </is>
      </c>
      <c r="C19" s="9" t="inlineStr"/>
      <c r="D19" s="8">
        <f>LTM_REV</f>
        <v/>
      </c>
      <c r="E19" s="9" t="inlineStr"/>
      <c r="F19" s="56" t="n"/>
    </row>
    <row r="20" ht="26" customHeight="1">
      <c r="B20" s="7" t="inlineStr">
        <is>
          <t>NTM EBITDA (DKKm)</t>
        </is>
      </c>
      <c r="C20" s="9" t="inlineStr"/>
      <c r="D20" s="8">
        <f>NTM_EBITDA</f>
        <v/>
      </c>
      <c r="E20" s="9" t="inlineStr"/>
      <c r="F20" s="55">
        <f>HYPERLINK("#'80_IPO_LEARN_MAP'!B23","Issuer metric: NTM EBITDA is the denominator for EV/EBITDA.")</f>
        <v/>
      </c>
    </row>
    <row r="21"/>
    <row r="22" ht="20" customHeight="1">
      <c r="B22" s="1" t="inlineStr">
        <is>
          <t>WHAT THIS MEANS (AUTO)</t>
        </is>
      </c>
      <c r="C22" s="2" t="n"/>
      <c r="D22" s="2" t="n"/>
      <c r="E22" s="2" t="n"/>
      <c r="F22" s="2" t="n"/>
      <c r="G22" s="2" t="n"/>
      <c r="H22" s="2" t="n"/>
      <c r="I22" s="2" t="n"/>
      <c r="J22" s="2" t="n"/>
      <c r="K22" s="2" t="n"/>
      <c r="L22" s="2" t="n"/>
      <c r="M22" s="2" t="n"/>
      <c r="N22" s="2" t="n"/>
      <c r="O22" s="2" t="n"/>
      <c r="P22" s="2" t="n"/>
      <c r="Q22" s="2" t="n"/>
      <c r="R22" s="2" t="n"/>
      <c r="S22" s="2" t="n"/>
      <c r="T22" s="2" t="n"/>
    </row>
    <row r="23"/>
    <row r="24" ht="28" customHeight="1">
      <c r="B24" s="14" t="inlineStr">
        <is>
          <t>•</t>
        </is>
      </c>
      <c r="C24" s="15">
        <f>'99_APPENDIX_DATA'!$C$8</f>
        <v/>
      </c>
    </row>
    <row r="25" ht="28" customHeight="1">
      <c r="B25" s="14" t="inlineStr">
        <is>
          <t>•</t>
        </is>
      </c>
      <c r="C25" s="15">
        <f>'99_APPENDIX_DATA'!$C$9</f>
        <v/>
      </c>
    </row>
    <row r="26" ht="28" customHeight="1">
      <c r="B26" s="14" t="inlineStr">
        <is>
          <t>•</t>
        </is>
      </c>
      <c r="C26" s="15">
        <f>'99_APPENDIX_DATA'!$C$10</f>
        <v/>
      </c>
    </row>
    <row r="27" ht="28" customHeight="1">
      <c r="B27" s="14" t="inlineStr">
        <is>
          <t>•</t>
        </is>
      </c>
      <c r="C27" s="15">
        <f>'99_APPENDIX_DATA'!$C$11</f>
        <v/>
      </c>
    </row>
    <row r="28" ht="28" customHeight="1">
      <c r="B28" s="14" t="inlineStr">
        <is>
          <t>•</t>
        </is>
      </c>
      <c r="C28" s="15">
        <f>'99_APPENDIX_DATA'!$C$12</f>
        <v/>
      </c>
    </row>
    <row r="29"/>
    <row r="30" ht="20" customHeight="1">
      <c r="B30" s="1" t="inlineStr">
        <is>
          <t>CHECKS STATUS</t>
        </is>
      </c>
      <c r="C30" s="2" t="n"/>
      <c r="D30" s="2" t="n"/>
      <c r="E30" s="2" t="n"/>
      <c r="F30" s="2" t="n"/>
      <c r="G30" s="2" t="n"/>
      <c r="H30" s="2" t="n"/>
      <c r="I30" s="2" t="n"/>
      <c r="J30" s="2" t="n"/>
      <c r="K30" s="2" t="n"/>
      <c r="L30" s="2" t="n"/>
      <c r="M30" s="2" t="n"/>
      <c r="N30" s="2" t="n"/>
      <c r="O30" s="2" t="n"/>
      <c r="P30" s="2" t="n"/>
      <c r="Q30" s="2" t="n"/>
      <c r="R30" s="2" t="n"/>
      <c r="S30" s="2" t="n"/>
      <c r="T30" s="2" t="n"/>
    </row>
    <row r="31"/>
    <row r="32">
      <c r="B32" s="3" t="inlineStr">
        <is>
          <t>Overall</t>
        </is>
      </c>
      <c r="C32" s="16">
        <f>CHECKS_OVERALL</f>
        <v/>
      </c>
    </row>
    <row r="33"/>
    <row r="34"/>
    <row r="35" ht="20" customHeight="1">
      <c r="B35" s="1" t="inlineStr">
        <is>
          <t>CHART DATA - EV RANGE</t>
        </is>
      </c>
      <c r="C35" s="2" t="n"/>
      <c r="D35" s="2" t="n"/>
      <c r="E35" s="2" t="n"/>
      <c r="F35" s="2" t="n"/>
      <c r="G35" s="2" t="n"/>
      <c r="H35" s="2" t="n"/>
      <c r="I35" s="2" t="n"/>
      <c r="J35" s="2" t="n"/>
      <c r="K35" s="2" t="n"/>
      <c r="L35" s="2" t="n"/>
      <c r="M35" s="2" t="n"/>
      <c r="N35" s="2" t="n"/>
      <c r="O35" s="2" t="n"/>
      <c r="P35" s="2" t="n"/>
      <c r="Q35" s="2" t="n"/>
      <c r="R35" s="2" t="n"/>
      <c r="S35" s="2" t="n"/>
      <c r="T35" s="2" t="n"/>
    </row>
    <row r="36"/>
    <row r="37">
      <c r="B37" s="17" t="inlineStr">
        <is>
          <t>Case</t>
        </is>
      </c>
      <c r="C37" s="17" t="inlineStr">
        <is>
          <t>EV (DKKm)</t>
        </is>
      </c>
    </row>
    <row r="38">
      <c r="B38" s="7" t="inlineStr">
        <is>
          <t>Low</t>
        </is>
      </c>
      <c r="C38" s="8">
        <f>EV_TRI_LOW</f>
        <v/>
      </c>
    </row>
    <row r="39">
      <c r="B39" s="7" t="inlineStr">
        <is>
          <t>Base</t>
        </is>
      </c>
      <c r="C39" s="8">
        <f>EV_TRI_BASE</f>
        <v/>
      </c>
    </row>
    <row r="40">
      <c r="B40" s="7" t="inlineStr">
        <is>
          <t>High</t>
        </is>
      </c>
      <c r="C40" s="8">
        <f>EV_TRI_HIGH</f>
        <v/>
      </c>
    </row>
    <row r="41"/>
    <row r="42"/>
    <row r="43" ht="20" customHeight="1">
      <c r="B43" s="1" t="inlineStr">
        <is>
          <t>CHART DATA - OWNERSHIP (POST IPO)</t>
        </is>
      </c>
      <c r="C43" s="2" t="n"/>
      <c r="D43" s="2" t="n"/>
      <c r="E43" s="2" t="n"/>
      <c r="F43" s="2" t="n"/>
      <c r="G43" s="2" t="n"/>
      <c r="H43" s="2" t="n"/>
      <c r="I43" s="2" t="n"/>
      <c r="J43" s="2" t="n"/>
      <c r="K43" s="2" t="n"/>
      <c r="L43" s="2" t="n"/>
      <c r="M43" s="2" t="n"/>
      <c r="N43" s="2" t="n"/>
      <c r="O43" s="2" t="n"/>
      <c r="P43" s="2" t="n"/>
      <c r="Q43" s="2" t="n"/>
      <c r="R43" s="2" t="n"/>
      <c r="S43" s="2" t="n"/>
      <c r="T43" s="2" t="n"/>
    </row>
    <row r="44"/>
    <row r="45">
      <c r="B45" s="17" t="inlineStr">
        <is>
          <t>Holder</t>
        </is>
      </c>
      <c r="C45" s="17" t="inlineStr">
        <is>
          <t>Post %</t>
        </is>
      </c>
    </row>
    <row r="46">
      <c r="B46" s="18">
        <f>'10_CAP_TABLE'!$B$12</f>
        <v/>
      </c>
      <c r="C46" s="11">
        <f>'10_CAP_TABLE'!$G$12</f>
        <v/>
      </c>
    </row>
    <row r="47">
      <c r="B47" s="18">
        <f>'10_CAP_TABLE'!$B$13</f>
        <v/>
      </c>
      <c r="C47" s="11">
        <f>'10_CAP_TABLE'!$G$13</f>
        <v/>
      </c>
    </row>
    <row r="48">
      <c r="B48" s="18">
        <f>'10_CAP_TABLE'!$B$14</f>
        <v/>
      </c>
      <c r="C48" s="11">
        <f>'10_CAP_TABLE'!$G$14</f>
        <v/>
      </c>
    </row>
    <row r="49">
      <c r="B49" s="18">
        <f>'10_CAP_TABLE'!$B$15</f>
        <v/>
      </c>
      <c r="C49" s="11">
        <f>'10_CAP_TABLE'!$G$15</f>
        <v/>
      </c>
    </row>
    <row r="50">
      <c r="B50" s="18">
        <f>'10_CAP_TABLE'!$B$16</f>
        <v/>
      </c>
      <c r="C50" s="11">
        <f>'10_CAP_TABLE'!$G$16</f>
        <v/>
      </c>
    </row>
    <row r="51">
      <c r="B51" s="18">
        <f>'10_CAP_TABLE'!$B$17</f>
        <v/>
      </c>
      <c r="C51" s="11">
        <f>'10_CAP_TABLE'!$G$17</f>
        <v/>
      </c>
    </row>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19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IPO FINANCIAL MODEL (DENMARK) - CONTROL CENTER</t>
        </is>
      </c>
      <c r="C2" s="2" t="n"/>
      <c r="D2" s="2" t="n"/>
      <c r="E2" s="2" t="n"/>
      <c r="F2" s="2" t="n"/>
      <c r="G2" s="2" t="n"/>
      <c r="H2" s="2" t="n"/>
      <c r="I2" s="2" t="n"/>
      <c r="J2" s="2" t="n"/>
      <c r="K2" s="2" t="n"/>
      <c r="L2" s="2" t="n"/>
      <c r="M2" s="2" t="n"/>
      <c r="N2" s="2" t="n"/>
      <c r="O2" s="2" t="n"/>
      <c r="P2" s="2" t="n"/>
      <c r="Q2" s="2" t="n"/>
      <c r="R2" s="2" t="n"/>
      <c r="S2" s="2" t="n"/>
      <c r="T2" s="2" t="n"/>
    </row>
    <row r="3"/>
    <row r="4">
      <c r="B4" s="3" t="inlineStr">
        <is>
          <t>Case</t>
        </is>
      </c>
      <c r="C4" s="19" t="inlineStr">
        <is>
          <t>Illustrative training IPO</t>
        </is>
      </c>
    </row>
    <row r="5">
      <c r="B5" s="3" t="inlineStr">
        <is>
          <t>Units</t>
        </is>
      </c>
      <c r="C5" s="19" t="inlineStr">
        <is>
          <t>DKKm (shares in m)</t>
        </is>
      </c>
    </row>
    <row r="6">
      <c r="B6" s="3" t="inlineStr">
        <is>
          <t>IPO Year (FY)</t>
        </is>
      </c>
      <c r="C6" s="20" t="n">
        <v>2026</v>
      </c>
    </row>
    <row r="7"/>
    <row r="8"/>
    <row r="9"/>
    <row r="10">
      <c r="B10" s="6" t="inlineStr">
        <is>
          <t>TIMELINE</t>
        </is>
      </c>
      <c r="C10" s="6" t="inlineStr"/>
      <c r="D10" s="6" t="inlineStr"/>
      <c r="E10" s="6" t="inlineStr"/>
      <c r="F10" s="21" t="inlineStr"/>
      <c r="G10" s="21" t="inlineStr">
        <is>
          <t>FY2023A</t>
        </is>
      </c>
      <c r="H10" s="21" t="inlineStr">
        <is>
          <t>FY2024A</t>
        </is>
      </c>
      <c r="I10" s="21" t="inlineStr">
        <is>
          <t>FY2025A</t>
        </is>
      </c>
      <c r="J10" s="21" t="inlineStr">
        <is>
          <t>FY2026E</t>
        </is>
      </c>
      <c r="K10" s="21" t="inlineStr">
        <is>
          <t>FY2027E</t>
        </is>
      </c>
      <c r="L10" s="21" t="inlineStr">
        <is>
          <t>FY2028E</t>
        </is>
      </c>
      <c r="M10" s="21" t="inlineStr">
        <is>
          <t>FY2029E</t>
        </is>
      </c>
      <c r="N10" s="21" t="inlineStr">
        <is>
          <t>FY2030E</t>
        </is>
      </c>
    </row>
    <row r="11"/>
    <row r="12" ht="20" customHeight="1">
      <c r="B12" s="1" t="inlineStr">
        <is>
          <t>KEY TOGGLES (INPUTS)</t>
        </is>
      </c>
      <c r="C12" s="2" t="n"/>
      <c r="D12" s="2" t="n"/>
      <c r="E12" s="2" t="n"/>
      <c r="F12" s="2" t="n"/>
      <c r="G12" s="2" t="n"/>
      <c r="H12" s="2" t="n"/>
      <c r="I12" s="2" t="n"/>
      <c r="J12" s="2" t="n"/>
      <c r="K12" s="2" t="n"/>
      <c r="L12" s="2" t="n"/>
      <c r="M12" s="2" t="n"/>
      <c r="N12" s="2" t="n"/>
      <c r="O12" s="2" t="n"/>
      <c r="P12" s="2" t="n"/>
      <c r="Q12" s="2" t="n"/>
      <c r="R12" s="2" t="n"/>
      <c r="S12" s="2" t="n"/>
      <c r="T12" s="2" t="n"/>
    </row>
    <row r="13"/>
    <row r="14">
      <c r="B14" s="3" t="inlineStr">
        <is>
          <t>Scenario (1=Base,2=Upside,3=Downside)</t>
        </is>
      </c>
      <c r="C14" s="20" t="n">
        <v>1</v>
      </c>
    </row>
    <row r="15">
      <c r="B15" s="3" t="inlineStr">
        <is>
          <t>Price case (1=Low,2=Base,3=High)</t>
        </is>
      </c>
      <c r="C15" s="20" t="n">
        <v>2</v>
      </c>
    </row>
    <row r="16">
      <c r="B16" s="3" t="inlineStr">
        <is>
          <t>Valuation method (1=Comps only,2=Comps+DCF)</t>
        </is>
      </c>
      <c r="C16" s="20" t="n">
        <v>2</v>
      </c>
    </row>
    <row r="17">
      <c r="B17" s="3" t="inlineStr">
        <is>
          <t>Greenshoe on/off (0/1)</t>
        </is>
      </c>
      <c r="C17" s="20" t="n">
        <v>1</v>
      </c>
    </row>
    <row r="18">
      <c r="B18" s="3" t="inlineStr">
        <is>
          <t>Fee allocation (1=all to primary,2=pro-rata)</t>
        </is>
      </c>
      <c r="C18" s="20" t="n">
        <v>2</v>
      </c>
    </row>
    <row r="19">
      <c r="B19" s="3" t="inlineStr">
        <is>
          <t>Secondary allocation (1=pro-rata sellers,2=specified)</t>
        </is>
      </c>
      <c r="C19" s="20" t="n">
        <v>1</v>
      </c>
    </row>
    <row r="20"/>
    <row r="21"/>
    <row r="22" ht="20" customHeight="1">
      <c r="B22" s="1" t="inlineStr">
        <is>
          <t>IPO PRICING &amp; DEAL PARAMETERS (INPUTS)</t>
        </is>
      </c>
      <c r="C22" s="2" t="n"/>
      <c r="D22" s="2" t="n"/>
      <c r="E22" s="2" t="n"/>
      <c r="F22" s="2" t="n"/>
      <c r="G22" s="2" t="n"/>
      <c r="H22" s="2" t="n"/>
      <c r="I22" s="2" t="n"/>
      <c r="J22" s="2" t="n"/>
      <c r="K22" s="2" t="n"/>
      <c r="L22" s="2" t="n"/>
      <c r="M22" s="2" t="n"/>
      <c r="N22" s="2" t="n"/>
      <c r="O22" s="2" t="n"/>
      <c r="P22" s="2" t="n"/>
      <c r="Q22" s="2" t="n"/>
      <c r="R22" s="2" t="n"/>
      <c r="S22" s="2" t="n"/>
      <c r="T22" s="2" t="n"/>
    </row>
    <row r="23"/>
    <row r="24">
      <c r="B24" s="3" t="inlineStr">
        <is>
          <t>IPO Price - Low (DKK/share)</t>
        </is>
      </c>
      <c r="C24" s="22" t="n">
        <v>400</v>
      </c>
    </row>
    <row r="25">
      <c r="B25" s="3" t="inlineStr">
        <is>
          <t>IPO Price - Base (DKK/share)</t>
        </is>
      </c>
      <c r="C25" s="22" t="n">
        <v>450</v>
      </c>
    </row>
    <row r="26">
      <c r="B26" s="3" t="inlineStr">
        <is>
          <t>IPO Price - High (DKK/share)</t>
        </is>
      </c>
      <c r="C26" s="22" t="n">
        <v>500</v>
      </c>
    </row>
    <row r="27">
      <c r="B27" s="3" t="inlineStr">
        <is>
          <t>Gross Proceeds Target at Base Price (DKKm)</t>
        </is>
      </c>
      <c r="C27" s="22" t="n">
        <v>15000</v>
      </c>
    </row>
    <row r="28">
      <c r="B28" s="3" t="inlineStr">
        <is>
          <t>Primary % of offer shares</t>
        </is>
      </c>
      <c r="C28" s="23" t="n">
        <v>0.6</v>
      </c>
    </row>
    <row r="29">
      <c r="B29" s="3" t="inlineStr">
        <is>
          <t>Secondary % of offer shares</t>
        </is>
      </c>
      <c r="C29" s="23" t="n">
        <v>0.4</v>
      </c>
    </row>
    <row r="30">
      <c r="B30" s="3" t="inlineStr">
        <is>
          <t>Greenshoe % of base offer shares</t>
        </is>
      </c>
      <c r="C30" s="23" t="n">
        <v>0.15</v>
      </c>
    </row>
    <row r="31">
      <c r="B31" s="3" t="inlineStr">
        <is>
          <t>Underwriting fee % of gross (total)</t>
        </is>
      </c>
      <c r="C31" s="23" t="n">
        <v>0.035</v>
      </c>
    </row>
    <row r="32">
      <c r="B32" s="3" t="inlineStr">
        <is>
          <t>Other transaction costs (DKKm)</t>
        </is>
      </c>
      <c r="C32" s="22" t="n">
        <v>150</v>
      </c>
    </row>
    <row r="33"/>
    <row r="34"/>
    <row r="35" ht="20" customHeight="1">
      <c r="B35" s="1" t="inlineStr">
        <is>
          <t>USE OF PROCEEDS (INPUTS)</t>
        </is>
      </c>
      <c r="C35" s="2" t="n"/>
      <c r="D35" s="2" t="n"/>
      <c r="E35" s="2" t="n"/>
      <c r="F35" s="2" t="n"/>
      <c r="G35" s="2" t="n"/>
      <c r="H35" s="2" t="n"/>
      <c r="I35" s="2" t="n"/>
      <c r="J35" s="2" t="n"/>
      <c r="K35" s="2" t="n"/>
      <c r="L35" s="2" t="n"/>
      <c r="M35" s="2" t="n"/>
      <c r="N35" s="2" t="n"/>
      <c r="O35" s="2" t="n"/>
      <c r="P35" s="2" t="n"/>
      <c r="Q35" s="2" t="n"/>
      <c r="R35" s="2" t="n"/>
      <c r="S35" s="2" t="n"/>
      <c r="T35" s="2" t="n"/>
    </row>
    <row r="36"/>
    <row r="37">
      <c r="B37" s="3" t="inlineStr">
        <is>
          <t>Debt paydown % of net company proceeds</t>
        </is>
      </c>
      <c r="C37" s="23" t="n">
        <v>0.5</v>
      </c>
    </row>
    <row r="38">
      <c r="B38" s="3" t="inlineStr">
        <is>
          <t>Cash retained % of net company proceeds</t>
        </is>
      </c>
      <c r="C38" s="23" t="n">
        <v>0.3</v>
      </c>
    </row>
    <row r="39">
      <c r="B39" s="3" t="inlineStr">
        <is>
          <t>Growth investment % of net company proceeds</t>
        </is>
      </c>
      <c r="C39" s="23" t="n">
        <v>0.2</v>
      </c>
    </row>
    <row r="40"/>
    <row r="41"/>
    <row r="42"/>
    <row r="43" ht="20" customHeight="1">
      <c r="B43" s="1" t="inlineStr">
        <is>
          <t>DCF (ONLY IF ENABLED)</t>
        </is>
      </c>
      <c r="C43" s="2" t="n"/>
      <c r="D43" s="2" t="n"/>
      <c r="E43" s="2" t="n"/>
      <c r="F43" s="2" t="n"/>
      <c r="G43" s="2" t="n"/>
      <c r="H43" s="2" t="n"/>
      <c r="I43" s="2" t="n"/>
      <c r="J43" s="2" t="n"/>
      <c r="K43" s="2" t="n"/>
      <c r="L43" s="2" t="n"/>
      <c r="M43" s="2" t="n"/>
      <c r="N43" s="2" t="n"/>
      <c r="O43" s="2" t="n"/>
      <c r="P43" s="2" t="n"/>
      <c r="Q43" s="2" t="n"/>
      <c r="R43" s="2" t="n"/>
      <c r="S43" s="2" t="n"/>
      <c r="T43" s="2" t="n"/>
    </row>
    <row r="44"/>
    <row r="45">
      <c r="B45" s="3" t="inlineStr">
        <is>
          <t>Comps weight (if method=2)</t>
        </is>
      </c>
      <c r="C45" s="23" t="n">
        <v>0.7</v>
      </c>
    </row>
    <row r="46">
      <c r="B46" s="3" t="inlineStr">
        <is>
          <t>DCF weight (if method=2)</t>
        </is>
      </c>
      <c r="C46" s="23" t="n">
        <v>0.3</v>
      </c>
    </row>
    <row r="47">
      <c r="B47" s="3" t="inlineStr">
        <is>
          <t>WACC</t>
        </is>
      </c>
      <c r="C47" s="23" t="n">
        <v>0.08500000000000001</v>
      </c>
    </row>
    <row r="48">
      <c r="B48" s="3" t="inlineStr">
        <is>
          <t>Terminal growth g</t>
        </is>
      </c>
      <c r="C48" s="23" t="n">
        <v>0.025</v>
      </c>
    </row>
    <row r="49">
      <c r="B49" s="3" t="inlineStr">
        <is>
          <t>Terminal method (1=Perpetuity,2=Exit multiple)</t>
        </is>
      </c>
      <c r="C49" s="20" t="n">
        <v>1</v>
      </c>
    </row>
    <row r="50">
      <c r="B50" s="3" t="inlineStr">
        <is>
          <t>Exit multiple (if TERM_METHOD=2)</t>
        </is>
      </c>
      <c r="C50" s="24" t="n">
        <v>12</v>
      </c>
    </row>
    <row r="51"/>
    <row r="52"/>
    <row r="53"/>
    <row r="54" ht="20" customHeight="1">
      <c r="B54" s="1" t="inlineStr">
        <is>
          <t>DERIVED (DO NOT TYPE)</t>
        </is>
      </c>
      <c r="C54" s="2" t="n"/>
      <c r="D54" s="2" t="n"/>
      <c r="E54" s="2" t="n"/>
      <c r="F54" s="2" t="n"/>
      <c r="G54" s="2" t="n"/>
      <c r="H54" s="2" t="n"/>
      <c r="I54" s="2" t="n"/>
      <c r="J54" s="2" t="n"/>
      <c r="K54" s="2" t="n"/>
      <c r="L54" s="2" t="n"/>
      <c r="M54" s="2" t="n"/>
      <c r="N54" s="2" t="n"/>
      <c r="O54" s="2" t="n"/>
      <c r="P54" s="2" t="n"/>
      <c r="Q54" s="2" t="n"/>
      <c r="R54" s="2" t="n"/>
      <c r="S54" s="2" t="n"/>
      <c r="T54" s="2" t="n"/>
    </row>
    <row r="55"/>
    <row r="56">
      <c r="B56" s="3" t="inlineStr">
        <is>
          <t>Selected IPO price (DKK/share)</t>
        </is>
      </c>
      <c r="C56" s="8">
        <f>CHOOSE(CTRL_PX_CASE;IPO_PX_LOW;IPO_PX_BASE;IPO_PX_HIGH)</f>
        <v/>
      </c>
    </row>
    <row r="57">
      <c r="B57" s="3" t="inlineStr">
        <is>
          <t>Use of proceeds sums to 100%</t>
        </is>
      </c>
      <c r="C57" s="25">
        <f>IF(ABS(UOP_DEBT_PCT+UOP_CASH_PCT+UOP_GROWTH_PCT-1)&lt;0,0001;"PASS";"FAIL")</f>
        <v/>
      </c>
    </row>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2"/>
  <sheetViews>
    <sheetView showGridLines="0" workbookViewId="0">
      <pane xSplit="5" ySplit="7" topLeftCell="F8"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2" customHeight="1">
      <c r="B2" s="1" t="inlineStr">
        <is>
          <t>IPO FINANCIAL MODEL (DENMARK) - COVER + TOC</t>
        </is>
      </c>
      <c r="C2" s="2" t="n"/>
      <c r="D2" s="2" t="n"/>
      <c r="E2" s="2" t="n"/>
      <c r="F2" s="2" t="n"/>
      <c r="G2" s="2" t="n"/>
      <c r="H2" s="2" t="n"/>
      <c r="I2" s="2" t="n"/>
      <c r="J2" s="2" t="n"/>
      <c r="K2" s="2" t="n"/>
      <c r="L2" s="2" t="n"/>
      <c r="M2" s="2" t="n"/>
      <c r="N2" s="2" t="n"/>
      <c r="O2" s="2" t="n"/>
      <c r="P2" s="2" t="n"/>
      <c r="Q2" s="2" t="n"/>
      <c r="R2" s="2" t="n"/>
      <c r="S2" s="2" t="n"/>
      <c r="T2" s="2" t="n"/>
    </row>
    <row r="3"/>
    <row r="4" ht="18" customHeight="1">
      <c r="B4" s="48" t="inlineStr">
        <is>
          <t>Company:</t>
        </is>
      </c>
      <c r="C4" s="49" t="inlineStr">
        <is>
          <t>TrainingCo A/S (illustrative)</t>
        </is>
      </c>
    </row>
    <row r="5" ht="18" customHeight="1">
      <c r="B5" s="48" t="inlineStr">
        <is>
          <t>Prepared for:</t>
        </is>
      </c>
      <c r="C5" s="49" t="inlineStr">
        <is>
          <t>ECM Training Simulation</t>
        </is>
      </c>
    </row>
    <row r="6" ht="18" customHeight="1">
      <c r="B6" s="48" t="inlineStr">
        <is>
          <t>Version:</t>
        </is>
      </c>
      <c r="C6" s="49" t="inlineStr">
        <is>
          <t>v1.00</t>
        </is>
      </c>
    </row>
    <row r="7"/>
    <row r="8">
      <c r="B8" s="26" t="inlineStr">
        <is>
          <t>Dashboard</t>
        </is>
      </c>
      <c r="C8" s="19" t="inlineStr">
        <is>
          <t>00_DASHBOARD</t>
        </is>
      </c>
    </row>
    <row r="9" ht="20" customHeight="1">
      <c r="B9" s="1" t="inlineStr">
        <is>
          <t>TABLE OF CONTENTS</t>
        </is>
      </c>
      <c r="C9" s="2" t="inlineStr">
        <is>
          <t>01_CONTROL</t>
        </is>
      </c>
      <c r="D9" s="2" t="n"/>
      <c r="E9" s="2" t="n"/>
      <c r="F9" s="2" t="n"/>
      <c r="G9" s="2" t="n"/>
      <c r="H9" s="2" t="n"/>
      <c r="I9" s="2" t="n"/>
      <c r="J9" s="2" t="n"/>
      <c r="K9" s="2" t="n"/>
      <c r="L9" s="2" t="n"/>
      <c r="M9" s="2" t="n"/>
      <c r="N9" s="2" t="n"/>
      <c r="O9" s="2" t="n"/>
      <c r="P9" s="2" t="n"/>
      <c r="Q9" s="2" t="n"/>
      <c r="R9" s="2" t="n"/>
      <c r="S9" s="2" t="n"/>
      <c r="T9" s="2" t="n"/>
    </row>
    <row r="10">
      <c r="B10" s="26" t="inlineStr">
        <is>
          <t>Historical inputs</t>
        </is>
      </c>
      <c r="C10" s="19" t="inlineStr">
        <is>
          <t>03_HISTORICALS</t>
        </is>
      </c>
    </row>
    <row r="11" ht="18" customHeight="1">
      <c r="B11" s="17" t="inlineStr">
        <is>
          <t>Tab</t>
        </is>
      </c>
      <c r="C11" s="17" t="inlineStr">
        <is>
          <t>Description</t>
        </is>
      </c>
    </row>
    <row r="12" ht="18" customHeight="1">
      <c r="B12" s="50" t="inlineStr">
        <is>
          <t>00_DASHBOARD</t>
        </is>
      </c>
      <c r="C12" s="51" t="inlineStr">
        <is>
          <t>IC-style dashboard with valuation, ownership and checks</t>
        </is>
      </c>
    </row>
    <row r="13" ht="18" customHeight="1">
      <c r="B13" s="50" t="inlineStr">
        <is>
          <t>01_CONTROL</t>
        </is>
      </c>
      <c r="C13" s="51" t="inlineStr">
        <is>
          <t>All toggles and core assumptions (only input area)</t>
        </is>
      </c>
    </row>
    <row r="14" ht="18" customHeight="1">
      <c r="B14" s="50" t="inlineStr">
        <is>
          <t>02_COVER_AND_TOC</t>
        </is>
      </c>
      <c r="C14" s="51" t="inlineStr">
        <is>
          <t>Cover and navigation</t>
        </is>
      </c>
    </row>
    <row r="15" ht="18" customHeight="1">
      <c r="B15" s="50" t="inlineStr">
        <is>
          <t>03_HISTORICALS</t>
        </is>
      </c>
      <c r="C15" s="51" t="inlineStr">
        <is>
          <t>Historical IS / BS / CF inputs and standardization</t>
        </is>
      </c>
    </row>
    <row r="16" ht="18" customHeight="1">
      <c r="B16" s="50" t="inlineStr">
        <is>
          <t>04_DRIVERS</t>
        </is>
      </c>
      <c r="C16" s="51" t="inlineStr">
        <is>
          <t>Forecast drivers by scenario</t>
        </is>
      </c>
    </row>
    <row r="17" ht="18" customHeight="1">
      <c r="B17" s="50" t="inlineStr">
        <is>
          <t>05_FORECAST</t>
        </is>
      </c>
      <c r="C17" s="51" t="inlineStr">
        <is>
          <t>Integrated IS / BS / CF projection</t>
        </is>
      </c>
    </row>
    <row r="18" ht="18" customHeight="1">
      <c r="B18" s="50" t="inlineStr">
        <is>
          <t>06_VALUATION_COMPS</t>
        </is>
      </c>
      <c r="C18" s="51" t="inlineStr">
        <is>
          <t>Trading comps engine and selected multiple</t>
        </is>
      </c>
    </row>
    <row r="19" ht="18" customHeight="1">
      <c r="B19" s="50" t="inlineStr">
        <is>
          <t>07_VALUATION_DCF</t>
        </is>
      </c>
      <c r="C19" s="51" t="inlineStr">
        <is>
          <t>Optional DCF (toggle controlled)</t>
        </is>
      </c>
    </row>
    <row r="20" ht="18" customHeight="1">
      <c r="B20" s="50" t="inlineStr">
        <is>
          <t>08_VALUATION_TRIANGULATION</t>
        </is>
      </c>
      <c r="C20" s="51" t="inlineStr">
        <is>
          <t>Low/Base/High valuation triangulation</t>
        </is>
      </c>
    </row>
    <row r="21" ht="18" customHeight="1">
      <c r="B21" s="50" t="inlineStr">
        <is>
          <t>09_OFFER_STRUCTURE</t>
        </is>
      </c>
      <c r="C21" s="51" t="inlineStr">
        <is>
          <t>Offer math, fees, proceeds</t>
        </is>
      </c>
    </row>
    <row r="22" ht="18" customHeight="1">
      <c r="B22" s="50" t="inlineStr">
        <is>
          <t>10_CAP_TABLE</t>
        </is>
      </c>
      <c r="C22" s="51" t="inlineStr">
        <is>
          <t>Pre/post ownership and dilution</t>
        </is>
      </c>
    </row>
    <row r="23" ht="18" customHeight="1">
      <c r="B23" s="50" t="inlineStr">
        <is>
          <t>11_PRO_FORMA_BS</t>
        </is>
      </c>
      <c r="C23" s="51" t="inlineStr">
        <is>
          <t>Post-IPO balance sheet bridge + leverage</t>
        </is>
      </c>
    </row>
    <row r="24" ht="18" customHeight="1">
      <c r="B24" s="50" t="inlineStr">
        <is>
          <t>12_USE_OF_PROCEEDS</t>
        </is>
      </c>
      <c r="C24" s="51" t="inlineStr">
        <is>
          <t>Net proceeds allocation</t>
        </is>
      </c>
    </row>
    <row r="25" ht="18" customHeight="1">
      <c r="B25" s="50" t="inlineStr">
        <is>
          <t>13_METRICS_AND_KPIS</t>
        </is>
      </c>
      <c r="C25" s="51" t="inlineStr">
        <is>
          <t>KPI engine, multiples at offer price</t>
        </is>
      </c>
    </row>
    <row r="26" ht="18" customHeight="1">
      <c r="B26" s="50" t="inlineStr">
        <is>
          <t>14_SENSITIVITIES</t>
        </is>
      </c>
      <c r="C26" s="51" t="inlineStr">
        <is>
          <t>Sensitivity tables (override pattern)</t>
        </is>
      </c>
    </row>
    <row r="27" ht="18" customHeight="1">
      <c r="B27" s="50" t="inlineStr">
        <is>
          <t>90_CHECKS</t>
        </is>
      </c>
      <c r="C27" s="51" t="inlineStr">
        <is>
          <t>Automated pass/fail checks hub</t>
        </is>
      </c>
    </row>
    <row r="28" ht="18" customHeight="1">
      <c r="B28" s="50" t="inlineStr">
        <is>
          <t>99_APPENDIX_DATA</t>
        </is>
      </c>
      <c r="C28" s="51" t="inlineStr">
        <is>
          <t>Optional narrative cells and scratch</t>
        </is>
      </c>
    </row>
    <row r="29"/>
    <row r="30"/>
    <row r="31" ht="20" customHeight="1">
      <c r="B31" s="1" t="inlineStr">
        <is>
          <t>INPUT CHECKLIST (PASTE INTO 03_HISTORICALS / 01_CONTROL)</t>
        </is>
      </c>
      <c r="C31" s="2" t="n"/>
      <c r="D31" s="2" t="n"/>
      <c r="E31" s="2" t="n"/>
      <c r="F31" s="2" t="n"/>
      <c r="G31" s="2" t="n"/>
      <c r="H31" s="2" t="n"/>
      <c r="I31" s="2" t="n"/>
      <c r="J31" s="2" t="n"/>
      <c r="K31" s="2" t="n"/>
      <c r="L31" s="2" t="n"/>
      <c r="M31" s="2" t="n"/>
      <c r="N31" s="2" t="n"/>
      <c r="O31" s="2" t="n"/>
      <c r="P31" s="2" t="n"/>
      <c r="Q31" s="2" t="n"/>
      <c r="R31" s="2" t="n"/>
      <c r="S31" s="2" t="n"/>
      <c r="T31" s="2" t="n"/>
    </row>
    <row r="32"/>
    <row r="33" ht="18" customHeight="1">
      <c r="B33" s="52" t="inlineStr">
        <is>
          <t>□</t>
        </is>
      </c>
      <c r="C33" s="53" t="inlineStr">
        <is>
          <t>3 FY revenue + EBITDA (DKKm)</t>
        </is>
      </c>
    </row>
    <row r="34" ht="18" customHeight="1">
      <c r="B34" s="52" t="inlineStr">
        <is>
          <t>□</t>
        </is>
      </c>
      <c r="C34" s="53" t="inlineStr">
        <is>
          <t>Cash and debt at IPO reference date (DKKm)</t>
        </is>
      </c>
    </row>
    <row r="35" ht="18" customHeight="1">
      <c r="B35" s="52" t="inlineStr">
        <is>
          <t>□</t>
        </is>
      </c>
      <c r="C35" s="53" t="inlineStr">
        <is>
          <t>Working capital proxy (DSO/DIO/DPO or NWC % revenue)</t>
        </is>
      </c>
    </row>
    <row r="36" ht="18" customHeight="1">
      <c r="B36" s="52" t="inlineStr">
        <is>
          <t>□</t>
        </is>
      </c>
      <c r="C36" s="53" t="inlineStr">
        <is>
          <t>Capex % revenue (or absolute capex, DKKm)</t>
        </is>
      </c>
    </row>
    <row r="37" ht="18" customHeight="1">
      <c r="B37" s="52" t="inlineStr">
        <is>
          <t>□</t>
        </is>
      </c>
      <c r="C37" s="53" t="inlineStr">
        <is>
          <t>Tax rate (%)</t>
        </is>
      </c>
    </row>
    <row r="38" ht="18" customHeight="1">
      <c r="B38" s="52" t="inlineStr">
        <is>
          <t>□</t>
        </is>
      </c>
      <c r="C38" s="53" t="inlineStr">
        <is>
          <t>Pre-IPO share count (m shares) and owner split (%)</t>
        </is>
      </c>
    </row>
    <row r="39" ht="18" customHeight="1">
      <c r="B39" s="52" t="inlineStr">
        <is>
          <t>□</t>
        </is>
      </c>
      <c r="C39" s="53" t="inlineStr">
        <is>
          <t>IPO price range (DKK/share) and target gross proceeds (DKKm)</t>
        </is>
      </c>
    </row>
    <row r="40" ht="18" customHeight="1">
      <c r="B40" s="52" t="inlineStr">
        <is>
          <t>□</t>
        </is>
      </c>
      <c r="C40" s="53" t="inlineStr">
        <is>
          <t>Primary/secondary mix, greenshoe toggle (%)</t>
        </is>
      </c>
    </row>
    <row r="41" ht="18" customHeight="1">
      <c r="B41" s="52" t="inlineStr">
        <is>
          <t>□</t>
        </is>
      </c>
      <c r="C41" s="53" t="inlineStr">
        <is>
          <t>Underwriting fee (%) and other costs (DKKm)</t>
        </is>
      </c>
    </row>
    <row r="42" ht="18" customHeight="1">
      <c r="B42" s="52" t="inlineStr">
        <is>
          <t>□</t>
        </is>
      </c>
      <c r="C42" s="53" t="inlineStr">
        <is>
          <t>Selected multiple or peer multiple assumption (EV/EBITDA)</t>
        </is>
      </c>
    </row>
  </sheetData>
  <hyperlinks>
    <hyperlink xmlns:r="http://schemas.openxmlformats.org/officeDocument/2006/relationships" ref="B8" r:id="rId1"/>
    <hyperlink xmlns:r="http://schemas.openxmlformats.org/officeDocument/2006/relationships" ref="B9" r:id="rId2"/>
    <hyperlink xmlns:r="http://schemas.openxmlformats.org/officeDocument/2006/relationships" ref="B10" r:id="rId3"/>
    <hyperlink xmlns:r="http://schemas.openxmlformats.org/officeDocument/2006/relationships" ref="B11" r:id="rId4"/>
    <hyperlink xmlns:r="http://schemas.openxmlformats.org/officeDocument/2006/relationships" ref="B12" r:id="rId5"/>
    <hyperlink xmlns:r="http://schemas.openxmlformats.org/officeDocument/2006/relationships" ref="B13" r:id="rId6"/>
    <hyperlink xmlns:r="http://schemas.openxmlformats.org/officeDocument/2006/relationships" ref="B14" r:id="rId7"/>
    <hyperlink xmlns:r="http://schemas.openxmlformats.org/officeDocument/2006/relationships" ref="B15" r:id="rId8"/>
    <hyperlink xmlns:r="http://schemas.openxmlformats.org/officeDocument/2006/relationships" ref="B16" r:id="rId9"/>
    <hyperlink xmlns:r="http://schemas.openxmlformats.org/officeDocument/2006/relationships" ref="B17" r:id="rId10"/>
    <hyperlink xmlns:r="http://schemas.openxmlformats.org/officeDocument/2006/relationships" ref="B18" r:id="rId11"/>
    <hyperlink xmlns:r="http://schemas.openxmlformats.org/officeDocument/2006/relationships" ref="B19" r:id="rId12"/>
    <hyperlink xmlns:r="http://schemas.openxmlformats.org/officeDocument/2006/relationships" ref="B20" r:id="rId13"/>
    <hyperlink xmlns:r="http://schemas.openxmlformats.org/officeDocument/2006/relationships" ref="B21" r:id="rId14"/>
    <hyperlink xmlns:r="http://schemas.openxmlformats.org/officeDocument/2006/relationships" ref="B22" r:id="rId15"/>
    <hyperlink xmlns:r="http://schemas.openxmlformats.org/officeDocument/2006/relationships" ref="B23" r:id="rId16"/>
    <hyperlink xmlns:r="http://schemas.openxmlformats.org/officeDocument/2006/relationships" ref="B24" r:id="rId17"/>
    <hyperlink xmlns:r="http://schemas.openxmlformats.org/officeDocument/2006/relationships" ref="B25" r:id="rId18"/>
    <hyperlink xmlns:r="http://schemas.openxmlformats.org/officeDocument/2006/relationships" ref="B26" r:id="rId19"/>
    <hyperlink xmlns:r="http://schemas.openxmlformats.org/officeDocument/2006/relationships" ref="B27" r:id="rId20"/>
    <hyperlink xmlns:r="http://schemas.openxmlformats.org/officeDocument/2006/relationships" ref="B28"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HISTORICAL FINANCIALS (INPUTS) - DKKm</t>
        </is>
      </c>
      <c r="C2" s="2" t="n"/>
      <c r="D2" s="2" t="n"/>
      <c r="E2" s="2" t="n"/>
      <c r="F2" s="2" t="n"/>
      <c r="G2" s="2" t="n"/>
      <c r="H2" s="2" t="n"/>
      <c r="I2" s="2" t="n"/>
      <c r="J2" s="2" t="n"/>
      <c r="K2" s="2" t="n"/>
      <c r="L2" s="2" t="n"/>
      <c r="M2" s="2" t="n"/>
      <c r="N2" s="2" t="n"/>
      <c r="O2" s="2" t="n"/>
      <c r="P2" s="2" t="n"/>
      <c r="Q2" s="2" t="n"/>
      <c r="R2" s="2" t="n"/>
      <c r="S2" s="2" t="n"/>
      <c r="T2" s="2" t="n"/>
    </row>
    <row r="3"/>
    <row r="4"/>
    <row r="5"/>
    <row r="6">
      <c r="B6" s="6" t="inlineStr">
        <is>
          <t>INCOME STATEMENT</t>
        </is>
      </c>
      <c r="C6" s="6" t="inlineStr"/>
      <c r="D6" s="6" t="inlineStr"/>
      <c r="E6" s="6" t="inlineStr"/>
      <c r="F6" s="21" t="inlineStr"/>
      <c r="G6" s="21" t="inlineStr">
        <is>
          <t>FY2023A</t>
        </is>
      </c>
      <c r="H6" s="21" t="inlineStr">
        <is>
          <t>FY2024A</t>
        </is>
      </c>
      <c r="I6" s="21" t="inlineStr">
        <is>
          <t>FY2025A</t>
        </is>
      </c>
      <c r="J6" s="21" t="n"/>
      <c r="K6" s="21" t="n"/>
      <c r="L6" s="21" t="n"/>
      <c r="M6" s="21" t="n"/>
      <c r="N6" s="21" t="n"/>
    </row>
    <row r="7"/>
    <row r="8">
      <c r="B8" s="3" t="inlineStr">
        <is>
          <t>Revenue</t>
        </is>
      </c>
      <c r="G8" s="22" t="n">
        <v>80000</v>
      </c>
      <c r="H8" s="22" t="n">
        <v>86000</v>
      </c>
      <c r="I8" s="22" t="n">
        <v>92000</v>
      </c>
      <c r="J8" s="27" t="inlineStr"/>
      <c r="K8" s="27" t="inlineStr"/>
      <c r="L8" s="27" t="inlineStr"/>
      <c r="M8" s="27" t="inlineStr"/>
    </row>
    <row r="9">
      <c r="B9" s="28" t="inlineStr">
        <is>
          <t>COGS</t>
        </is>
      </c>
      <c r="G9" s="22" t="n">
        <v>-32000</v>
      </c>
      <c r="H9" s="22" t="n">
        <v>-34400</v>
      </c>
      <c r="I9" s="22" t="n">
        <v>-36800</v>
      </c>
      <c r="J9" s="27" t="inlineStr"/>
      <c r="K9" s="27" t="inlineStr"/>
      <c r="L9" s="27" t="inlineStr"/>
      <c r="M9" s="27" t="inlineStr"/>
    </row>
    <row r="10">
      <c r="B10" s="28" t="inlineStr">
        <is>
          <t>Opex</t>
        </is>
      </c>
      <c r="G10" s="22" t="n">
        <v>-24000</v>
      </c>
      <c r="H10" s="22" t="n">
        <v>-25800</v>
      </c>
      <c r="I10" s="22" t="n">
        <v>-27600</v>
      </c>
      <c r="J10" s="27" t="inlineStr"/>
      <c r="K10" s="27" t="inlineStr"/>
      <c r="L10" s="27" t="inlineStr"/>
      <c r="M10" s="27" t="inlineStr"/>
    </row>
    <row r="11">
      <c r="B11" s="3" t="inlineStr">
        <is>
          <t>EBITDA</t>
        </is>
      </c>
      <c r="G11" s="29">
        <f>G8+G9+G10</f>
        <v/>
      </c>
      <c r="H11" s="29">
        <f>H8+H9+H10</f>
        <v/>
      </c>
      <c r="I11" s="29">
        <f>I8+I9+I10</f>
        <v/>
      </c>
      <c r="J11" s="30" t="inlineStr"/>
      <c r="K11" s="30" t="inlineStr"/>
      <c r="L11" s="30" t="inlineStr"/>
      <c r="M11" s="30" t="inlineStr"/>
    </row>
    <row r="12">
      <c r="B12" s="28" t="inlineStr">
        <is>
          <t>D&amp;A</t>
        </is>
      </c>
      <c r="G12" s="22" t="n">
        <v>-2500</v>
      </c>
      <c r="H12" s="22" t="n">
        <v>-2600</v>
      </c>
      <c r="I12" s="22" t="n">
        <v>-2700</v>
      </c>
      <c r="J12" s="27" t="inlineStr"/>
      <c r="K12" s="27" t="inlineStr"/>
      <c r="L12" s="27" t="inlineStr"/>
      <c r="M12" s="27" t="inlineStr"/>
    </row>
    <row r="13">
      <c r="B13" s="3" t="inlineStr">
        <is>
          <t>EBIT</t>
        </is>
      </c>
      <c r="G13" s="29">
        <f>G11+G12</f>
        <v/>
      </c>
      <c r="H13" s="29">
        <f>H11+H12</f>
        <v/>
      </c>
      <c r="I13" s="29">
        <f>I11+I12</f>
        <v/>
      </c>
      <c r="J13" s="30" t="inlineStr"/>
      <c r="K13" s="30" t="inlineStr"/>
      <c r="L13" s="30" t="inlineStr"/>
      <c r="M13" s="30" t="inlineStr"/>
    </row>
    <row r="14">
      <c r="B14" s="28" t="inlineStr">
        <is>
          <t>Net interest</t>
        </is>
      </c>
      <c r="G14" s="22" t="n">
        <v>-300</v>
      </c>
      <c r="H14" s="22" t="n">
        <v>-320</v>
      </c>
      <c r="I14" s="22" t="n">
        <v>-340</v>
      </c>
      <c r="J14" s="27" t="inlineStr"/>
      <c r="K14" s="27" t="inlineStr"/>
      <c r="L14" s="27" t="inlineStr"/>
      <c r="M14" s="27" t="inlineStr"/>
    </row>
    <row r="15">
      <c r="B15" s="28" t="inlineStr">
        <is>
          <t>Taxes</t>
        </is>
      </c>
      <c r="G15" s="22" t="n">
        <v>-5200</v>
      </c>
      <c r="H15" s="22" t="n">
        <v>-5600</v>
      </c>
      <c r="I15" s="22" t="n">
        <v>-6000</v>
      </c>
      <c r="J15" s="27" t="inlineStr"/>
      <c r="K15" s="27" t="inlineStr"/>
      <c r="L15" s="27" t="inlineStr"/>
      <c r="M15" s="27" t="inlineStr"/>
    </row>
    <row r="16">
      <c r="B16" s="3" t="inlineStr">
        <is>
          <t>Net income</t>
        </is>
      </c>
      <c r="G16" s="29">
        <f>G13+G14+G15</f>
        <v/>
      </c>
      <c r="H16" s="29">
        <f>H13+H14+H15</f>
        <v/>
      </c>
      <c r="I16" s="29">
        <f>I13+I14+I15</f>
        <v/>
      </c>
      <c r="J16" s="30" t="inlineStr"/>
      <c r="K16" s="30" t="inlineStr"/>
      <c r="L16" s="30" t="inlineStr"/>
      <c r="M16" s="30" t="inlineStr"/>
    </row>
    <row r="17"/>
    <row r="18"/>
    <row r="19"/>
    <row r="20">
      <c r="B20" s="6" t="inlineStr">
        <is>
          <t>BALANCE SHEET</t>
        </is>
      </c>
      <c r="C20" s="6" t="inlineStr"/>
      <c r="D20" s="6" t="inlineStr"/>
      <c r="E20" s="6" t="inlineStr"/>
      <c r="F20" s="21" t="inlineStr"/>
      <c r="G20" s="21" t="inlineStr">
        <is>
          <t>FY2023A</t>
        </is>
      </c>
      <c r="H20" s="21" t="inlineStr">
        <is>
          <t>FY2024A</t>
        </is>
      </c>
      <c r="I20" s="21" t="inlineStr">
        <is>
          <t>FY2025A</t>
        </is>
      </c>
      <c r="J20" s="21" t="inlineStr">
        <is>
          <t>FY2026E</t>
        </is>
      </c>
      <c r="K20" s="21" t="inlineStr">
        <is>
          <t>FY2027E</t>
        </is>
      </c>
      <c r="L20" s="21" t="inlineStr">
        <is>
          <t>FY2028E</t>
        </is>
      </c>
      <c r="M20" s="21" t="inlineStr">
        <is>
          <t>FY2029E</t>
        </is>
      </c>
      <c r="N20" s="21" t="inlineStr">
        <is>
          <t>FY2030E</t>
        </is>
      </c>
    </row>
    <row r="21"/>
    <row r="22">
      <c r="B22" s="3" t="inlineStr">
        <is>
          <t>Cash</t>
        </is>
      </c>
      <c r="G22" s="22" t="n">
        <v>5000</v>
      </c>
      <c r="H22" s="22" t="n">
        <v>5200</v>
      </c>
      <c r="I22" s="22" t="n">
        <v>5400</v>
      </c>
      <c r="J22" s="27" t="inlineStr"/>
      <c r="K22" s="27" t="inlineStr"/>
      <c r="L22" s="27" t="inlineStr"/>
      <c r="M22" s="27" t="inlineStr"/>
    </row>
    <row r="23">
      <c r="B23" s="3" t="inlineStr">
        <is>
          <t>Debt</t>
        </is>
      </c>
      <c r="G23" s="22" t="n">
        <v>8000</v>
      </c>
      <c r="H23" s="22" t="n">
        <v>7600</v>
      </c>
      <c r="I23" s="22" t="n">
        <v>7200</v>
      </c>
      <c r="J23" s="27" t="inlineStr"/>
      <c r="K23" s="27" t="inlineStr"/>
      <c r="L23" s="27" t="inlineStr"/>
      <c r="M23" s="27" t="inlineStr"/>
    </row>
    <row r="24">
      <c r="B24" s="28" t="inlineStr">
        <is>
          <t>Accounts receivable</t>
        </is>
      </c>
      <c r="G24" s="22" t="n">
        <v>9000</v>
      </c>
      <c r="H24" s="22" t="n">
        <v>9800</v>
      </c>
      <c r="I24" s="22" t="n">
        <v>10500</v>
      </c>
      <c r="J24" s="27" t="inlineStr"/>
      <c r="K24" s="27" t="inlineStr"/>
      <c r="L24" s="27" t="inlineStr"/>
      <c r="M24" s="27" t="inlineStr"/>
    </row>
    <row r="25">
      <c r="B25" s="28" t="inlineStr">
        <is>
          <t>Inventory</t>
        </is>
      </c>
      <c r="G25" s="22" t="n">
        <v>7000</v>
      </c>
      <c r="H25" s="22" t="n">
        <v>7400</v>
      </c>
      <c r="I25" s="22" t="n">
        <v>7800</v>
      </c>
      <c r="J25" s="27" t="inlineStr"/>
      <c r="K25" s="27" t="inlineStr"/>
      <c r="L25" s="27" t="inlineStr"/>
      <c r="M25" s="27" t="inlineStr"/>
    </row>
    <row r="26">
      <c r="B26" s="28" t="inlineStr">
        <is>
          <t>Accounts payable</t>
        </is>
      </c>
      <c r="G26" s="22" t="n">
        <v>-6000</v>
      </c>
      <c r="H26" s="22" t="n">
        <v>-6400</v>
      </c>
      <c r="I26" s="22" t="n">
        <v>-6800</v>
      </c>
      <c r="J26" s="27" t="inlineStr"/>
      <c r="K26" s="27" t="inlineStr"/>
      <c r="L26" s="27" t="inlineStr"/>
      <c r="M26" s="27" t="inlineStr"/>
    </row>
    <row r="27">
      <c r="B27" s="28" t="inlineStr">
        <is>
          <t>PPE, net</t>
        </is>
      </c>
      <c r="G27" s="22" t="n">
        <v>12000</v>
      </c>
      <c r="H27" s="22" t="n">
        <v>12500</v>
      </c>
      <c r="I27" s="22" t="n">
        <v>13000</v>
      </c>
      <c r="J27" s="27" t="inlineStr"/>
      <c r="K27" s="27" t="inlineStr"/>
      <c r="L27" s="27" t="inlineStr"/>
      <c r="M27" s="27" t="inlineStr"/>
    </row>
    <row r="28">
      <c r="B28" s="3" t="inlineStr">
        <is>
          <t>Equity</t>
        </is>
      </c>
      <c r="G28" s="22" t="n">
        <v>17000</v>
      </c>
      <c r="H28" s="22" t="n">
        <v>19000</v>
      </c>
      <c r="I28" s="22" t="n">
        <v>21000</v>
      </c>
      <c r="J28" s="27" t="inlineStr"/>
      <c r="K28" s="27" t="inlineStr"/>
      <c r="L28" s="27" t="inlineStr"/>
      <c r="M28" s="27" t="inlineStr"/>
    </row>
    <row r="29">
      <c r="B29" s="3" t="inlineStr">
        <is>
          <t>Net debt</t>
        </is>
      </c>
      <c r="G29" s="8">
        <f>G23-G22</f>
        <v/>
      </c>
      <c r="H29" s="8">
        <f>H23-H22</f>
        <v/>
      </c>
      <c r="I29" s="8">
        <f>I23-I22</f>
        <v/>
      </c>
      <c r="J29" s="27" t="inlineStr"/>
      <c r="K29" s="27" t="inlineStr"/>
      <c r="L29" s="27" t="inlineStr"/>
      <c r="M29" s="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0"/>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FORECAST DRIVERS (INPUTS) - SCENARIO BASED</t>
        </is>
      </c>
      <c r="C2" s="2" t="n"/>
      <c r="D2" s="2" t="n"/>
      <c r="E2" s="2" t="n"/>
      <c r="F2" s="2" t="n"/>
      <c r="G2" s="2" t="n"/>
      <c r="H2" s="2" t="n"/>
      <c r="I2" s="2" t="n"/>
      <c r="J2" s="2" t="n"/>
      <c r="K2" s="2" t="n"/>
      <c r="L2" s="2" t="n"/>
      <c r="M2" s="2" t="n"/>
      <c r="N2" s="2" t="n"/>
      <c r="O2" s="2" t="n"/>
      <c r="P2" s="2" t="n"/>
      <c r="Q2" s="2" t="n"/>
      <c r="R2" s="2" t="n"/>
      <c r="S2" s="2" t="n"/>
      <c r="T2" s="2" t="n"/>
    </row>
    <row r="3"/>
    <row r="4"/>
    <row r="5"/>
    <row r="6">
      <c r="B6" s="6" t="inlineStr">
        <is>
          <t>Driver</t>
        </is>
      </c>
      <c r="C6" s="6" t="inlineStr">
        <is>
          <t>Base</t>
        </is>
      </c>
      <c r="D6" s="6" t="inlineStr">
        <is>
          <t>Upside</t>
        </is>
      </c>
      <c r="E6" s="6" t="inlineStr">
        <is>
          <t>Downside</t>
        </is>
      </c>
      <c r="F6" s="21" t="inlineStr"/>
      <c r="G6" s="21" t="inlineStr">
        <is>
          <t>FY2023A</t>
        </is>
      </c>
      <c r="H6" s="21" t="inlineStr">
        <is>
          <t>FY2024A</t>
        </is>
      </c>
      <c r="I6" s="21" t="inlineStr">
        <is>
          <t>FY2025A</t>
        </is>
      </c>
      <c r="J6" s="21" t="inlineStr">
        <is>
          <t>FY2026E</t>
        </is>
      </c>
      <c r="K6" s="21" t="inlineStr">
        <is>
          <t>FY2027E</t>
        </is>
      </c>
      <c r="L6" s="21" t="inlineStr">
        <is>
          <t>FY2028E</t>
        </is>
      </c>
      <c r="M6" s="21" t="inlineStr">
        <is>
          <t>FY2029E</t>
        </is>
      </c>
      <c r="N6" s="21" t="inlineStr">
        <is>
          <t>FY2030E</t>
        </is>
      </c>
    </row>
    <row r="7"/>
    <row r="8">
      <c r="B8" s="3" t="inlineStr">
        <is>
          <t>Revenue growth %</t>
        </is>
      </c>
      <c r="C8" s="23" t="n">
        <v>0.05</v>
      </c>
      <c r="D8" s="23" t="n">
        <v>0.07000000000000001</v>
      </c>
      <c r="E8" s="23" t="n">
        <v>0.03</v>
      </c>
      <c r="F8" s="31" t="inlineStr"/>
      <c r="G8" s="31" t="inlineStr"/>
      <c r="H8" s="31" t="inlineStr"/>
      <c r="I8" s="11">
        <f>CHOOSE(CTRL_SCEN;$C8;$D8;$E8)</f>
        <v/>
      </c>
      <c r="J8" s="11">
        <f>CHOOSE(CTRL_SCEN;$C8;$D8;$E8)</f>
        <v/>
      </c>
      <c r="K8" s="11">
        <f>CHOOSE(CTRL_SCEN;$C8;$D8;$E8)</f>
        <v/>
      </c>
      <c r="L8" s="11">
        <f>CHOOSE(CTRL_SCEN;$C8;$D8;$E8)</f>
        <v/>
      </c>
      <c r="M8" s="11">
        <f>CHOOSE(CTRL_SCEN;$C8;$D8;$E8)</f>
        <v/>
      </c>
      <c r="N8">
        <f>CHOOSE(CTRL_SCEN;$C8;$D8;$E8)</f>
        <v/>
      </c>
    </row>
    <row r="9">
      <c r="B9" s="3" t="inlineStr">
        <is>
          <t>Gross margin %</t>
        </is>
      </c>
      <c r="C9" s="23" t="n">
        <v>0.6</v>
      </c>
      <c r="D9" s="23" t="n">
        <v>0.61</v>
      </c>
      <c r="E9" s="23" t="n">
        <v>0.59</v>
      </c>
      <c r="F9" s="31" t="inlineStr"/>
      <c r="G9" s="31" t="inlineStr"/>
      <c r="H9" s="31" t="inlineStr"/>
      <c r="I9" s="11">
        <f>CHOOSE(CTRL_SCEN;$C9;$D9;$E9)</f>
        <v/>
      </c>
      <c r="J9" s="11">
        <f>CHOOSE(CTRL_SCEN;$C9;$D9;$E9)</f>
        <v/>
      </c>
      <c r="K9" s="11">
        <f>CHOOSE(CTRL_SCEN;$C9;$D9;$E9)</f>
        <v/>
      </c>
      <c r="L9" s="11">
        <f>CHOOSE(CTRL_SCEN;$C9;$D9;$E9)</f>
        <v/>
      </c>
      <c r="M9" s="11">
        <f>CHOOSE(CTRL_SCEN;$C9;$D9;$E9)</f>
        <v/>
      </c>
      <c r="N9">
        <f>CHOOSE(CTRL_SCEN;$C9;$D9;$E9)</f>
        <v/>
      </c>
    </row>
    <row r="10">
      <c r="B10" s="3" t="inlineStr">
        <is>
          <t>Opex % of revenue</t>
        </is>
      </c>
      <c r="C10" s="23" t="n">
        <v>0.26</v>
      </c>
      <c r="D10" s="23" t="n">
        <v>0.25</v>
      </c>
      <c r="E10" s="23" t="n">
        <v>0.27</v>
      </c>
      <c r="F10" s="31" t="inlineStr"/>
      <c r="G10" s="31" t="inlineStr"/>
      <c r="H10" s="31" t="inlineStr"/>
      <c r="I10" s="11">
        <f>CHOOSE(CTRL_SCEN;$C10;$D10;$E10)</f>
        <v/>
      </c>
      <c r="J10" s="11">
        <f>CHOOSE(CTRL_SCEN;$C10;$D10;$E10)</f>
        <v/>
      </c>
      <c r="K10" s="11">
        <f>CHOOSE(CTRL_SCEN;$C10;$D10;$E10)</f>
        <v/>
      </c>
      <c r="L10" s="11">
        <f>CHOOSE(CTRL_SCEN;$C10;$D10;$E10)</f>
        <v/>
      </c>
      <c r="M10" s="11">
        <f>CHOOSE(CTRL_SCEN;$C10;$D10;$E10)</f>
        <v/>
      </c>
      <c r="N10">
        <f>CHOOSE(CTRL_SCEN;$C10;$D10;$E10)</f>
        <v/>
      </c>
    </row>
    <row r="11">
      <c r="B11" s="3" t="inlineStr">
        <is>
          <t>DSO (days)</t>
        </is>
      </c>
      <c r="C11" s="32" t="n">
        <v>40</v>
      </c>
      <c r="D11" s="32" t="n">
        <v>38</v>
      </c>
      <c r="E11" s="32" t="n">
        <v>42</v>
      </c>
      <c r="F11" s="33" t="inlineStr"/>
      <c r="G11" s="33" t="inlineStr"/>
      <c r="H11" s="33" t="inlineStr"/>
      <c r="I11" s="34">
        <f>CHOOSE(CTRL_SCEN;$C11;$D11;$E11)</f>
        <v/>
      </c>
      <c r="J11" s="34">
        <f>CHOOSE(CTRL_SCEN;$C11;$D11;$E11)</f>
        <v/>
      </c>
      <c r="K11" s="34">
        <f>CHOOSE(CTRL_SCEN;$C11;$D11;$E11)</f>
        <v/>
      </c>
      <c r="L11" s="34">
        <f>CHOOSE(CTRL_SCEN;$C11;$D11;$E11)</f>
        <v/>
      </c>
      <c r="M11" s="34">
        <f>CHOOSE(CTRL_SCEN;$C11;$D11;$E11)</f>
        <v/>
      </c>
      <c r="N11">
        <f>CHOOSE(CTRL_SCEN;$C11;$D11;$E11)</f>
        <v/>
      </c>
    </row>
    <row r="12">
      <c r="B12" s="3" t="inlineStr">
        <is>
          <t>DIO (days)</t>
        </is>
      </c>
      <c r="C12" s="32" t="n">
        <v>60</v>
      </c>
      <c r="D12" s="32" t="n">
        <v>58</v>
      </c>
      <c r="E12" s="32" t="n">
        <v>62</v>
      </c>
      <c r="F12" s="33" t="inlineStr"/>
      <c r="G12" s="33" t="inlineStr"/>
      <c r="H12" s="33" t="inlineStr"/>
      <c r="I12" s="34">
        <f>CHOOSE(CTRL_SCEN;$C12;$D12;$E12)</f>
        <v/>
      </c>
      <c r="J12" s="34">
        <f>CHOOSE(CTRL_SCEN;$C12;$D12;$E12)</f>
        <v/>
      </c>
      <c r="K12" s="34">
        <f>CHOOSE(CTRL_SCEN;$C12;$D12;$E12)</f>
        <v/>
      </c>
      <c r="L12" s="34">
        <f>CHOOSE(CTRL_SCEN;$C12;$D12;$E12)</f>
        <v/>
      </c>
      <c r="M12" s="34">
        <f>CHOOSE(CTRL_SCEN;$C12;$D12;$E12)</f>
        <v/>
      </c>
      <c r="N12">
        <f>CHOOSE(CTRL_SCEN;$C12;$D12;$E12)</f>
        <v/>
      </c>
    </row>
    <row r="13">
      <c r="B13" s="3" t="inlineStr">
        <is>
          <t>DPO (days)</t>
        </is>
      </c>
      <c r="C13" s="32" t="n">
        <v>50</v>
      </c>
      <c r="D13" s="32" t="n">
        <v>52</v>
      </c>
      <c r="E13" s="32" t="n">
        <v>48</v>
      </c>
      <c r="F13" s="33" t="inlineStr"/>
      <c r="G13" s="33" t="inlineStr"/>
      <c r="H13" s="33" t="inlineStr"/>
      <c r="I13" s="34">
        <f>CHOOSE(CTRL_SCEN;$C13;$D13;$E13)</f>
        <v/>
      </c>
      <c r="J13" s="34">
        <f>CHOOSE(CTRL_SCEN;$C13;$D13;$E13)</f>
        <v/>
      </c>
      <c r="K13" s="34">
        <f>CHOOSE(CTRL_SCEN;$C13;$D13;$E13)</f>
        <v/>
      </c>
      <c r="L13" s="34">
        <f>CHOOSE(CTRL_SCEN;$C13;$D13;$E13)</f>
        <v/>
      </c>
      <c r="M13" s="34">
        <f>CHOOSE(CTRL_SCEN;$C13;$D13;$E13)</f>
        <v/>
      </c>
      <c r="N13">
        <f>CHOOSE(CTRL_SCEN;$C13;$D13;$E13)</f>
        <v/>
      </c>
    </row>
    <row r="14">
      <c r="B14" s="3" t="inlineStr">
        <is>
          <t>Capex % of revenue</t>
        </is>
      </c>
      <c r="C14" s="23" t="n">
        <v>0.03</v>
      </c>
      <c r="D14" s="23" t="n">
        <v>0.035</v>
      </c>
      <c r="E14" s="23" t="n">
        <v>0.025</v>
      </c>
      <c r="F14" s="31" t="inlineStr"/>
      <c r="G14" s="31" t="inlineStr"/>
      <c r="H14" s="31" t="inlineStr"/>
      <c r="I14" s="11">
        <f>CHOOSE(CTRL_SCEN;$C14;$D14;$E14)</f>
        <v/>
      </c>
      <c r="J14" s="11">
        <f>CHOOSE(CTRL_SCEN;$C14;$D14;$E14)</f>
        <v/>
      </c>
      <c r="K14" s="11">
        <f>CHOOSE(CTRL_SCEN;$C14;$D14;$E14)</f>
        <v/>
      </c>
      <c r="L14" s="11">
        <f>CHOOSE(CTRL_SCEN;$C14;$D14;$E14)</f>
        <v/>
      </c>
      <c r="M14" s="11">
        <f>CHOOSE(CTRL_SCEN;$C14;$D14;$E14)</f>
        <v/>
      </c>
      <c r="N14">
        <f>CHOOSE(CTRL_SCEN;$C14;$D14;$E14)</f>
        <v/>
      </c>
    </row>
    <row r="15">
      <c r="B15" s="3" t="inlineStr">
        <is>
          <t>D&amp;A % of revenue</t>
        </is>
      </c>
      <c r="C15" s="23" t="n">
        <v>0.03</v>
      </c>
      <c r="D15" s="23" t="n">
        <v>0.03</v>
      </c>
      <c r="E15" s="23" t="n">
        <v>0.03</v>
      </c>
      <c r="F15" s="31" t="inlineStr"/>
      <c r="G15" s="31" t="inlineStr"/>
      <c r="H15" s="31" t="inlineStr"/>
      <c r="I15" s="11">
        <f>CHOOSE(CTRL_SCEN;$C15;$D15;$E15)</f>
        <v/>
      </c>
      <c r="J15" s="11">
        <f>CHOOSE(CTRL_SCEN;$C15;$D15;$E15)</f>
        <v/>
      </c>
      <c r="K15" s="11">
        <f>CHOOSE(CTRL_SCEN;$C15;$D15;$E15)</f>
        <v/>
      </c>
      <c r="L15" s="11">
        <f>CHOOSE(CTRL_SCEN;$C15;$D15;$E15)</f>
        <v/>
      </c>
      <c r="M15" s="11">
        <f>CHOOSE(CTRL_SCEN;$C15;$D15;$E15)</f>
        <v/>
      </c>
      <c r="N15">
        <f>CHOOSE(CTRL_SCEN;$C15;$D15;$E15)</f>
        <v/>
      </c>
    </row>
    <row r="16">
      <c r="B16" s="3" t="inlineStr">
        <is>
          <t>Tax rate %</t>
        </is>
      </c>
      <c r="C16" s="23" t="n">
        <v>0.22</v>
      </c>
      <c r="D16" s="23" t="n">
        <v>0.22</v>
      </c>
      <c r="E16" s="23" t="n">
        <v>0.22</v>
      </c>
      <c r="F16" s="31" t="inlineStr"/>
      <c r="G16" s="31" t="inlineStr"/>
      <c r="H16" s="31" t="inlineStr"/>
      <c r="I16" s="11">
        <f>CHOOSE(CTRL_SCEN;$C16;$D16;$E16)</f>
        <v/>
      </c>
      <c r="J16" s="11">
        <f>CHOOSE(CTRL_SCEN;$C16;$D16;$E16)</f>
        <v/>
      </c>
      <c r="K16" s="11">
        <f>CHOOSE(CTRL_SCEN;$C16;$D16;$E16)</f>
        <v/>
      </c>
      <c r="L16" s="11">
        <f>CHOOSE(CTRL_SCEN;$C16;$D16;$E16)</f>
        <v/>
      </c>
      <c r="M16" s="11">
        <f>CHOOSE(CTRL_SCEN;$C16;$D16;$E16)</f>
        <v/>
      </c>
      <c r="N16">
        <f>CHOOSE(CTRL_SCEN;$C16;$D16;$E16)</f>
        <v/>
      </c>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00"/>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INTEGRATED FORECAST (IS / BS / CF) - DKKm</t>
        </is>
      </c>
      <c r="C2" s="2" t="n"/>
      <c r="D2" s="2" t="n"/>
      <c r="E2" s="2" t="n"/>
      <c r="F2" s="2" t="n"/>
      <c r="G2" s="2" t="n"/>
      <c r="H2" s="2" t="n"/>
      <c r="I2" s="2" t="n"/>
      <c r="J2" s="2" t="n"/>
      <c r="K2" s="2" t="n"/>
      <c r="L2" s="2" t="n"/>
      <c r="M2" s="2" t="n"/>
      <c r="N2" s="2" t="n"/>
      <c r="O2" s="2" t="n"/>
      <c r="P2" s="2" t="n"/>
      <c r="Q2" s="2" t="n"/>
      <c r="R2" s="2" t="n"/>
      <c r="S2" s="2" t="n"/>
      <c r="T2" s="2" t="n"/>
    </row>
    <row r="3"/>
    <row r="4"/>
    <row r="5"/>
    <row r="6">
      <c r="B6" s="6" t="inlineStr">
        <is>
          <t>YEARS</t>
        </is>
      </c>
      <c r="C6" s="6" t="inlineStr"/>
      <c r="D6" s="6" t="inlineStr"/>
      <c r="E6" s="6" t="inlineStr"/>
      <c r="F6" s="21" t="inlineStr"/>
      <c r="G6" s="21" t="inlineStr">
        <is>
          <t>FY2023A</t>
        </is>
      </c>
      <c r="H6" s="21" t="inlineStr">
        <is>
          <t>FY2024A</t>
        </is>
      </c>
      <c r="I6" s="21" t="inlineStr">
        <is>
          <t>FY2025A</t>
        </is>
      </c>
      <c r="J6" s="21" t="inlineStr">
        <is>
          <t>FY2026E</t>
        </is>
      </c>
      <c r="K6" s="21" t="inlineStr">
        <is>
          <t>FY2027E</t>
        </is>
      </c>
      <c r="L6" s="21" t="inlineStr">
        <is>
          <t>FY2028E</t>
        </is>
      </c>
      <c r="M6" s="21" t="inlineStr">
        <is>
          <t>FY2029E</t>
        </is>
      </c>
      <c r="N6" s="21" t="inlineStr">
        <is>
          <t>FY2030E</t>
        </is>
      </c>
    </row>
    <row r="7"/>
    <row r="8" ht="20" customHeight="1">
      <c r="B8" s="1" t="inlineStr">
        <is>
          <t>INCOME STATEMENT</t>
        </is>
      </c>
      <c r="C8" s="2" t="n"/>
      <c r="D8" s="2" t="n"/>
      <c r="E8" s="2" t="n"/>
      <c r="F8" s="2" t="n"/>
      <c r="G8" s="2" t="n"/>
      <c r="H8" s="2" t="n"/>
      <c r="I8" s="2" t="n"/>
      <c r="J8" s="2" t="n"/>
      <c r="K8" s="2" t="n"/>
      <c r="L8" s="2" t="n"/>
      <c r="M8" s="2" t="n"/>
      <c r="N8" s="2" t="n"/>
      <c r="O8" s="2" t="n"/>
      <c r="P8" s="2" t="n"/>
      <c r="Q8" s="2" t="n"/>
      <c r="R8" s="2" t="n"/>
      <c r="S8" s="2" t="n"/>
      <c r="T8" s="2" t="n"/>
    </row>
    <row r="9"/>
    <row r="10">
      <c r="B10" s="3" t="inlineStr">
        <is>
          <t>Revenue</t>
        </is>
      </c>
      <c r="F10" s="8" t="n"/>
      <c r="G10" s="8">
        <f>'03_HISTORICALS'!G8</f>
        <v/>
      </c>
      <c r="H10" s="8">
        <f>'03_HISTORICALS'!H8</f>
        <v/>
      </c>
      <c r="I10" s="30">
        <f>'03_HISTORICALS'!I8</f>
        <v/>
      </c>
      <c r="J10" s="30">
        <f>I10*(1+'04_DRIVERS'!J8)</f>
        <v/>
      </c>
      <c r="K10" s="30">
        <f>J10*(1+'04_DRIVERS'!K8)</f>
        <v/>
      </c>
      <c r="L10" s="30">
        <f>K10*(1+'04_DRIVERS'!L8)</f>
        <v/>
      </c>
      <c r="M10" s="30">
        <f>L10*(1+'04_DRIVERS'!M8)</f>
        <v/>
      </c>
      <c r="N10">
        <f>M10*(1+'04_DRIVERS'!N8)</f>
        <v/>
      </c>
    </row>
    <row r="11">
      <c r="B11" s="28" t="inlineStr">
        <is>
          <t>COGS</t>
        </is>
      </c>
      <c r="F11" s="8" t="n"/>
      <c r="G11" s="8">
        <f>'03_HISTORICALS'!G9</f>
        <v/>
      </c>
      <c r="H11" s="8">
        <f>'03_HISTORICALS'!H9</f>
        <v/>
      </c>
      <c r="I11" s="30">
        <f>'03_HISTORICALS'!I9</f>
        <v/>
      </c>
      <c r="J11" s="30">
        <f>-J10*(1-'04_DRIVERS'!J9)</f>
        <v/>
      </c>
      <c r="K11" s="30">
        <f>-K10*(1-'04_DRIVERS'!K9)</f>
        <v/>
      </c>
      <c r="L11" s="30">
        <f>-L10*(1-'04_DRIVERS'!L9)</f>
        <v/>
      </c>
      <c r="M11" s="30">
        <f>-M10*(1-'04_DRIVERS'!M9)</f>
        <v/>
      </c>
      <c r="N11">
        <f>-N10*(1-'04_DRIVERS'!N9)</f>
        <v/>
      </c>
    </row>
    <row r="12">
      <c r="B12" s="28" t="inlineStr">
        <is>
          <t>Gross profit</t>
        </is>
      </c>
      <c r="F12" s="30" t="n"/>
      <c r="G12" s="30">
        <f>G10+G11</f>
        <v/>
      </c>
      <c r="H12" s="30">
        <f>H10+H11</f>
        <v/>
      </c>
      <c r="I12" s="30">
        <f>I10+I11</f>
        <v/>
      </c>
      <c r="J12" s="30">
        <f>J10+J11</f>
        <v/>
      </c>
      <c r="K12" s="30">
        <f>K10+K11</f>
        <v/>
      </c>
      <c r="L12" s="30">
        <f>L10+L11</f>
        <v/>
      </c>
      <c r="M12" s="30">
        <f>M10+M11</f>
        <v/>
      </c>
      <c r="N12">
        <f>N10+N11</f>
        <v/>
      </c>
    </row>
    <row r="13">
      <c r="B13" s="28" t="inlineStr">
        <is>
          <t>Opex</t>
        </is>
      </c>
      <c r="F13" s="8" t="n"/>
      <c r="G13" s="8">
        <f>'03_HISTORICALS'!G10</f>
        <v/>
      </c>
      <c r="H13" s="8">
        <f>'03_HISTORICALS'!H10</f>
        <v/>
      </c>
      <c r="I13" s="30">
        <f>'03_HISTORICALS'!I10</f>
        <v/>
      </c>
      <c r="J13" s="30">
        <f>-J10*'04_DRIVERS'!J10</f>
        <v/>
      </c>
      <c r="K13" s="30">
        <f>-K10*'04_DRIVERS'!K10</f>
        <v/>
      </c>
      <c r="L13" s="30">
        <f>-L10*'04_DRIVERS'!L10</f>
        <v/>
      </c>
      <c r="M13" s="30">
        <f>-M10*'04_DRIVERS'!M10</f>
        <v/>
      </c>
      <c r="N13">
        <f>-N10*'04_DRIVERS'!N10</f>
        <v/>
      </c>
    </row>
    <row r="14">
      <c r="B14" s="3" t="inlineStr">
        <is>
          <t>EBITDA</t>
        </is>
      </c>
      <c r="F14" s="8" t="n"/>
      <c r="G14" s="8">
        <f>'03_HISTORICALS'!G11</f>
        <v/>
      </c>
      <c r="H14" s="8">
        <f>'03_HISTORICALS'!H11</f>
        <v/>
      </c>
      <c r="I14" s="30">
        <f>'03_HISTORICALS'!I11</f>
        <v/>
      </c>
      <c r="J14" s="30">
        <f>J12+J13</f>
        <v/>
      </c>
      <c r="K14" s="30">
        <f>K12+K13</f>
        <v/>
      </c>
      <c r="L14" s="30">
        <f>L12+L13</f>
        <v/>
      </c>
      <c r="M14" s="30">
        <f>M12+M13</f>
        <v/>
      </c>
      <c r="N14">
        <f>N12+N13</f>
        <v/>
      </c>
    </row>
    <row r="15">
      <c r="B15" s="28" t="inlineStr">
        <is>
          <t>D&amp;A</t>
        </is>
      </c>
      <c r="F15" s="8" t="n"/>
      <c r="G15" s="8">
        <f>'03_HISTORICALS'!G12</f>
        <v/>
      </c>
      <c r="H15" s="8">
        <f>'03_HISTORICALS'!H12</f>
        <v/>
      </c>
      <c r="I15" s="30">
        <f>'03_HISTORICALS'!I12</f>
        <v/>
      </c>
      <c r="J15" s="30">
        <f>-J10*'04_DRIVERS'!J15</f>
        <v/>
      </c>
      <c r="K15" s="30">
        <f>-K10*'04_DRIVERS'!K15</f>
        <v/>
      </c>
      <c r="L15" s="30">
        <f>-L10*'04_DRIVERS'!L15</f>
        <v/>
      </c>
      <c r="M15" s="30">
        <f>-M10*'04_DRIVERS'!M15</f>
        <v/>
      </c>
      <c r="N15">
        <f>-N10*'04_DRIVERS'!N15</f>
        <v/>
      </c>
    </row>
    <row r="16">
      <c r="B16" s="3" t="inlineStr">
        <is>
          <t>EBIT</t>
        </is>
      </c>
      <c r="F16" s="8" t="n"/>
      <c r="G16" s="8">
        <f>'03_HISTORICALS'!G13</f>
        <v/>
      </c>
      <c r="H16" s="8">
        <f>'03_HISTORICALS'!H13</f>
        <v/>
      </c>
      <c r="I16" s="30">
        <f>'03_HISTORICALS'!I13</f>
        <v/>
      </c>
      <c r="J16" s="30">
        <f>J14+J15</f>
        <v/>
      </c>
      <c r="K16" s="30">
        <f>K14+K15</f>
        <v/>
      </c>
      <c r="L16" s="30">
        <f>L14+L15</f>
        <v/>
      </c>
      <c r="M16" s="30">
        <f>M14+M15</f>
        <v/>
      </c>
      <c r="N16">
        <f>N14+N15</f>
        <v/>
      </c>
    </row>
    <row r="17">
      <c r="B17" s="28" t="inlineStr">
        <is>
          <t>Taxes</t>
        </is>
      </c>
      <c r="F17" s="8" t="n"/>
      <c r="G17" s="8">
        <f>'03_HISTORICALS'!G15</f>
        <v/>
      </c>
      <c r="H17" s="8">
        <f>'03_HISTORICALS'!H15</f>
        <v/>
      </c>
      <c r="I17" s="30">
        <f>'03_HISTORICALS'!I15</f>
        <v/>
      </c>
      <c r="J17" s="30">
        <f>-MAX(0;J16)*'04_DRIVERS'!J16</f>
        <v/>
      </c>
      <c r="K17" s="30">
        <f>-MAX(0;K16)*'04_DRIVERS'!K16</f>
        <v/>
      </c>
      <c r="L17" s="30">
        <f>-MAX(0;L16)*'04_DRIVERS'!L16</f>
        <v/>
      </c>
      <c r="M17" s="30">
        <f>-MAX(0;M16)*'04_DRIVERS'!M16</f>
        <v/>
      </c>
      <c r="N17">
        <f>-MAX(0;N16)*'04_DRIVERS'!N16</f>
        <v/>
      </c>
    </row>
    <row r="18">
      <c r="B18" s="3" t="inlineStr">
        <is>
          <t>Net income</t>
        </is>
      </c>
      <c r="F18" s="8" t="n"/>
      <c r="G18" s="8">
        <f>'03_HISTORICALS'!G16</f>
        <v/>
      </c>
      <c r="H18" s="8">
        <f>'03_HISTORICALS'!H16</f>
        <v/>
      </c>
      <c r="I18" s="30">
        <f>'03_HISTORICALS'!I16</f>
        <v/>
      </c>
      <c r="J18" s="30">
        <f>J16+J17</f>
        <v/>
      </c>
      <c r="K18" s="30">
        <f>K16+K17</f>
        <v/>
      </c>
      <c r="L18" s="30">
        <f>L16+L17</f>
        <v/>
      </c>
      <c r="M18" s="30">
        <f>M16+M17</f>
        <v/>
      </c>
      <c r="N18">
        <f>N16+N17</f>
        <v/>
      </c>
    </row>
    <row r="19"/>
    <row r="20"/>
    <row r="21"/>
    <row r="22" ht="20" customHeight="1">
      <c r="B22" s="1" t="inlineStr">
        <is>
          <t>BALANCE SHEET</t>
        </is>
      </c>
      <c r="C22" s="2" t="n"/>
      <c r="D22" s="2" t="n"/>
      <c r="E22" s="2" t="n"/>
      <c r="F22" s="2" t="n"/>
      <c r="G22" s="2" t="n"/>
      <c r="H22" s="2" t="n"/>
      <c r="I22" s="2" t="n"/>
      <c r="J22" s="2" t="n"/>
      <c r="K22" s="2" t="n"/>
      <c r="L22" s="2" t="n"/>
      <c r="M22" s="2" t="n"/>
      <c r="N22" s="2" t="n"/>
      <c r="O22" s="2" t="n"/>
      <c r="P22" s="2" t="n"/>
      <c r="Q22" s="2" t="n"/>
      <c r="R22" s="2" t="n"/>
      <c r="S22" s="2" t="n"/>
      <c r="T22" s="2" t="n"/>
    </row>
    <row r="23"/>
    <row r="24">
      <c r="B24" s="3" t="inlineStr">
        <is>
          <t>Cash</t>
        </is>
      </c>
      <c r="F24" s="8" t="n"/>
      <c r="G24" s="8">
        <f>'03_HISTORICALS'!G22</f>
        <v/>
      </c>
      <c r="H24" s="8">
        <f>'03_HISTORICALS'!H22</f>
        <v/>
      </c>
      <c r="I24" s="8">
        <f>'03_HISTORICALS'!I22</f>
        <v/>
      </c>
      <c r="J24" s="8">
        <f>J46</f>
        <v/>
      </c>
      <c r="K24" s="8">
        <f>K46</f>
        <v/>
      </c>
      <c r="L24" s="8">
        <f>L46</f>
        <v/>
      </c>
      <c r="M24" s="8">
        <f>M46</f>
        <v/>
      </c>
      <c r="N24">
        <f>N46</f>
        <v/>
      </c>
    </row>
    <row r="25">
      <c r="B25" s="3" t="inlineStr">
        <is>
          <t>Debt</t>
        </is>
      </c>
      <c r="F25" s="8" t="n"/>
      <c r="G25" s="8">
        <f>'03_HISTORICALS'!G23</f>
        <v/>
      </c>
      <c r="H25" s="8">
        <f>'03_HISTORICALS'!H23</f>
        <v/>
      </c>
      <c r="I25" s="30">
        <f>'03_HISTORICALS'!I23</f>
        <v/>
      </c>
      <c r="J25" s="30">
        <f>I25</f>
        <v/>
      </c>
      <c r="K25" s="30">
        <f>J25</f>
        <v/>
      </c>
      <c r="L25" s="30">
        <f>K25</f>
        <v/>
      </c>
      <c r="M25" s="30">
        <f>L25</f>
        <v/>
      </c>
      <c r="N25">
        <f>M25</f>
        <v/>
      </c>
    </row>
    <row r="26">
      <c r="B26" s="28" t="inlineStr">
        <is>
          <t>Accounts receivable</t>
        </is>
      </c>
      <c r="F26" s="8" t="n"/>
      <c r="G26" s="8">
        <f>'03_HISTORICALS'!G24</f>
        <v/>
      </c>
      <c r="H26" s="8">
        <f>'03_HISTORICALS'!H24</f>
        <v/>
      </c>
      <c r="I26" s="30">
        <f>'03_HISTORICALS'!I24</f>
        <v/>
      </c>
      <c r="J26" s="30">
        <f>J10/365*'04_DRIVERS'!J11</f>
        <v/>
      </c>
      <c r="K26" s="30">
        <f>K10/365*'04_DRIVERS'!K11</f>
        <v/>
      </c>
      <c r="L26" s="30">
        <f>L10/365*'04_DRIVERS'!L11</f>
        <v/>
      </c>
      <c r="M26" s="30">
        <f>M10/365*'04_DRIVERS'!M11</f>
        <v/>
      </c>
      <c r="N26">
        <f>N10/365*'04_DRIVERS'!N11</f>
        <v/>
      </c>
    </row>
    <row r="27">
      <c r="B27" s="28" t="inlineStr">
        <is>
          <t>Inventory</t>
        </is>
      </c>
      <c r="F27" s="8" t="n"/>
      <c r="G27" s="8">
        <f>'03_HISTORICALS'!G25</f>
        <v/>
      </c>
      <c r="H27" s="8">
        <f>'03_HISTORICALS'!H25</f>
        <v/>
      </c>
      <c r="I27" s="30">
        <f>'03_HISTORICALS'!I25</f>
        <v/>
      </c>
      <c r="J27" s="30">
        <f>-J11/365*'04_DRIVERS'!J12</f>
        <v/>
      </c>
      <c r="K27" s="30">
        <f>-K11/365*'04_DRIVERS'!K12</f>
        <v/>
      </c>
      <c r="L27" s="30">
        <f>-L11/365*'04_DRIVERS'!L12</f>
        <v/>
      </c>
      <c r="M27" s="30">
        <f>-M11/365*'04_DRIVERS'!M12</f>
        <v/>
      </c>
      <c r="N27">
        <f>-N11/365*'04_DRIVERS'!N12</f>
        <v/>
      </c>
    </row>
    <row r="28">
      <c r="B28" s="28" t="inlineStr">
        <is>
          <t>Accounts payable</t>
        </is>
      </c>
      <c r="F28" s="8" t="n"/>
      <c r="G28" s="8">
        <f>'03_HISTORICALS'!G26</f>
        <v/>
      </c>
      <c r="H28" s="8">
        <f>'03_HISTORICALS'!H26</f>
        <v/>
      </c>
      <c r="I28" s="30">
        <f>'03_HISTORICALS'!I26</f>
        <v/>
      </c>
      <c r="J28" s="30">
        <f>J11/365*'04_DRIVERS'!J13</f>
        <v/>
      </c>
      <c r="K28" s="30">
        <f>K11/365*'04_DRIVERS'!K13</f>
        <v/>
      </c>
      <c r="L28" s="30">
        <f>L11/365*'04_DRIVERS'!L13</f>
        <v/>
      </c>
      <c r="M28" s="30">
        <f>M11/365*'04_DRIVERS'!M13</f>
        <v/>
      </c>
      <c r="N28">
        <f>N11/365*'04_DRIVERS'!N13</f>
        <v/>
      </c>
    </row>
    <row r="29">
      <c r="B29" s="28" t="inlineStr">
        <is>
          <t>Net working capital</t>
        </is>
      </c>
      <c r="F29" s="30" t="n"/>
      <c r="G29" s="30">
        <f>G26+G27+G28</f>
        <v/>
      </c>
      <c r="H29" s="30">
        <f>H26+H27+H28</f>
        <v/>
      </c>
      <c r="I29" s="30">
        <f>I26+I27+I28</f>
        <v/>
      </c>
      <c r="J29" s="30">
        <f>J26+J27+J28</f>
        <v/>
      </c>
      <c r="K29" s="30">
        <f>K26+K27+K28</f>
        <v/>
      </c>
      <c r="L29" s="30">
        <f>L26+L27+L28</f>
        <v/>
      </c>
      <c r="M29" s="30">
        <f>M26+M27+M28</f>
        <v/>
      </c>
      <c r="N29">
        <f>N26+N27+N28</f>
        <v/>
      </c>
    </row>
    <row r="30">
      <c r="B30" s="28" t="inlineStr">
        <is>
          <t>PPE, net</t>
        </is>
      </c>
      <c r="F30" s="8" t="n"/>
      <c r="G30" s="8">
        <f>'03_HISTORICALS'!G27</f>
        <v/>
      </c>
      <c r="H30" s="8">
        <f>'03_HISTORICALS'!H27</f>
        <v/>
      </c>
      <c r="I30" s="30">
        <f>'03_HISTORICALS'!I27</f>
        <v/>
      </c>
      <c r="J30" s="30">
        <f>I30+J42+J15</f>
        <v/>
      </c>
      <c r="K30" s="30">
        <f>J30+K42+K15</f>
        <v/>
      </c>
      <c r="L30" s="30">
        <f>K30+L42+L15</f>
        <v/>
      </c>
      <c r="M30" s="30">
        <f>L30+M42+M15</f>
        <v/>
      </c>
      <c r="N30">
        <f>M30+N42+N15</f>
        <v/>
      </c>
    </row>
    <row r="31">
      <c r="B31" s="3" t="inlineStr">
        <is>
          <t>Equity</t>
        </is>
      </c>
      <c r="F31" s="8" t="n"/>
      <c r="G31" s="8">
        <f>'03_HISTORICALS'!G28</f>
        <v/>
      </c>
      <c r="H31" s="8">
        <f>'03_HISTORICALS'!H28</f>
        <v/>
      </c>
      <c r="I31" s="30">
        <f>'03_HISTORICALS'!I28</f>
        <v/>
      </c>
      <c r="J31" s="30">
        <f>I31+J18</f>
        <v/>
      </c>
      <c r="K31" s="30">
        <f>J31+K18</f>
        <v/>
      </c>
      <c r="L31" s="30">
        <f>K31+L18</f>
        <v/>
      </c>
      <c r="M31" s="30">
        <f>L31+M18</f>
        <v/>
      </c>
      <c r="N31">
        <f>M31+N18</f>
        <v/>
      </c>
    </row>
    <row r="32">
      <c r="B32" s="3" t="inlineStr">
        <is>
          <t>Net debt</t>
        </is>
      </c>
      <c r="F32" s="8" t="n"/>
      <c r="G32" s="8">
        <f>'03_HISTORICALS'!G29</f>
        <v/>
      </c>
      <c r="H32" s="8">
        <f>'03_HISTORICALS'!H29</f>
        <v/>
      </c>
      <c r="I32" s="30">
        <f>I25-I24</f>
        <v/>
      </c>
      <c r="J32" s="30">
        <f>J25-J24</f>
        <v/>
      </c>
      <c r="K32" s="30">
        <f>K25-K24</f>
        <v/>
      </c>
      <c r="L32" s="30">
        <f>L25-L24</f>
        <v/>
      </c>
      <c r="M32" s="30">
        <f>M25-M24</f>
        <v/>
      </c>
      <c r="N32">
        <f>N25-N24</f>
        <v/>
      </c>
    </row>
    <row r="33"/>
    <row r="34" ht="20" customHeight="1">
      <c r="B34" s="1" t="inlineStr">
        <is>
          <t>CASH FLOW</t>
        </is>
      </c>
      <c r="C34" s="2" t="n"/>
      <c r="D34" s="2" t="n"/>
      <c r="E34" s="2" t="n"/>
      <c r="F34" s="2" t="n"/>
      <c r="G34" s="2" t="n"/>
      <c r="H34" s="2" t="n"/>
      <c r="I34" s="2" t="n"/>
      <c r="J34" s="2" t="n"/>
      <c r="K34" s="2" t="n"/>
      <c r="L34" s="2" t="n"/>
      <c r="M34" s="2" t="n"/>
      <c r="N34" s="2" t="n"/>
      <c r="O34" s="2" t="n"/>
      <c r="P34" s="2" t="n"/>
      <c r="Q34" s="2" t="n"/>
      <c r="R34" s="2" t="n"/>
      <c r="S34" s="2" t="n"/>
      <c r="T34" s="2" t="n"/>
    </row>
    <row r="35"/>
    <row r="36">
      <c r="B36" s="28" t="inlineStr">
        <is>
          <t>EBIT</t>
        </is>
      </c>
      <c r="F36" s="30" t="inlineStr"/>
      <c r="G36" s="30" t="n"/>
      <c r="H36" s="30" t="n"/>
      <c r="I36" s="30" t="n"/>
      <c r="J36" s="30">
        <f>J16</f>
        <v/>
      </c>
      <c r="K36" s="30">
        <f>K16</f>
        <v/>
      </c>
      <c r="L36" s="30">
        <f>L16</f>
        <v/>
      </c>
      <c r="M36" s="30">
        <f>M16</f>
        <v/>
      </c>
      <c r="N36">
        <f>N16</f>
        <v/>
      </c>
    </row>
    <row r="37">
      <c r="B37" s="28" t="inlineStr">
        <is>
          <t>Tax on EBIT</t>
        </is>
      </c>
      <c r="F37" s="30" t="inlineStr"/>
      <c r="G37" s="30" t="n"/>
      <c r="H37" s="30" t="n"/>
      <c r="I37" s="30" t="n"/>
      <c r="J37" s="30">
        <f>J17</f>
        <v/>
      </c>
      <c r="K37" s="30">
        <f>K17</f>
        <v/>
      </c>
      <c r="L37" s="30">
        <f>L17</f>
        <v/>
      </c>
      <c r="M37" s="30">
        <f>M17</f>
        <v/>
      </c>
      <c r="N37">
        <f>N17</f>
        <v/>
      </c>
    </row>
    <row r="38">
      <c r="B38" s="28" t="inlineStr">
        <is>
          <t>NOPAT</t>
        </is>
      </c>
      <c r="F38" s="30" t="inlineStr"/>
      <c r="G38" s="30" t="n"/>
      <c r="H38" s="30" t="n"/>
      <c r="I38" s="30" t="n"/>
      <c r="J38" s="30">
        <f>J36+J37</f>
        <v/>
      </c>
      <c r="K38" s="30">
        <f>K36+K37</f>
        <v/>
      </c>
      <c r="L38" s="30">
        <f>L36+L37</f>
        <v/>
      </c>
      <c r="M38" s="30">
        <f>M36+M37</f>
        <v/>
      </c>
      <c r="N38">
        <f>N36+N37</f>
        <v/>
      </c>
    </row>
    <row r="39">
      <c r="B39" s="28" t="inlineStr">
        <is>
          <t>+ D&amp;A</t>
        </is>
      </c>
      <c r="F39" s="30" t="inlineStr"/>
      <c r="G39" s="30" t="n"/>
      <c r="H39" s="30" t="n"/>
      <c r="I39" s="30" t="n"/>
      <c r="J39" s="30">
        <f>-J15</f>
        <v/>
      </c>
      <c r="K39" s="30">
        <f>-K15</f>
        <v/>
      </c>
      <c r="L39" s="30">
        <f>-L15</f>
        <v/>
      </c>
      <c r="M39" s="30">
        <f>-M15</f>
        <v/>
      </c>
      <c r="N39">
        <f>-N15</f>
        <v/>
      </c>
    </row>
    <row r="40">
      <c r="B40" s="28" t="inlineStr">
        <is>
          <t>- ΔNWC</t>
        </is>
      </c>
      <c r="F40" s="30" t="inlineStr"/>
      <c r="G40" s="30" t="n"/>
      <c r="H40" s="30" t="n"/>
      <c r="I40" s="30" t="n"/>
      <c r="J40" s="30">
        <f>-(J29-I29)</f>
        <v/>
      </c>
      <c r="K40" s="30">
        <f>-(K29-J29)</f>
        <v/>
      </c>
      <c r="L40" s="30">
        <f>-(L29-K29)</f>
        <v/>
      </c>
      <c r="M40" s="30">
        <f>-(M29-L29)</f>
        <v/>
      </c>
      <c r="N40">
        <f>-(N29-M29)</f>
        <v/>
      </c>
    </row>
    <row r="41">
      <c r="B41" s="3" t="inlineStr">
        <is>
          <t>CFO</t>
        </is>
      </c>
      <c r="F41" s="30" t="inlineStr"/>
      <c r="G41" s="30" t="n"/>
      <c r="H41" s="30" t="n"/>
      <c r="I41" s="30" t="n"/>
      <c r="J41" s="30">
        <f>SUM(J38:J40)</f>
        <v/>
      </c>
      <c r="K41" s="30">
        <f>SUM(K38:K40)</f>
        <v/>
      </c>
      <c r="L41" s="30">
        <f>SUM(L38:L40)</f>
        <v/>
      </c>
      <c r="M41" s="30">
        <f>SUM(M38:M40)</f>
        <v/>
      </c>
      <c r="N41">
        <f>SUM(N38:N40)</f>
        <v/>
      </c>
    </row>
    <row r="42">
      <c r="B42" s="28" t="inlineStr">
        <is>
          <t>- Capex</t>
        </is>
      </c>
      <c r="F42" s="30" t="inlineStr"/>
      <c r="G42" s="30" t="n"/>
      <c r="H42" s="30" t="n"/>
      <c r="I42" s="30" t="n"/>
      <c r="J42" s="30">
        <f>-J10*'04_DRIVERS'!J14</f>
        <v/>
      </c>
      <c r="K42" s="30">
        <f>-K10*'04_DRIVERS'!K14</f>
        <v/>
      </c>
      <c r="L42" s="30">
        <f>-L10*'04_DRIVERS'!L14</f>
        <v/>
      </c>
      <c r="M42" s="30">
        <f>-M10*'04_DRIVERS'!M14</f>
        <v/>
      </c>
      <c r="N42">
        <f>-N10*'04_DRIVERS'!N14</f>
        <v/>
      </c>
    </row>
    <row r="43">
      <c r="B43" s="3" t="inlineStr">
        <is>
          <t>FCF</t>
        </is>
      </c>
      <c r="F43" s="30" t="inlineStr"/>
      <c r="G43" s="30" t="n"/>
      <c r="H43" s="30" t="n"/>
      <c r="I43" s="30" t="n"/>
      <c r="J43" s="30">
        <f>J41+J42</f>
        <v/>
      </c>
      <c r="K43" s="30">
        <f>K41+K42</f>
        <v/>
      </c>
      <c r="L43" s="30">
        <f>L41+L42</f>
        <v/>
      </c>
      <c r="M43" s="30">
        <f>M41+M42</f>
        <v/>
      </c>
      <c r="N43">
        <f>N41+N42</f>
        <v/>
      </c>
    </row>
    <row r="44">
      <c r="B44" s="28" t="inlineStr">
        <is>
          <t>CFF (simplified pre-IPO)</t>
        </is>
      </c>
      <c r="F44" s="30" t="inlineStr"/>
      <c r="G44" s="30" t="n"/>
      <c r="H44" s="30" t="n"/>
      <c r="I44" s="30" t="n"/>
      <c r="J44" s="30">
        <f>0</f>
        <v/>
      </c>
      <c r="K44" s="30">
        <f>0</f>
        <v/>
      </c>
      <c r="L44" s="30">
        <f>0</f>
        <v/>
      </c>
      <c r="M44" s="30">
        <f>0</f>
        <v/>
      </c>
      <c r="N44">
        <f>0</f>
        <v/>
      </c>
    </row>
    <row r="45">
      <c r="B45" s="28" t="inlineStr">
        <is>
          <t>Net change in cash</t>
        </is>
      </c>
      <c r="F45" s="30" t="inlineStr"/>
      <c r="G45" s="30" t="n"/>
      <c r="H45" s="30" t="n"/>
      <c r="I45" s="30" t="n"/>
      <c r="J45" s="30">
        <f>SUM(J41:J44)</f>
        <v/>
      </c>
      <c r="K45" s="30">
        <f>SUM(K41:K44)</f>
        <v/>
      </c>
      <c r="L45" s="30">
        <f>SUM(L41:L44)</f>
        <v/>
      </c>
      <c r="M45" s="30">
        <f>SUM(M41:M44)</f>
        <v/>
      </c>
      <c r="N45">
        <f>SUM(N41:N44)</f>
        <v/>
      </c>
    </row>
    <row r="46">
      <c r="B46" s="3" t="inlineStr">
        <is>
          <t>Cash (closing)</t>
        </is>
      </c>
      <c r="F46" s="30" t="inlineStr"/>
      <c r="G46" s="30" t="n"/>
      <c r="H46" s="30" t="n"/>
      <c r="I46" s="30" t="n"/>
      <c r="J46" s="30">
        <f>I24+J45</f>
        <v/>
      </c>
      <c r="K46" s="30">
        <f>J24+K45</f>
        <v/>
      </c>
      <c r="L46" s="30">
        <f>K24+L45</f>
        <v/>
      </c>
      <c r="M46" s="30">
        <f>L24+M45</f>
        <v/>
      </c>
      <c r="N46">
        <f>M24+N45</f>
        <v/>
      </c>
    </row>
    <row r="47"/>
    <row r="48"/>
    <row r="49"/>
    <row r="50" ht="20" customHeight="1">
      <c r="B50" s="1" t="inlineStr">
        <is>
          <t>EXPORT ANCHORS (DO NOT EDIT)</t>
        </is>
      </c>
      <c r="C50" s="2" t="n"/>
      <c r="D50" s="2" t="n"/>
      <c r="E50" s="2" t="n"/>
      <c r="F50" s="2" t="n"/>
      <c r="G50" s="2" t="n"/>
      <c r="H50" s="2" t="n"/>
      <c r="I50" s="2" t="n"/>
      <c r="J50" s="2" t="n"/>
      <c r="K50" s="2" t="n"/>
      <c r="L50" s="2" t="n"/>
      <c r="M50" s="2" t="n"/>
      <c r="N50" s="2" t="n"/>
      <c r="O50" s="2" t="n"/>
      <c r="P50" s="2" t="n"/>
      <c r="Q50" s="2" t="n"/>
      <c r="R50" s="2" t="n"/>
      <c r="S50" s="2" t="n"/>
      <c r="T50" s="2" t="n"/>
    </row>
    <row r="51"/>
    <row r="52">
      <c r="B52" s="3" t="inlineStr">
        <is>
          <t>LTM Revenue (FY2025A)</t>
        </is>
      </c>
      <c r="F52" s="8">
        <f>'05_FORECAST'!I10</f>
        <v/>
      </c>
    </row>
    <row r="53">
      <c r="B53" s="3" t="inlineStr">
        <is>
          <t>NTM Revenue (FY2026E)</t>
        </is>
      </c>
      <c r="F53" s="8">
        <f>'05_FORECAST'!J10</f>
        <v/>
      </c>
    </row>
    <row r="54">
      <c r="B54" s="3" t="inlineStr">
        <is>
          <t>LTM EBITDA (FY2025A)</t>
        </is>
      </c>
      <c r="F54" s="8">
        <f>'05_FORECAST'!I14</f>
        <v/>
      </c>
    </row>
    <row r="55">
      <c r="B55" s="3" t="inlineStr">
        <is>
          <t>NTM EBITDA (FY2026E)</t>
        </is>
      </c>
      <c r="F55" s="8">
        <f>'05_FORECAST'!J14</f>
        <v/>
      </c>
    </row>
    <row r="56">
      <c r="B56" s="3" t="inlineStr">
        <is>
          <t>Net debt pre-IPO (FY2025A)</t>
        </is>
      </c>
      <c r="F56" s="8">
        <f>'05_FORECAST'!I32</f>
        <v/>
      </c>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4"/>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TRADING COMPS (INPUTS + CALCS)</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PEER MULTIPLES (INPUTS)</t>
        </is>
      </c>
      <c r="C6" s="2" t="n"/>
      <c r="D6" s="2" t="n"/>
      <c r="E6" s="2" t="n"/>
      <c r="F6" s="2" t="n"/>
      <c r="G6" s="2" t="n"/>
      <c r="H6" s="2" t="n"/>
      <c r="I6" s="2" t="n"/>
      <c r="J6" s="2" t="n"/>
      <c r="K6" s="2" t="n"/>
      <c r="L6" s="2" t="n"/>
      <c r="M6" s="2" t="n"/>
      <c r="N6" s="2" t="n"/>
      <c r="O6" s="2" t="n"/>
      <c r="P6" s="2" t="n"/>
      <c r="Q6" s="2" t="n"/>
      <c r="R6" s="2" t="n"/>
      <c r="S6" s="2" t="n"/>
      <c r="T6" s="2" t="n"/>
    </row>
    <row r="7"/>
    <row r="8">
      <c r="B8" s="6" t="inlineStr">
        <is>
          <t>Peer</t>
        </is>
      </c>
      <c r="C8" s="6" t="inlineStr">
        <is>
          <t>EV/NTM EBITDA (x)</t>
        </is>
      </c>
      <c r="D8" s="6" t="inlineStr">
        <is>
          <t>Notes</t>
        </is>
      </c>
    </row>
    <row r="9">
      <c r="B9" s="14" t="inlineStr">
        <is>
          <t>Peer 1</t>
        </is>
      </c>
      <c r="C9" s="24" t="n">
        <v>11</v>
      </c>
      <c r="D9" s="5" t="inlineStr">
        <is>
          <t>Nordic branded consumer</t>
        </is>
      </c>
    </row>
    <row r="10">
      <c r="B10" s="14" t="inlineStr">
        <is>
          <t>Peer 2</t>
        </is>
      </c>
      <c r="C10" s="24" t="n">
        <v>12.5</v>
      </c>
      <c r="D10" s="5" t="inlineStr">
        <is>
          <t>Global brand</t>
        </is>
      </c>
    </row>
    <row r="11">
      <c r="B11" s="14" t="inlineStr">
        <is>
          <t>Peer 3</t>
        </is>
      </c>
      <c r="C11" s="24" t="n">
        <v>10</v>
      </c>
      <c r="D11" s="5" t="inlineStr">
        <is>
          <t>Lower growth</t>
        </is>
      </c>
    </row>
    <row r="12">
      <c r="B12" s="14" t="inlineStr">
        <is>
          <t>Peer 4</t>
        </is>
      </c>
      <c r="C12" s="24" t="n">
        <v>13</v>
      </c>
      <c r="D12" s="5" t="inlineStr">
        <is>
          <t>Premium multiple</t>
        </is>
      </c>
    </row>
    <row r="13">
      <c r="B13" s="14" t="inlineStr">
        <is>
          <t>Peer 5</t>
        </is>
      </c>
      <c r="C13" s="24" t="n">
        <v>9.5</v>
      </c>
      <c r="D13" s="5" t="inlineStr">
        <is>
          <t>Cyclical discount</t>
        </is>
      </c>
    </row>
    <row r="14"/>
    <row r="15"/>
    <row r="16" ht="20" customHeight="1">
      <c r="B16" s="1" t="inlineStr">
        <is>
          <t>MULTIPLE STATS + SELECTION</t>
        </is>
      </c>
      <c r="C16" s="2" t="n"/>
      <c r="D16" s="2" t="n"/>
      <c r="E16" s="2" t="n"/>
      <c r="F16" s="2" t="n"/>
      <c r="G16" s="2" t="n"/>
      <c r="H16" s="2" t="n"/>
      <c r="I16" s="2" t="n"/>
      <c r="J16" s="2" t="n"/>
      <c r="K16" s="2" t="n"/>
      <c r="L16" s="2" t="n"/>
      <c r="M16" s="2" t="n"/>
      <c r="N16" s="2" t="n"/>
      <c r="O16" s="2" t="n"/>
      <c r="P16" s="2" t="n"/>
      <c r="Q16" s="2" t="n"/>
      <c r="R16" s="2" t="n"/>
      <c r="S16" s="2" t="n"/>
      <c r="T16" s="2" t="n"/>
    </row>
    <row r="17"/>
    <row r="18">
      <c r="B18" s="3" t="inlineStr">
        <is>
          <t>25th percentile (x)</t>
        </is>
      </c>
      <c r="C18" s="13">
        <f>PERCENTILE.INC(C9:C13;0,25)</f>
        <v/>
      </c>
    </row>
    <row r="19">
      <c r="B19" s="3" t="inlineStr">
        <is>
          <t>Median (x)</t>
        </is>
      </c>
      <c r="C19" s="13">
        <f>MEDIAN($C$9:$C$13)</f>
        <v/>
      </c>
    </row>
    <row r="20">
      <c r="B20" s="3" t="inlineStr">
        <is>
          <t>75th percentile (x)</t>
        </is>
      </c>
      <c r="C20" s="13">
        <f>PERCENTILE.INC(C9:C13;0,75)</f>
        <v/>
      </c>
    </row>
    <row r="21">
      <c r="B21" s="3" t="inlineStr">
        <is>
          <t>Selected multiple (x) (input)</t>
        </is>
      </c>
      <c r="C21" s="24" t="n">
        <v>12</v>
      </c>
    </row>
    <row r="22"/>
    <row r="23"/>
    <row r="24" ht="20" customHeight="1">
      <c r="B24" s="1" t="inlineStr">
        <is>
          <t>COMPS VALUATION OUTPUT (EV)</t>
        </is>
      </c>
      <c r="C24" s="2" t="n"/>
      <c r="D24" s="2" t="n"/>
      <c r="E24" s="2" t="n"/>
      <c r="F24" s="2" t="n"/>
      <c r="G24" s="2" t="n"/>
      <c r="H24" s="2" t="n"/>
      <c r="I24" s="2" t="n"/>
      <c r="J24" s="2" t="n"/>
      <c r="K24" s="2" t="n"/>
      <c r="L24" s="2" t="n"/>
      <c r="M24" s="2" t="n"/>
      <c r="N24" s="2" t="n"/>
      <c r="O24" s="2" t="n"/>
      <c r="P24" s="2" t="n"/>
      <c r="Q24" s="2" t="n"/>
      <c r="R24" s="2" t="n"/>
      <c r="S24" s="2" t="n"/>
      <c r="T24" s="2" t="n"/>
    </row>
    <row r="25"/>
    <row r="26">
      <c r="B26" s="3" t="inlineStr">
        <is>
          <t>EV Low (DKKm)</t>
        </is>
      </c>
      <c r="C26" s="8">
        <f>C18*NTM_EBITDA</f>
        <v/>
      </c>
    </row>
    <row r="27">
      <c r="B27" s="3" t="inlineStr">
        <is>
          <t>EV Base (DKKm)</t>
        </is>
      </c>
      <c r="C27" s="8">
        <f>MULT_SEL*NTM_EBITDA</f>
        <v/>
      </c>
    </row>
    <row r="28">
      <c r="B28" s="3" t="inlineStr">
        <is>
          <t>EV High (DKKm)</t>
        </is>
      </c>
      <c r="C28" s="8">
        <f>C20*NTM_EBITDA</f>
        <v/>
      </c>
    </row>
    <row r="29"/>
    <row r="30"/>
    <row r="31"/>
    <row r="32"/>
    <row r="33"/>
    <row r="34"/>
    <row r="35"/>
    <row r="36"/>
    <row r="37"/>
    <row r="38"/>
    <row r="39"/>
    <row r="40"/>
    <row r="41"/>
    <row r="42"/>
    <row r="43"/>
    <row r="44"/>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9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DCF (OPTIONAL) - ENABLE VIA CONTROL</t>
        </is>
      </c>
      <c r="C2" s="2" t="n"/>
      <c r="D2" s="2" t="n"/>
      <c r="E2" s="2" t="n"/>
      <c r="F2" s="2" t="n"/>
      <c r="G2" s="2" t="n"/>
      <c r="H2" s="2" t="n"/>
      <c r="I2" s="2" t="n"/>
      <c r="J2" s="2" t="n"/>
      <c r="K2" s="2" t="n"/>
      <c r="L2" s="2" t="n"/>
      <c r="M2" s="2" t="n"/>
      <c r="N2" s="2" t="n"/>
      <c r="O2" s="2" t="n"/>
      <c r="P2" s="2" t="n"/>
      <c r="Q2" s="2" t="n"/>
      <c r="R2" s="2" t="n"/>
      <c r="S2" s="2" t="n"/>
      <c r="T2" s="2" t="n"/>
    </row>
    <row r="3"/>
    <row r="4">
      <c r="B4" s="5" t="inlineStr">
        <is>
          <t>This is a simplified DCF module. If CTRL_VAL_METHOD=1, outputs are blanked.</t>
        </is>
      </c>
    </row>
    <row r="5"/>
    <row r="6" ht="20" customHeight="1">
      <c r="B6" s="1" t="inlineStr">
        <is>
          <t>UNLEVERED FCF (FROM FORECAST)</t>
        </is>
      </c>
      <c r="C6" s="2" t="n"/>
      <c r="D6" s="2" t="n"/>
      <c r="E6" s="2" t="n"/>
      <c r="F6" s="2" t="n"/>
      <c r="G6" s="2" t="n"/>
      <c r="H6" s="2" t="n"/>
      <c r="I6" s="2" t="n"/>
      <c r="J6" s="2" t="n"/>
      <c r="K6" s="2" t="n"/>
      <c r="L6" s="2" t="n"/>
      <c r="M6" s="2" t="n"/>
      <c r="N6" s="2" t="n"/>
      <c r="O6" s="2" t="n"/>
      <c r="P6" s="2" t="n"/>
      <c r="Q6" s="2" t="n"/>
      <c r="R6" s="2" t="n"/>
      <c r="S6" s="2" t="n"/>
      <c r="T6" s="2" t="n"/>
    </row>
    <row r="7"/>
    <row r="8">
      <c r="B8" s="6" t="inlineStr"/>
      <c r="C8" s="6" t="inlineStr"/>
      <c r="D8" s="6" t="inlineStr"/>
      <c r="E8" s="6" t="inlineStr"/>
      <c r="F8" s="21" t="inlineStr"/>
      <c r="G8" s="21" t="inlineStr">
        <is>
          <t>FY2023A</t>
        </is>
      </c>
      <c r="H8" s="21" t="inlineStr">
        <is>
          <t>FY2024A</t>
        </is>
      </c>
      <c r="I8" s="21" t="inlineStr">
        <is>
          <t>FY2025A</t>
        </is>
      </c>
      <c r="J8" s="21" t="inlineStr">
        <is>
          <t>FY2026E</t>
        </is>
      </c>
      <c r="K8" s="21" t="inlineStr">
        <is>
          <t>FY2027E</t>
        </is>
      </c>
      <c r="L8" s="21" t="inlineStr">
        <is>
          <t>FY2028E</t>
        </is>
      </c>
      <c r="M8" s="21" t="inlineStr">
        <is>
          <t>FY2029E</t>
        </is>
      </c>
      <c r="N8" s="21" t="inlineStr">
        <is>
          <t>FY2030E</t>
        </is>
      </c>
    </row>
    <row r="9"/>
    <row r="10">
      <c r="B10" s="3" t="inlineStr">
        <is>
          <t>EBIT (DKKm)</t>
        </is>
      </c>
      <c r="F10" s="27" t="inlineStr"/>
      <c r="G10" s="27" t="n"/>
      <c r="H10" s="27" t="n"/>
      <c r="I10" s="8" t="n"/>
      <c r="J10" s="8">
        <f>'05_FORECAST'!J16</f>
        <v/>
      </c>
      <c r="K10" s="8">
        <f>'05_FORECAST'!K16</f>
        <v/>
      </c>
      <c r="L10" s="8">
        <f>'05_FORECAST'!L16</f>
        <v/>
      </c>
      <c r="M10" s="8">
        <f>'05_FORECAST'!M16</f>
        <v/>
      </c>
      <c r="N10">
        <f>'05_FORECAST'!N16</f>
        <v/>
      </c>
    </row>
    <row r="11">
      <c r="B11" s="3" t="inlineStr">
        <is>
          <t>Tax on EBIT (DKKm)</t>
        </is>
      </c>
      <c r="F11" s="27" t="inlineStr"/>
      <c r="G11" s="27" t="n"/>
      <c r="H11" s="27" t="n"/>
      <c r="I11" s="8" t="n"/>
      <c r="J11" s="8">
        <f>'05_FORECAST'!J17</f>
        <v/>
      </c>
      <c r="K11" s="8">
        <f>'05_FORECAST'!K17</f>
        <v/>
      </c>
      <c r="L11" s="8">
        <f>'05_FORECAST'!L17</f>
        <v/>
      </c>
      <c r="M11" s="8">
        <f>'05_FORECAST'!M17</f>
        <v/>
      </c>
      <c r="N11">
        <f>'05_FORECAST'!N17</f>
        <v/>
      </c>
    </row>
    <row r="12">
      <c r="B12" s="3" t="inlineStr">
        <is>
          <t>NOPAT (DKKm)</t>
        </is>
      </c>
      <c r="F12" s="27" t="inlineStr"/>
      <c r="G12" s="27" t="n"/>
      <c r="H12" s="27" t="n"/>
      <c r="I12" s="8" t="n"/>
      <c r="J12" s="8">
        <f>J10+J11</f>
        <v/>
      </c>
      <c r="K12" s="8">
        <f>K10+K11</f>
        <v/>
      </c>
      <c r="L12" s="8">
        <f>L10+L11</f>
        <v/>
      </c>
      <c r="M12" s="8">
        <f>M10+M11</f>
        <v/>
      </c>
      <c r="N12">
        <f>N10+N11</f>
        <v/>
      </c>
    </row>
    <row r="13">
      <c r="B13" s="3" t="inlineStr">
        <is>
          <t>+ D&amp;A (DKKm)</t>
        </is>
      </c>
      <c r="F13" s="27" t="inlineStr"/>
      <c r="G13" s="27" t="n"/>
      <c r="H13" s="27" t="n"/>
      <c r="I13" s="8" t="n"/>
      <c r="J13" s="8">
        <f>-'05_FORECAST'!J15</f>
        <v/>
      </c>
      <c r="K13" s="8">
        <f>-'05_FORECAST'!K15</f>
        <v/>
      </c>
      <c r="L13" s="8">
        <f>-'05_FORECAST'!L15</f>
        <v/>
      </c>
      <c r="M13" s="8">
        <f>-'05_FORECAST'!M15</f>
        <v/>
      </c>
      <c r="N13">
        <f>-'05_FORECAST'!N15</f>
        <v/>
      </c>
    </row>
    <row r="14">
      <c r="B14" s="3" t="inlineStr">
        <is>
          <t>- Capex (DKKm)</t>
        </is>
      </c>
      <c r="F14" s="27" t="inlineStr"/>
      <c r="G14" s="27" t="n"/>
      <c r="H14" s="27" t="n"/>
      <c r="I14" s="8" t="n"/>
      <c r="J14" s="8">
        <f>'05_FORECAST'!J42</f>
        <v/>
      </c>
      <c r="K14" s="8">
        <f>'05_FORECAST'!K42</f>
        <v/>
      </c>
      <c r="L14" s="8">
        <f>'05_FORECAST'!L42</f>
        <v/>
      </c>
      <c r="M14" s="8">
        <f>'05_FORECAST'!M42</f>
        <v/>
      </c>
      <c r="N14">
        <f>'05_FORECAST'!N42</f>
        <v/>
      </c>
    </row>
    <row r="15">
      <c r="B15" s="3" t="inlineStr">
        <is>
          <t>- ΔNWC (DKKm)</t>
        </is>
      </c>
      <c r="F15" s="27" t="inlineStr"/>
      <c r="G15" s="27" t="n"/>
      <c r="H15" s="27" t="n"/>
      <c r="I15" s="8" t="n"/>
      <c r="J15" s="8">
        <f>'05_FORECAST'!J40</f>
        <v/>
      </c>
      <c r="K15" s="8">
        <f>'05_FORECAST'!K40</f>
        <v/>
      </c>
      <c r="L15" s="8">
        <f>'05_FORECAST'!L40</f>
        <v/>
      </c>
      <c r="M15" s="8">
        <f>'05_FORECAST'!M40</f>
        <v/>
      </c>
      <c r="N15">
        <f>'05_FORECAST'!N40</f>
        <v/>
      </c>
    </row>
    <row r="16">
      <c r="B16" s="3" t="inlineStr">
        <is>
          <t>FCF (DKKm)</t>
        </is>
      </c>
      <c r="F16" s="27" t="inlineStr"/>
      <c r="G16" s="27" t="n"/>
      <c r="H16" s="27" t="n"/>
      <c r="I16" s="8" t="n"/>
      <c r="J16" s="8">
        <f>SUM(J12:J15)</f>
        <v/>
      </c>
      <c r="K16" s="8">
        <f>SUM(K12:K15)</f>
        <v/>
      </c>
      <c r="L16" s="8">
        <f>SUM(L12:L15)</f>
        <v/>
      </c>
      <c r="M16" s="8">
        <f>SUM(M12:M15)</f>
        <v/>
      </c>
      <c r="N16">
        <f>SUM(N12:N15)</f>
        <v/>
      </c>
    </row>
    <row r="17"/>
    <row r="18"/>
    <row r="19" ht="20" customHeight="1">
      <c r="B19" s="1" t="inlineStr">
        <is>
          <t>PV + TERMINAL VALUE</t>
        </is>
      </c>
      <c r="C19" s="2" t="n"/>
      <c r="D19" s="2" t="n"/>
      <c r="E19" s="2" t="n"/>
      <c r="F19" s="2" t="n"/>
      <c r="G19" s="2" t="n"/>
      <c r="H19" s="2" t="n"/>
      <c r="I19" s="2" t="n"/>
      <c r="J19" s="2" t="n"/>
      <c r="K19" s="2" t="n"/>
      <c r="L19" s="2" t="n"/>
      <c r="M19" s="2" t="n"/>
      <c r="N19" s="2" t="n"/>
      <c r="O19" s="2" t="n"/>
      <c r="P19" s="2" t="n"/>
      <c r="Q19" s="2" t="n"/>
      <c r="R19" s="2" t="n"/>
      <c r="S19" s="2" t="n"/>
      <c r="T19" s="2" t="n"/>
    </row>
    <row r="20"/>
    <row r="21">
      <c r="B21" s="3" t="inlineStr">
        <is>
          <t>Discount factor</t>
        </is>
      </c>
      <c r="F21" s="27" t="inlineStr"/>
      <c r="G21" s="27" t="inlineStr"/>
      <c r="H21" s="27" t="inlineStr"/>
      <c r="I21" s="45">
        <f>1/(1+WACC)^1</f>
        <v/>
      </c>
      <c r="J21" s="45">
        <f>1/(1+WACC)^1</f>
        <v/>
      </c>
      <c r="K21" s="45">
        <f>1/(1+WACC)^2</f>
        <v/>
      </c>
      <c r="L21" s="45">
        <f>1/(1+WACC)^3</f>
        <v/>
      </c>
      <c r="M21" s="45">
        <f>1/(1+WACC)^4</f>
        <v/>
      </c>
      <c r="N21">
        <f>1/(1+WACC)^5</f>
        <v/>
      </c>
    </row>
    <row r="22">
      <c r="B22" s="3" t="inlineStr">
        <is>
          <t>PV of FCF</t>
        </is>
      </c>
      <c r="F22" s="27" t="inlineStr"/>
      <c r="G22" s="27" t="inlineStr"/>
      <c r="H22" s="27" t="inlineStr"/>
      <c r="I22" s="8">
        <f>I16*I21</f>
        <v/>
      </c>
      <c r="J22" s="8">
        <f>J16*J21</f>
        <v/>
      </c>
      <c r="K22" s="8">
        <f>K16*K21</f>
        <v/>
      </c>
      <c r="L22" s="8">
        <f>L16*L21</f>
        <v/>
      </c>
      <c r="M22" s="8">
        <f>M16*M21</f>
        <v/>
      </c>
      <c r="N22">
        <f>N16*N21</f>
        <v/>
      </c>
    </row>
    <row r="23"/>
    <row r="24">
      <c r="B24" s="3" t="inlineStr">
        <is>
          <t>PV of explicit period (DKKm)</t>
        </is>
      </c>
      <c r="C24" s="8">
        <f>IF(CTRL_VAL_METHOD=2;SUM(J22:N22);"")</f>
        <v/>
      </c>
    </row>
    <row r="25">
      <c r="B25" s="3" t="inlineStr">
        <is>
          <t>Terminal value (DKKm)</t>
        </is>
      </c>
      <c r="C25" s="8">
        <f>IF(CTRL_VAL_METHOD=2;IF(TERM_METHOD=1;(N16*(1+TERM_G))/(WACC-TERM_G);EXIT_MULT*'05_FORECAST'!N14);"")</f>
        <v/>
      </c>
    </row>
    <row r="26">
      <c r="B26" s="3" t="inlineStr">
        <is>
          <t>PV of terminal value (DKKm)</t>
        </is>
      </c>
      <c r="C26" s="8">
        <f>IF(CTRL_VAL_METHOD=2;C25*N21;"")</f>
        <v/>
      </c>
    </row>
    <row r="27">
      <c r="B27" s="3" t="inlineStr">
        <is>
          <t>DCF EV (DKKm)</t>
        </is>
      </c>
      <c r="C27" s="8">
        <f>IF(CTRL_VAL_METHOD=2;C24+C26;"")</f>
        <v/>
      </c>
    </row>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VALUATION TRIANGULATION (LOW / BASE / HIGH)</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METHOD OUTPUTS (EV)</t>
        </is>
      </c>
      <c r="C6" s="2" t="n"/>
      <c r="D6" s="2" t="n"/>
      <c r="E6" s="2" t="n"/>
      <c r="F6" s="2" t="n"/>
      <c r="G6" s="2" t="n"/>
      <c r="H6" s="2" t="n"/>
      <c r="I6" s="2" t="n"/>
      <c r="J6" s="2" t="n"/>
      <c r="K6" s="2" t="n"/>
      <c r="L6" s="2" t="n"/>
      <c r="M6" s="2" t="n"/>
      <c r="N6" s="2" t="n"/>
      <c r="O6" s="2" t="n"/>
      <c r="P6" s="2" t="n"/>
      <c r="Q6" s="2" t="n"/>
      <c r="R6" s="2" t="n"/>
      <c r="S6" s="2" t="n"/>
      <c r="T6" s="2" t="n"/>
    </row>
    <row r="7"/>
    <row r="8">
      <c r="B8" s="6" t="inlineStr"/>
      <c r="C8" s="6" t="inlineStr">
        <is>
          <t>Low</t>
        </is>
      </c>
      <c r="D8" s="6" t="inlineStr">
        <is>
          <t>Base</t>
        </is>
      </c>
      <c r="E8" s="6" t="inlineStr">
        <is>
          <t>High</t>
        </is>
      </c>
    </row>
    <row r="9">
      <c r="B9" s="3" t="inlineStr">
        <is>
          <t>Comps EV (DKKm)</t>
        </is>
      </c>
      <c r="C9" s="8">
        <f>EV_COMPS_LOW</f>
        <v/>
      </c>
      <c r="D9" s="8">
        <f>EV_COMPS_BASE</f>
        <v/>
      </c>
      <c r="E9" s="8">
        <f>EV_COMPS_HIGH</f>
        <v/>
      </c>
    </row>
    <row r="10">
      <c r="B10" s="3" t="inlineStr">
        <is>
          <t>DCF EV (DKKm) (blank if disabled)</t>
        </is>
      </c>
      <c r="C10" s="8">
        <f>IF(CTRL_VAL_METHOD=2;EV_DCF_BASE*0,9;"")</f>
        <v/>
      </c>
      <c r="D10" s="8">
        <f>IF(CTRL_VAL_METHOD=2;EV_DCF_BASE;"")</f>
        <v/>
      </c>
      <c r="E10" s="8">
        <f>IF(CTRL_VAL_METHOD=2;EV_DCF_BASE*1,1;"")</f>
        <v/>
      </c>
    </row>
    <row r="11"/>
    <row r="12" ht="20" customHeight="1">
      <c r="B12" s="1" t="inlineStr">
        <is>
          <t>WEIGHTS + TRIANGULATED EV</t>
        </is>
      </c>
      <c r="C12" s="2" t="n"/>
      <c r="D12" s="2" t="n"/>
      <c r="E12" s="2" t="n"/>
      <c r="F12" s="2" t="n"/>
      <c r="G12" s="2" t="n"/>
      <c r="H12" s="2" t="n"/>
      <c r="I12" s="2" t="n"/>
      <c r="J12" s="2" t="n"/>
      <c r="K12" s="2" t="n"/>
      <c r="L12" s="2" t="n"/>
      <c r="M12" s="2" t="n"/>
      <c r="N12" s="2" t="n"/>
      <c r="O12" s="2" t="n"/>
      <c r="P12" s="2" t="n"/>
      <c r="Q12" s="2" t="n"/>
      <c r="R12" s="2" t="n"/>
      <c r="S12" s="2" t="n"/>
      <c r="T12" s="2" t="n"/>
    </row>
    <row r="13"/>
    <row r="14">
      <c r="B14" s="3" t="inlineStr">
        <is>
          <t>Comps weight</t>
        </is>
      </c>
      <c r="C14" s="11">
        <f>IF(CTRL_VAL_METHOD=2;W_COMPS;1)</f>
        <v/>
      </c>
    </row>
    <row r="15">
      <c r="B15" s="3" t="inlineStr">
        <is>
          <t>DCF weight</t>
        </is>
      </c>
      <c r="C15" s="11">
        <f>IF(CTRL_VAL_METHOD=2;W_DCF;0)</f>
        <v/>
      </c>
    </row>
    <row r="16"/>
    <row r="17">
      <c r="B17" s="3" t="inlineStr">
        <is>
          <t>Triangulated EV Low (DKKm)</t>
        </is>
      </c>
      <c r="C17" s="8">
        <f>$C$14*C9+$C$15*C10</f>
        <v/>
      </c>
    </row>
    <row r="18">
      <c r="B18" s="3" t="inlineStr">
        <is>
          <t>Triangulated EV Base (DKKm)</t>
        </is>
      </c>
      <c r="C18" s="8">
        <f>$C$14*D9+$C$15*D10</f>
        <v/>
      </c>
    </row>
    <row r="19">
      <c r="B19" s="3" t="inlineStr">
        <is>
          <t>Triangulated EV High (DKKm)</t>
        </is>
      </c>
      <c r="C19" s="8">
        <f>$C$14*E9+$C$15*E10</f>
        <v/>
      </c>
    </row>
    <row r="20"/>
    <row r="21"/>
    <row r="22" ht="20" customHeight="1">
      <c r="B22" s="1" t="inlineStr">
        <is>
          <t>EQUITY VALUE + IMPLIED PRICE (POST-IPO)</t>
        </is>
      </c>
      <c r="C22" s="2" t="n"/>
      <c r="D22" s="2" t="n"/>
      <c r="E22" s="2" t="n"/>
      <c r="F22" s="2" t="n"/>
      <c r="G22" s="2" t="n"/>
      <c r="H22" s="2" t="n"/>
      <c r="I22" s="2" t="n"/>
      <c r="J22" s="2" t="n"/>
      <c r="K22" s="2" t="n"/>
      <c r="L22" s="2" t="n"/>
      <c r="M22" s="2" t="n"/>
      <c r="N22" s="2" t="n"/>
      <c r="O22" s="2" t="n"/>
      <c r="P22" s="2" t="n"/>
      <c r="Q22" s="2" t="n"/>
      <c r="R22" s="2" t="n"/>
      <c r="S22" s="2" t="n"/>
      <c r="T22" s="2" t="n"/>
    </row>
    <row r="23"/>
    <row r="24">
      <c r="B24" s="3" t="inlineStr">
        <is>
          <t>Net debt post (DKKm)</t>
        </is>
      </c>
      <c r="C24" s="8">
        <f>NETDEBT_POST</f>
        <v/>
      </c>
    </row>
    <row r="25">
      <c r="B25" s="3" t="inlineStr">
        <is>
          <t>Post shares (basic, m)</t>
        </is>
      </c>
      <c r="C25" s="46">
        <f>POST_SHARES</f>
        <v/>
      </c>
    </row>
    <row r="26">
      <c r="B26" s="3" t="inlineStr">
        <is>
          <t>Equity value Low (DKKm)</t>
        </is>
      </c>
      <c r="C26" s="8">
        <f>EV_TRI_LOW-NETDEBT_POST</f>
        <v/>
      </c>
    </row>
    <row r="27">
      <c r="B27" s="3" t="inlineStr">
        <is>
          <t>Equity value Base (DKKm)</t>
        </is>
      </c>
      <c r="C27" s="8">
        <f>EV_TRI_BASE-NETDEBT_POST</f>
        <v/>
      </c>
    </row>
    <row r="28">
      <c r="B28" s="3" t="inlineStr">
        <is>
          <t>Equity value High (DKKm)</t>
        </is>
      </c>
      <c r="C28" s="8">
        <f>EV_TRI_HIGH-NETDEBT_POST</f>
        <v/>
      </c>
    </row>
    <row r="29">
      <c r="B29" s="3" t="inlineStr">
        <is>
          <t>Implied price Low (DKK/share)</t>
        </is>
      </c>
      <c r="C29" s="8">
        <f>EQ_LOW/POST_SHARES</f>
        <v/>
      </c>
    </row>
    <row r="30">
      <c r="B30" s="3" t="inlineStr">
        <is>
          <t>Implied price Base (DKK/share)</t>
        </is>
      </c>
      <c r="C30" s="8">
        <f>EQ_BASE/POST_SHARES</f>
        <v/>
      </c>
    </row>
    <row r="31">
      <c r="B31" s="3" t="inlineStr">
        <is>
          <t>Implied price High (DKK/share)</t>
        </is>
      </c>
      <c r="C31" s="8">
        <f>EQ_HIGH/POST_SHARES</f>
        <v/>
      </c>
    </row>
    <row r="32"/>
    <row r="33"/>
    <row r="34"/>
    <row r="35"/>
    <row r="36"/>
    <row r="37"/>
    <row r="38"/>
    <row r="39"/>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5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OFFER STRUCTURE (PRIMARY / SECONDARY / GREENSHEOE / FEES)</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INPUTS (LINKED FROM CONTROL)</t>
        </is>
      </c>
      <c r="C6" s="2" t="n"/>
      <c r="D6" s="2" t="n"/>
      <c r="E6" s="2" t="n"/>
      <c r="F6" s="2" t="n"/>
      <c r="G6" s="2" t="n"/>
      <c r="H6" s="2" t="n"/>
      <c r="I6" s="2" t="n"/>
      <c r="J6" s="2" t="n"/>
      <c r="K6" s="2" t="n"/>
      <c r="L6" s="2" t="n"/>
      <c r="M6" s="2" t="n"/>
      <c r="N6" s="2" t="n"/>
      <c r="O6" s="2" t="n"/>
      <c r="P6" s="2" t="n"/>
      <c r="Q6" s="2" t="n"/>
      <c r="R6" s="2" t="n"/>
      <c r="S6" s="2" t="n"/>
      <c r="T6" s="2" t="n"/>
    </row>
    <row r="7"/>
    <row r="8">
      <c r="B8" s="3" t="inlineStr">
        <is>
          <t>Selected price (DKK/share)</t>
        </is>
      </c>
      <c r="C8" s="8">
        <f>IPO_PX_SEL</f>
        <v/>
      </c>
    </row>
    <row r="9">
      <c r="B9" s="3" t="inlineStr">
        <is>
          <t>Gross proceeds target at base price (DKKm)</t>
        </is>
      </c>
      <c r="C9" s="8">
        <f>GROSS_PROCEEDS_BASE</f>
        <v/>
      </c>
    </row>
    <row r="10">
      <c r="B10" s="3" t="inlineStr">
        <is>
          <t>Primary %</t>
        </is>
      </c>
      <c r="C10" s="11">
        <f>PRIMARY_PCT</f>
        <v/>
      </c>
    </row>
    <row r="11">
      <c r="B11" s="3" t="inlineStr">
        <is>
          <t>Secondary %</t>
        </is>
      </c>
      <c r="C11" s="11">
        <f>SECONDARY_PCT</f>
        <v/>
      </c>
    </row>
    <row r="12">
      <c r="B12" s="3" t="inlineStr">
        <is>
          <t>Greenshoe on/off</t>
        </is>
      </c>
      <c r="C12" s="4">
        <f>CTRL_GS_ON</f>
        <v/>
      </c>
    </row>
    <row r="13">
      <c r="B13" s="3" t="inlineStr">
        <is>
          <t>Greenshoe %</t>
        </is>
      </c>
      <c r="C13" s="11">
        <f>GS_PCT</f>
        <v/>
      </c>
    </row>
    <row r="14">
      <c r="B14" s="3" t="inlineStr">
        <is>
          <t>Fee %</t>
        </is>
      </c>
      <c r="C14" s="11">
        <f>FEE_PCT</f>
        <v/>
      </c>
    </row>
    <row r="15">
      <c r="B15" s="3" t="inlineStr">
        <is>
          <t>Other costs (DKKm)</t>
        </is>
      </c>
      <c r="C15" s="8">
        <f>OTHER_COSTS</f>
        <v/>
      </c>
    </row>
    <row r="16"/>
    <row r="17"/>
    <row r="18" ht="20" customHeight="1">
      <c r="B18" s="1" t="inlineStr">
        <is>
          <t>SHARES &amp; PROCEEDS (CALCS)</t>
        </is>
      </c>
      <c r="C18" s="2" t="n"/>
      <c r="D18" s="2" t="n"/>
      <c r="E18" s="2" t="n"/>
      <c r="F18" s="2" t="n"/>
      <c r="G18" s="2" t="n"/>
      <c r="H18" s="2" t="n"/>
      <c r="I18" s="2" t="n"/>
      <c r="J18" s="2" t="n"/>
      <c r="K18" s="2" t="n"/>
      <c r="L18" s="2" t="n"/>
      <c r="M18" s="2" t="n"/>
      <c r="N18" s="2" t="n"/>
      <c r="O18" s="2" t="n"/>
      <c r="P18" s="2" t="n"/>
      <c r="Q18" s="2" t="n"/>
      <c r="R18" s="2" t="n"/>
      <c r="S18" s="2" t="n"/>
      <c r="T18" s="2" t="n"/>
    </row>
    <row r="19">
      <c r="B19" s="3" t="inlineStr">
        <is>
          <t>Offer shares at base price (m shares)</t>
        </is>
      </c>
      <c r="C19" s="46">
        <f>GROSS_PROCEEDS_BASE/IPO_PX_BASE</f>
        <v/>
      </c>
    </row>
    <row r="20">
      <c r="B20" s="3" t="inlineStr">
        <is>
          <t>Primary shares (m)</t>
        </is>
      </c>
      <c r="C20" s="46">
        <f>C19*PRIMARY_PCT</f>
        <v/>
      </c>
    </row>
    <row r="21">
      <c r="B21" s="3" t="inlineStr">
        <is>
          <t>Secondary shares (m)</t>
        </is>
      </c>
      <c r="C21" s="46">
        <f>C19*SECONDARY_PCT</f>
        <v/>
      </c>
    </row>
    <row r="22">
      <c r="B22" s="3" t="inlineStr">
        <is>
          <t>Greenshoe shares (m)</t>
        </is>
      </c>
      <c r="C22" s="46">
        <f>IF(CTRL_GS_ON=1;C19*GS_PCT;0)</f>
        <v/>
      </c>
    </row>
    <row r="23">
      <c r="B23" s="3" t="inlineStr">
        <is>
          <t>Total shares sold (m)</t>
        </is>
      </c>
      <c r="C23" s="46">
        <f>SUM(C20:C22)</f>
        <v/>
      </c>
    </row>
    <row r="24">
      <c r="B24" s="3" t="inlineStr">
        <is>
          <t>Primary proceeds (gross, DKKm)</t>
        </is>
      </c>
      <c r="C24" s="8">
        <f>C20*IPO_PX_SEL</f>
        <v/>
      </c>
    </row>
    <row r="25">
      <c r="B25" s="3" t="inlineStr">
        <is>
          <t>Secondary proceeds (gross, DKKm)</t>
        </is>
      </c>
      <c r="C25" s="8">
        <f>C21*IPO_PX_SEL</f>
        <v/>
      </c>
    </row>
    <row r="26">
      <c r="B26" s="3" t="inlineStr">
        <is>
          <t>Greenshoe proceeds (gross, DKKm)</t>
        </is>
      </c>
      <c r="C26" s="8">
        <f>C22*IPO_PX_SEL</f>
        <v/>
      </c>
    </row>
    <row r="27">
      <c r="B27" s="3" t="inlineStr">
        <is>
          <t>Total gross proceeds (DKKm)</t>
        </is>
      </c>
      <c r="C27" s="8">
        <f>SUM(C24:C26)</f>
        <v/>
      </c>
    </row>
    <row r="28">
      <c r="B28" s="3" t="inlineStr">
        <is>
          <t>Underwriting fee (DKKm)</t>
        </is>
      </c>
      <c r="C28" s="8">
        <f>C27*FEE_PCT</f>
        <v/>
      </c>
    </row>
    <row r="29">
      <c r="B29" s="3" t="inlineStr">
        <is>
          <t>Other costs (DKKm)</t>
        </is>
      </c>
      <c r="C29" s="8">
        <f>OTHER_COSTS</f>
        <v/>
      </c>
    </row>
    <row r="30">
      <c r="B30" s="3" t="inlineStr">
        <is>
          <t>Total costs (DKKm)</t>
        </is>
      </c>
      <c r="C30" s="8">
        <f>C28+C29</f>
        <v/>
      </c>
    </row>
    <row r="31">
      <c r="B31" s="3" t="inlineStr">
        <is>
          <t>Fee allocation to primary (DKKm)</t>
        </is>
      </c>
      <c r="C31" s="8">
        <f>IF(CTRL_FEE_ALLOC=1;C30; C30*(C24/C27))</f>
        <v/>
      </c>
    </row>
    <row r="32">
      <c r="B32" s="3" t="inlineStr">
        <is>
          <t>Other cost allocation to primary (DKKm)</t>
        </is>
      </c>
      <c r="C32" s="8">
        <f>IF(CTRL_FEE_ALLOC=1;C29; C29*(C24/C27))</f>
        <v/>
      </c>
    </row>
    <row r="33">
      <c r="B33" s="3" t="inlineStr">
        <is>
          <t>Net primary proceeds to company (DKKm)</t>
        </is>
      </c>
      <c r="C33" s="8">
        <f>C24-C31-C32</f>
        <v/>
      </c>
    </row>
    <row r="34"/>
    <row r="35"/>
    <row r="36" ht="20" customHeight="1">
      <c r="B36" s="1" t="inlineStr">
        <is>
          <t>OUTPUT ANCHORS (DO NOT EDIT)</t>
        </is>
      </c>
      <c r="C36" s="2" t="n"/>
      <c r="D36" s="2" t="n"/>
      <c r="E36" s="2" t="n"/>
      <c r="F36" s="2" t="n"/>
      <c r="G36" s="2" t="n"/>
      <c r="H36" s="2" t="n"/>
      <c r="I36" s="2" t="n"/>
      <c r="J36" s="2" t="n"/>
      <c r="K36" s="2" t="n"/>
      <c r="L36" s="2" t="n"/>
      <c r="M36" s="2" t="n"/>
      <c r="N36" s="2" t="n"/>
      <c r="O36" s="2" t="n"/>
      <c r="P36" s="2" t="n"/>
      <c r="Q36" s="2" t="n"/>
      <c r="R36" s="2" t="n"/>
      <c r="S36" s="2" t="n"/>
      <c r="T36" s="2" t="n"/>
    </row>
    <row r="37"/>
    <row r="38">
      <c r="B38" s="3" t="inlineStr">
        <is>
          <t>Primary shares (m)</t>
        </is>
      </c>
      <c r="C38" s="46">
        <f>C20</f>
        <v/>
      </c>
    </row>
    <row r="39">
      <c r="B39" s="3" t="inlineStr">
        <is>
          <t>Total shares sold to public (m)</t>
        </is>
      </c>
      <c r="C39" s="46">
        <f>C23</f>
        <v/>
      </c>
    </row>
    <row r="40">
      <c r="B40" s="3" t="inlineStr">
        <is>
          <t>Net primary proceeds (DKKm)</t>
        </is>
      </c>
      <c r="C40" s="8">
        <f>C33</f>
        <v/>
      </c>
    </row>
    <row r="41">
      <c r="B41" s="3" t="inlineStr">
        <is>
          <t>Total costs (DKKm)</t>
        </is>
      </c>
      <c r="C41" s="8">
        <f>C30</f>
        <v/>
      </c>
    </row>
    <row r="42"/>
    <row r="43"/>
    <row r="44"/>
    <row r="45"/>
    <row r="46"/>
    <row r="47"/>
    <row r="48"/>
    <row r="49"/>
    <row r="50"/>
    <row r="51"/>
    <row r="52"/>
    <row r="53"/>
    <row r="54"/>
    <row r="55"/>
    <row r="56"/>
    <row r="57"/>
    <row r="58"/>
    <row r="59"/>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60"/>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CAP TABLE &amp; DILUTION (PRE / POST)</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PRE-IPO OWNERSHIP (INPUTS)</t>
        </is>
      </c>
      <c r="C6" s="2" t="n"/>
      <c r="D6" s="2" t="n"/>
      <c r="E6" s="2" t="n"/>
      <c r="F6" s="2" t="n"/>
      <c r="G6" s="2" t="n"/>
      <c r="H6" s="2" t="n"/>
      <c r="I6" s="2" t="n"/>
      <c r="J6" s="2" t="n"/>
      <c r="K6" s="2" t="n"/>
      <c r="L6" s="2" t="n"/>
      <c r="M6" s="2" t="n"/>
      <c r="N6" s="2" t="n"/>
      <c r="O6" s="2" t="n"/>
      <c r="P6" s="2" t="n"/>
      <c r="Q6" s="2" t="n"/>
      <c r="R6" s="2" t="n"/>
      <c r="S6" s="2" t="n"/>
      <c r="T6" s="2" t="n"/>
    </row>
    <row r="7"/>
    <row r="8">
      <c r="B8" s="3" t="inlineStr">
        <is>
          <t>Pre-IPO total shares (m)</t>
        </is>
      </c>
      <c r="C8" s="47" t="n">
        <v>100</v>
      </c>
    </row>
    <row r="9">
      <c r="B9" s="3" t="inlineStr">
        <is>
          <t>Options / ESOP (m, fully diluted add-on)</t>
        </is>
      </c>
      <c r="C9" s="47" t="n">
        <v>5</v>
      </c>
    </row>
    <row r="10"/>
    <row r="11" ht="18" customHeight="1">
      <c r="B11" s="6" t="inlineStr">
        <is>
          <t>Holder</t>
        </is>
      </c>
      <c r="C11" s="6" t="inlineStr">
        <is>
          <t>Pre %</t>
        </is>
      </c>
      <c r="D11" s="6" t="inlineStr">
        <is>
          <t>Pre shares (m)</t>
        </is>
      </c>
      <c r="E11" s="6" t="inlineStr">
        <is>
          <t>Secondary sold (m)</t>
        </is>
      </c>
      <c r="F11" s="21" t="inlineStr">
        <is>
          <t>Post shares (m)</t>
        </is>
      </c>
      <c r="G11" s="21" t="inlineStr">
        <is>
          <t>Post %</t>
        </is>
      </c>
    </row>
    <row r="12" ht="18" customHeight="1">
      <c r="B12" s="14" t="inlineStr">
        <is>
          <t>Owner A</t>
        </is>
      </c>
      <c r="C12" s="23" t="n">
        <v>0.4</v>
      </c>
      <c r="D12" s="46">
        <f>$C$8*C12</f>
        <v/>
      </c>
      <c r="E12" s="46">
        <f>IF(CTRL_SEC_ALLOC=1;(SECONDARY_SHARES+GS_SHARES)*C12;0)</f>
        <v/>
      </c>
      <c r="F12" s="46">
        <f>D12-E12</f>
        <v/>
      </c>
      <c r="G12" s="11">
        <f>F12/POST_SHARES</f>
        <v/>
      </c>
    </row>
    <row r="13" ht="18" customHeight="1">
      <c r="B13" s="14" t="inlineStr">
        <is>
          <t>Owner B</t>
        </is>
      </c>
      <c r="C13" s="23" t="n">
        <v>0.25</v>
      </c>
      <c r="D13" s="46">
        <f>$C$8*C13</f>
        <v/>
      </c>
      <c r="E13" s="46">
        <f>IF(CTRL_SEC_ALLOC=1;(SECONDARY_SHARES+GS_SHARES)*C13;0)</f>
        <v/>
      </c>
      <c r="F13" s="46">
        <f>D13-E13</f>
        <v/>
      </c>
      <c r="G13" s="11">
        <f>F13/POST_SHARES</f>
        <v/>
      </c>
    </row>
    <row r="14" ht="18" customHeight="1">
      <c r="B14" s="14" t="inlineStr">
        <is>
          <t>Owner C</t>
        </is>
      </c>
      <c r="C14" s="23" t="n">
        <v>0.2</v>
      </c>
      <c r="D14" s="46">
        <f>$C$8*C14</f>
        <v/>
      </c>
      <c r="E14" s="46">
        <f>IF(CTRL_SEC_ALLOC=1;(SECONDARY_SHARES+GS_SHARES)*C14;0)</f>
        <v/>
      </c>
      <c r="F14" s="46">
        <f>D14-E14</f>
        <v/>
      </c>
      <c r="G14" s="11">
        <f>F14/POST_SHARES</f>
        <v/>
      </c>
    </row>
    <row r="15" ht="18" customHeight="1">
      <c r="B15" s="14" t="inlineStr">
        <is>
          <t>Owner D</t>
        </is>
      </c>
      <c r="C15" s="23" t="n">
        <v>0.1</v>
      </c>
      <c r="D15" s="46">
        <f>$C$8*C15</f>
        <v/>
      </c>
      <c r="E15" s="46">
        <f>IF(CTRL_SEC_ALLOC=1;(SECONDARY_SHARES+GS_SHARES)*C15;0)</f>
        <v/>
      </c>
      <c r="F15" s="46">
        <f>D15-E15</f>
        <v/>
      </c>
      <c r="G15" s="11">
        <f>F15/POST_SHARES</f>
        <v/>
      </c>
    </row>
    <row r="16" ht="18" customHeight="1">
      <c r="B16" s="14" t="inlineStr">
        <is>
          <t>Other</t>
        </is>
      </c>
      <c r="C16" s="23" t="n">
        <v>0.05</v>
      </c>
      <c r="D16" s="46">
        <f>$C$8*C16</f>
        <v/>
      </c>
      <c r="E16" s="46">
        <f>IF(CTRL_SEC_ALLOC=1;(SECONDARY_SHARES+GS_SHARES)*C16;0)</f>
        <v/>
      </c>
      <c r="F16" s="46">
        <f>D16-E16</f>
        <v/>
      </c>
      <c r="G16" s="11">
        <f>F16/POST_SHARES</f>
        <v/>
      </c>
    </row>
    <row r="17" ht="18" customHeight="1">
      <c r="B17" s="38" t="inlineStr">
        <is>
          <t>Public (free float)</t>
        </is>
      </c>
      <c r="F17" s="46">
        <f>SHARES_SOLD_PUBLIC</f>
        <v/>
      </c>
      <c r="G17" s="11">
        <f>FREE_FLOAT_PCT</f>
        <v/>
      </c>
    </row>
    <row r="18"/>
    <row r="19"/>
    <row r="20" ht="20" customHeight="1">
      <c r="B20" s="1" t="inlineStr">
        <is>
          <t>POST-IPO SHARE COUNT (CALCS)</t>
        </is>
      </c>
      <c r="C20" s="2" t="n"/>
      <c r="D20" s="2" t="n"/>
      <c r="E20" s="2" t="n"/>
      <c r="F20" s="2" t="n"/>
      <c r="G20" s="2" t="n"/>
      <c r="H20" s="2" t="n"/>
      <c r="I20" s="2" t="n"/>
      <c r="J20" s="2" t="n"/>
      <c r="K20" s="2" t="n"/>
      <c r="L20" s="2" t="n"/>
      <c r="M20" s="2" t="n"/>
      <c r="N20" s="2" t="n"/>
      <c r="O20" s="2" t="n"/>
      <c r="P20" s="2" t="n"/>
      <c r="Q20" s="2" t="n"/>
      <c r="R20" s="2" t="n"/>
      <c r="S20" s="2" t="n"/>
      <c r="T20" s="2" t="n"/>
    </row>
    <row r="21"/>
    <row r="22">
      <c r="B22" s="3" t="inlineStr">
        <is>
          <t>New primary shares issued (m)</t>
        </is>
      </c>
      <c r="C22" s="46">
        <f>NEW_PRIMARY_SHARES</f>
        <v/>
      </c>
    </row>
    <row r="23">
      <c r="B23" s="3" t="inlineStr">
        <is>
          <t>Post-IPO total shares (basic, m)</t>
        </is>
      </c>
      <c r="C23" s="46">
        <f>PRE_SHARES+NEW_PRIMARY_SHARES</f>
        <v/>
      </c>
    </row>
    <row r="24">
      <c r="B24" s="3" t="inlineStr">
        <is>
          <t>Post-IPO shares (fully diluted, m)</t>
        </is>
      </c>
      <c r="C24" s="46">
        <f>C23+OPT_SHARES</f>
        <v/>
      </c>
    </row>
    <row r="25">
      <c r="B25" s="3" t="inlineStr">
        <is>
          <t>Free float (shares sold / post basic)</t>
        </is>
      </c>
      <c r="C25" s="11">
        <f>SHARES_SOLD_PUBLIC/POST_SHARES</f>
        <v/>
      </c>
    </row>
    <row r="26">
      <c r="B26" s="3" t="inlineStr">
        <is>
          <t>Primary dilution (1 - pre/post)</t>
        </is>
      </c>
      <c r="C26" s="11">
        <f>1-(PRE_SHARES/POST_SHARES)</f>
        <v/>
      </c>
    </row>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9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PRO FORMA BALANCE SHEET (POST-IPO)</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OPENING POSITION (PRE-IPO) - FY2025A</t>
        </is>
      </c>
      <c r="C6" s="2" t="n"/>
      <c r="D6" s="2" t="n"/>
      <c r="E6" s="2" t="n"/>
      <c r="F6" s="2" t="n"/>
      <c r="G6" s="2" t="n"/>
      <c r="H6" s="2" t="n"/>
      <c r="I6" s="2" t="n"/>
      <c r="J6" s="2" t="n"/>
      <c r="K6" s="2" t="n"/>
      <c r="L6" s="2" t="n"/>
      <c r="M6" s="2" t="n"/>
      <c r="N6" s="2" t="n"/>
      <c r="O6" s="2" t="n"/>
      <c r="P6" s="2" t="n"/>
      <c r="Q6" s="2" t="n"/>
      <c r="R6" s="2" t="n"/>
      <c r="S6" s="2" t="n"/>
      <c r="T6" s="2" t="n"/>
    </row>
    <row r="7"/>
    <row r="8">
      <c r="B8" s="3" t="inlineStr">
        <is>
          <t>Cash (DKKm)</t>
        </is>
      </c>
      <c r="C8" s="8">
        <f>'03_HISTORICALS'!I22</f>
        <v/>
      </c>
    </row>
    <row r="9">
      <c r="B9" s="3" t="inlineStr">
        <is>
          <t>Debt (DKKm)</t>
        </is>
      </c>
      <c r="C9" s="8">
        <f>'03_HISTORICALS'!I23</f>
        <v/>
      </c>
    </row>
    <row r="10">
      <c r="B10" s="3" t="inlineStr">
        <is>
          <t>Equity (DKKm)</t>
        </is>
      </c>
      <c r="C10" s="8">
        <f>'03_HISTORICALS'!I28</f>
        <v/>
      </c>
    </row>
    <row r="11"/>
    <row r="12"/>
    <row r="13" ht="20" customHeight="1">
      <c r="B13" s="1" t="inlineStr">
        <is>
          <t>TRANSACTION ADJUSTMENTS</t>
        </is>
      </c>
      <c r="C13" s="2" t="n"/>
      <c r="D13" s="2" t="n"/>
      <c r="E13" s="2" t="n"/>
      <c r="F13" s="2" t="n"/>
      <c r="G13" s="2" t="n"/>
      <c r="H13" s="2" t="n"/>
      <c r="I13" s="2" t="n"/>
      <c r="J13" s="2" t="n"/>
      <c r="K13" s="2" t="n"/>
      <c r="L13" s="2" t="n"/>
      <c r="M13" s="2" t="n"/>
      <c r="N13" s="2" t="n"/>
      <c r="O13" s="2" t="n"/>
      <c r="P13" s="2" t="n"/>
      <c r="Q13" s="2" t="n"/>
      <c r="R13" s="2" t="n"/>
      <c r="S13" s="2" t="n"/>
      <c r="T13" s="2" t="n"/>
    </row>
    <row r="14"/>
    <row r="15">
      <c r="B15" s="3" t="inlineStr">
        <is>
          <t>Net proceeds to company (DKKm)</t>
        </is>
      </c>
      <c r="C15" s="8">
        <f>NET_PROCEEDS_CO</f>
        <v/>
      </c>
    </row>
    <row r="16">
      <c r="B16" s="3" t="inlineStr">
        <is>
          <t>Debt paydown (DKKm)</t>
        </is>
      </c>
      <c r="C16" s="8">
        <f>DEBT_PAYDOWN</f>
        <v/>
      </c>
    </row>
    <row r="17">
      <c r="B17" s="3" t="inlineStr">
        <is>
          <t>Growth investment (DKKm)</t>
        </is>
      </c>
      <c r="C17" s="8">
        <f>GROWTH_INVEST</f>
        <v/>
      </c>
    </row>
    <row r="18"/>
    <row r="19"/>
    <row r="20" ht="20" customHeight="1">
      <c r="B20" s="1" t="inlineStr">
        <is>
          <t>POST-IPO POSITION (SIMPLIFIED)</t>
        </is>
      </c>
      <c r="C20" s="2" t="n"/>
      <c r="D20" s="2" t="n"/>
      <c r="E20" s="2" t="n"/>
      <c r="F20" s="2" t="n"/>
      <c r="G20" s="2" t="n"/>
      <c r="H20" s="2" t="n"/>
      <c r="I20" s="2" t="n"/>
      <c r="J20" s="2" t="n"/>
      <c r="K20" s="2" t="n"/>
      <c r="L20" s="2" t="n"/>
      <c r="M20" s="2" t="n"/>
      <c r="N20" s="2" t="n"/>
      <c r="O20" s="2" t="n"/>
      <c r="P20" s="2" t="n"/>
      <c r="Q20" s="2" t="n"/>
      <c r="R20" s="2" t="n"/>
      <c r="S20" s="2" t="n"/>
      <c r="T20" s="2" t="n"/>
    </row>
    <row r="21"/>
    <row r="22">
      <c r="B22" s="3" t="inlineStr">
        <is>
          <t>Cash post (DKKm)</t>
        </is>
      </c>
      <c r="C22" s="8">
        <f>C8+C15-C16-C17</f>
        <v/>
      </c>
    </row>
    <row r="23">
      <c r="B23" s="3" t="inlineStr">
        <is>
          <t>Debt post (DKKm)</t>
        </is>
      </c>
      <c r="C23" s="8">
        <f>C9-C16</f>
        <v/>
      </c>
    </row>
    <row r="24">
      <c r="B24" s="3" t="inlineStr">
        <is>
          <t>Equity post (DKKm)</t>
        </is>
      </c>
      <c r="C24" s="8">
        <f>C10+C15</f>
        <v/>
      </c>
    </row>
    <row r="25">
      <c r="B25" s="3" t="inlineStr">
        <is>
          <t>Net debt post (DKKm)</t>
        </is>
      </c>
      <c r="C25" s="8">
        <f>C23-C22</f>
        <v/>
      </c>
    </row>
    <row r="26"/>
    <row r="27"/>
    <row r="28" ht="20" customHeight="1">
      <c r="B28" s="1" t="inlineStr">
        <is>
          <t>LEVERAGE (HEADLINE)</t>
        </is>
      </c>
      <c r="C28" s="2" t="n"/>
      <c r="D28" s="2" t="n"/>
      <c r="E28" s="2" t="n"/>
      <c r="F28" s="2" t="n"/>
      <c r="G28" s="2" t="n"/>
      <c r="H28" s="2" t="n"/>
      <c r="I28" s="2" t="n"/>
      <c r="J28" s="2" t="n"/>
      <c r="K28" s="2" t="n"/>
      <c r="L28" s="2" t="n"/>
      <c r="M28" s="2" t="n"/>
      <c r="N28" s="2" t="n"/>
      <c r="O28" s="2" t="n"/>
      <c r="P28" s="2" t="n"/>
      <c r="Q28" s="2" t="n"/>
      <c r="R28" s="2" t="n"/>
      <c r="S28" s="2" t="n"/>
      <c r="T28" s="2" t="n"/>
    </row>
    <row r="29"/>
    <row r="30">
      <c r="B30" s="3" t="inlineStr">
        <is>
          <t>Net debt / NTM EBITDA (x)</t>
        </is>
      </c>
      <c r="C30" s="13">
        <f>IFERROR(NETDEBT_POST/NTM_EBITDA;"")</f>
        <v/>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USE OF PROCEEDS (ALLOCATIONS)</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NET PROCEEDS + ALLOCATION (LINKED)</t>
        </is>
      </c>
      <c r="C6" s="2" t="n"/>
      <c r="D6" s="2" t="n"/>
      <c r="E6" s="2" t="n"/>
      <c r="F6" s="2" t="n"/>
      <c r="G6" s="2" t="n"/>
      <c r="H6" s="2" t="n"/>
      <c r="I6" s="2" t="n"/>
      <c r="J6" s="2" t="n"/>
      <c r="K6" s="2" t="n"/>
      <c r="L6" s="2" t="n"/>
      <c r="M6" s="2" t="n"/>
      <c r="N6" s="2" t="n"/>
      <c r="O6" s="2" t="n"/>
      <c r="P6" s="2" t="n"/>
      <c r="Q6" s="2" t="n"/>
      <c r="R6" s="2" t="n"/>
      <c r="S6" s="2" t="n"/>
      <c r="T6" s="2" t="n"/>
    </row>
    <row r="7"/>
    <row r="8">
      <c r="B8" s="3" t="inlineStr">
        <is>
          <t>Net proceeds to company (DKKm)</t>
        </is>
      </c>
      <c r="C8" s="8">
        <f>NET_PROCEEDS_CO</f>
        <v/>
      </c>
    </row>
    <row r="9">
      <c r="B9" s="3" t="inlineStr">
        <is>
          <t>Debt paydown %</t>
        </is>
      </c>
      <c r="C9" s="11">
        <f>UOP_DEBT_PCT</f>
        <v/>
      </c>
    </row>
    <row r="10">
      <c r="B10" s="3" t="inlineStr">
        <is>
          <t>Cash retained %</t>
        </is>
      </c>
      <c r="C10" s="11">
        <f>UOP_CASH_PCT</f>
        <v/>
      </c>
    </row>
    <row r="11">
      <c r="B11" s="3" t="inlineStr">
        <is>
          <t>Growth investment %</t>
        </is>
      </c>
      <c r="C11" s="11">
        <f>UOP_GROWTH_PCT</f>
        <v/>
      </c>
    </row>
    <row r="12">
      <c r="B12" s="3" t="inlineStr">
        <is>
          <t>Allocation check</t>
        </is>
      </c>
      <c r="C12" s="25">
        <f>IF(ABS(C9+C10+C11-1)&lt;0,0001;"PASS";"FAIL")</f>
        <v/>
      </c>
    </row>
    <row r="13"/>
    <row r="14"/>
    <row r="15" ht="20" customHeight="1">
      <c r="B15" s="1" t="inlineStr">
        <is>
          <t>ALLOCATED AMOUNTS (DKKm)</t>
        </is>
      </c>
      <c r="C15" s="2" t="n"/>
      <c r="D15" s="2" t="n"/>
      <c r="E15" s="2" t="n"/>
      <c r="F15" s="2" t="n"/>
      <c r="G15" s="2" t="n"/>
      <c r="H15" s="2" t="n"/>
      <c r="I15" s="2" t="n"/>
      <c r="J15" s="2" t="n"/>
      <c r="K15" s="2" t="n"/>
      <c r="L15" s="2" t="n"/>
      <c r="M15" s="2" t="n"/>
      <c r="N15" s="2" t="n"/>
      <c r="O15" s="2" t="n"/>
      <c r="P15" s="2" t="n"/>
      <c r="Q15" s="2" t="n"/>
      <c r="R15" s="2" t="n"/>
      <c r="S15" s="2" t="n"/>
      <c r="T15" s="2" t="n"/>
    </row>
    <row r="16"/>
    <row r="17">
      <c r="B17" s="3" t="inlineStr">
        <is>
          <t>Debt paydown (DKKm)</t>
        </is>
      </c>
      <c r="C17" s="8">
        <f>C8*C9</f>
        <v/>
      </c>
    </row>
    <row r="18">
      <c r="B18" s="3" t="inlineStr">
        <is>
          <t>Cash retained (DKKm)</t>
        </is>
      </c>
      <c r="C18" s="8">
        <f>C8*C10</f>
        <v/>
      </c>
    </row>
    <row r="19">
      <c r="B19" s="3" t="inlineStr">
        <is>
          <t>Growth investment (DKKm)</t>
        </is>
      </c>
      <c r="C19" s="8">
        <f>C8*C11</f>
        <v/>
      </c>
    </row>
    <row r="20"/>
    <row r="21"/>
    <row r="22"/>
    <row r="23"/>
    <row r="24"/>
    <row r="25"/>
    <row r="26"/>
    <row r="27"/>
    <row r="28"/>
    <row r="29"/>
    <row r="30"/>
    <row r="31"/>
    <row r="32"/>
    <row r="33"/>
    <row r="34"/>
    <row r="35"/>
    <row r="36"/>
    <row r="37"/>
    <row r="38"/>
    <row r="39"/>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6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METRICS &amp; KPIS (LTM / NTM / OFFER MULTIPLES)</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HEADLINE FINANCIALS</t>
        </is>
      </c>
      <c r="C6" s="2" t="n"/>
      <c r="D6" s="2" t="n"/>
      <c r="E6" s="2" t="n"/>
      <c r="F6" s="2" t="n"/>
      <c r="G6" s="2" t="n"/>
      <c r="H6" s="2" t="n"/>
      <c r="I6" s="2" t="n"/>
      <c r="J6" s="2" t="n"/>
      <c r="K6" s="2" t="n"/>
      <c r="L6" s="2" t="n"/>
      <c r="M6" s="2" t="n"/>
      <c r="N6" s="2" t="n"/>
      <c r="O6" s="2" t="n"/>
      <c r="P6" s="2" t="n"/>
      <c r="Q6" s="2" t="n"/>
      <c r="R6" s="2" t="n"/>
      <c r="S6" s="2" t="n"/>
      <c r="T6" s="2" t="n"/>
    </row>
    <row r="7"/>
    <row r="8">
      <c r="B8" s="3" t="inlineStr">
        <is>
          <t>LTM Revenue (DKKm)</t>
        </is>
      </c>
      <c r="C8" s="8">
        <f>LTM_REV</f>
        <v/>
      </c>
    </row>
    <row r="9">
      <c r="B9" s="3" t="inlineStr">
        <is>
          <t>NTM Revenue (DKKm)</t>
        </is>
      </c>
      <c r="C9" s="8">
        <f>NTM_REV</f>
        <v/>
      </c>
    </row>
    <row r="10">
      <c r="B10" s="3" t="inlineStr">
        <is>
          <t>LTM EBITDA (DKKm)</t>
        </is>
      </c>
      <c r="C10" s="8">
        <f>LTM_EBITDA</f>
        <v/>
      </c>
    </row>
    <row r="11">
      <c r="B11" s="3" t="inlineStr">
        <is>
          <t>NTM EBITDA (DKKm)</t>
        </is>
      </c>
      <c r="C11" s="8">
        <f>NTM_EBITDA</f>
        <v/>
      </c>
    </row>
    <row r="12">
      <c r="B12" s="3" t="inlineStr">
        <is>
          <t>NTM EBITDA margin</t>
        </is>
      </c>
      <c r="C12" s="11">
        <f>IFERROR(C11/C9;"")</f>
        <v/>
      </c>
    </row>
    <row r="13"/>
    <row r="14"/>
    <row r="15" ht="20" customHeight="1">
      <c r="B15" s="1" t="inlineStr">
        <is>
          <t>AT SELECTED OFFER PRICE</t>
        </is>
      </c>
      <c r="C15" s="2" t="n"/>
      <c r="D15" s="2" t="n"/>
      <c r="E15" s="2" t="n"/>
      <c r="F15" s="2" t="n"/>
      <c r="G15" s="2" t="n"/>
      <c r="H15" s="2" t="n"/>
      <c r="I15" s="2" t="n"/>
      <c r="J15" s="2" t="n"/>
      <c r="K15" s="2" t="n"/>
      <c r="L15" s="2" t="n"/>
      <c r="M15" s="2" t="n"/>
      <c r="N15" s="2" t="n"/>
      <c r="O15" s="2" t="n"/>
      <c r="P15" s="2" t="n"/>
      <c r="Q15" s="2" t="n"/>
      <c r="R15" s="2" t="n"/>
      <c r="S15" s="2" t="n"/>
      <c r="T15" s="2" t="n"/>
    </row>
    <row r="16"/>
    <row r="17">
      <c r="B17" s="3" t="inlineStr">
        <is>
          <t>Selected offer price (DKK/share)</t>
        </is>
      </c>
      <c r="C17" s="8">
        <f>IPO_PX_SEL</f>
        <v/>
      </c>
    </row>
    <row r="18">
      <c r="B18" s="3" t="inlineStr">
        <is>
          <t>Post shares (basic, m)</t>
        </is>
      </c>
      <c r="C18" s="46">
        <f>POST_SHARES</f>
        <v/>
      </c>
    </row>
    <row r="19">
      <c r="B19" s="3" t="inlineStr">
        <is>
          <t>Market cap (DKKm)</t>
        </is>
      </c>
      <c r="C19" s="8">
        <f>C17*C18</f>
        <v/>
      </c>
    </row>
    <row r="20">
      <c r="B20" s="3" t="inlineStr">
        <is>
          <t>Net debt post (DKKm)</t>
        </is>
      </c>
      <c r="C20" s="8">
        <f>NETDEBT_POST</f>
        <v/>
      </c>
    </row>
    <row r="21">
      <c r="B21" s="3" t="inlineStr">
        <is>
          <t>Enterprise value (DKKm)</t>
        </is>
      </c>
      <c r="C21" s="8">
        <f>C19+C20</f>
        <v/>
      </c>
    </row>
    <row r="22">
      <c r="B22" s="3" t="inlineStr">
        <is>
          <t>EV / NTM EBITDA (x)</t>
        </is>
      </c>
      <c r="C22" s="13">
        <f>IFERROR(C21/C11;"")</f>
        <v/>
      </c>
    </row>
    <row r="23">
      <c r="B23" s="3" t="inlineStr">
        <is>
          <t>EV / NTM Revenue (x)</t>
        </is>
      </c>
      <c r="C23" s="13">
        <f>IFERROR(C21/C9;"")</f>
        <v/>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99"/>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SENSITIVITIES (2-MIN REVIEW PACK)</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1) MULTIPLE vs GROWTH ADJ - IMPLIED PRICE (DKK/share)</t>
        </is>
      </c>
      <c r="C6" s="2" t="n"/>
      <c r="D6" s="2" t="n"/>
      <c r="E6" s="2" t="n"/>
      <c r="F6" s="2" t="n"/>
      <c r="G6" s="2" t="n"/>
      <c r="H6" s="2" t="n"/>
      <c r="I6" s="2" t="n"/>
      <c r="J6" s="2" t="n"/>
      <c r="K6" s="2" t="n"/>
      <c r="L6" s="2" t="n"/>
      <c r="M6" s="2" t="n"/>
      <c r="N6" s="2" t="n"/>
      <c r="O6" s="2" t="n"/>
      <c r="P6" s="2" t="n"/>
      <c r="Q6" s="2" t="n"/>
      <c r="R6" s="2" t="n"/>
      <c r="S6" s="2" t="n"/>
      <c r="T6" s="2" t="n"/>
    </row>
    <row r="7"/>
    <row r="8">
      <c r="B8" s="39" t="inlineStr">
        <is>
          <t>EV/NTM EBITDA multiple</t>
        </is>
      </c>
      <c r="F8" s="40" t="n">
        <v>-0.02</v>
      </c>
      <c r="G8" s="40" t="n">
        <v>0</v>
      </c>
      <c r="H8" s="40" t="n">
        <v>0.02</v>
      </c>
      <c r="I8" s="40" t="n">
        <v>0.04</v>
      </c>
      <c r="J8" s="40" t="n">
        <v>0.06</v>
      </c>
      <c r="K8" s="40" t="n">
        <v>0.08</v>
      </c>
    </row>
    <row r="9">
      <c r="B9" s="41" t="n">
        <v>8</v>
      </c>
      <c r="F9" s="30">
        <f>((8)*(NTM_REV*(1+-0,02)*('13_METRICS_AND_KPIS'!$C$12)) - NETDEBT_POST)/POST_SHARES</f>
        <v/>
      </c>
      <c r="G9" s="30">
        <f>((8)*(NTM_REV*(1+0,0)*('13_METRICS_AND_KPIS'!$C$12)) - NETDEBT_POST)/POST_SHARES</f>
        <v/>
      </c>
      <c r="H9" s="30">
        <f>((8)*(NTM_REV*(1+0,02)*('13_METRICS_AND_KPIS'!$C$12)) - NETDEBT_POST)/POST_SHARES</f>
        <v/>
      </c>
      <c r="I9" s="30">
        <f>((8)*(NTM_REV*(1+0,04)*('13_METRICS_AND_KPIS'!$C$12)) - NETDEBT_POST)/POST_SHARES</f>
        <v/>
      </c>
      <c r="J9" s="30">
        <f>((8)*(NTM_REV*(1+0,06)*('13_METRICS_AND_KPIS'!$C$12)) - NETDEBT_POST)/POST_SHARES</f>
        <v/>
      </c>
      <c r="K9" s="30">
        <f>((8)*(NTM_REV*(1+0,08)*('13_METRICS_AND_KPIS'!$C$12)) - NETDEBT_POST)/POST_SHARES</f>
        <v/>
      </c>
    </row>
    <row r="10">
      <c r="B10" s="41" t="n">
        <v>10</v>
      </c>
      <c r="F10" s="30">
        <f>((10)*(NTM_REV*(1+-0,02)*('13_METRICS_AND_KPIS'!$C$12)) - NETDEBT_POST)/POST_SHARES</f>
        <v/>
      </c>
      <c r="G10" s="30">
        <f>((10)*(NTM_REV*(1+0,0)*('13_METRICS_AND_KPIS'!$C$12)) - NETDEBT_POST)/POST_SHARES</f>
        <v/>
      </c>
      <c r="H10" s="30">
        <f>((10)*(NTM_REV*(1+0,02)*('13_METRICS_AND_KPIS'!$C$12)) - NETDEBT_POST)/POST_SHARES</f>
        <v/>
      </c>
      <c r="I10" s="30">
        <f>((10)*(NTM_REV*(1+0,04)*('13_METRICS_AND_KPIS'!$C$12)) - NETDEBT_POST)/POST_SHARES</f>
        <v/>
      </c>
      <c r="J10" s="30">
        <f>((10)*(NTM_REV*(1+0,06)*('13_METRICS_AND_KPIS'!$C$12)) - NETDEBT_POST)/POST_SHARES</f>
        <v/>
      </c>
      <c r="K10" s="30">
        <f>((10)*(NTM_REV*(1+0,08)*('13_METRICS_AND_KPIS'!$C$12)) - NETDEBT_POST)/POST_SHARES</f>
        <v/>
      </c>
    </row>
    <row r="11">
      <c r="B11" s="41" t="n">
        <v>12</v>
      </c>
      <c r="F11" s="30">
        <f>((12)*(NTM_REV*(1+-0,02)*('13_METRICS_AND_KPIS'!$C$12)) - NETDEBT_POST)/POST_SHARES</f>
        <v/>
      </c>
      <c r="G11" s="30">
        <f>((12)*(NTM_REV*(1+0,0)*('13_METRICS_AND_KPIS'!$C$12)) - NETDEBT_POST)/POST_SHARES</f>
        <v/>
      </c>
      <c r="H11" s="30">
        <f>((12)*(NTM_REV*(1+0,02)*('13_METRICS_AND_KPIS'!$C$12)) - NETDEBT_POST)/POST_SHARES</f>
        <v/>
      </c>
      <c r="I11" s="30">
        <f>((12)*(NTM_REV*(1+0,04)*('13_METRICS_AND_KPIS'!$C$12)) - NETDEBT_POST)/POST_SHARES</f>
        <v/>
      </c>
      <c r="J11" s="30">
        <f>((12)*(NTM_REV*(1+0,06)*('13_METRICS_AND_KPIS'!$C$12)) - NETDEBT_POST)/POST_SHARES</f>
        <v/>
      </c>
      <c r="K11" s="30">
        <f>((12)*(NTM_REV*(1+0,08)*('13_METRICS_AND_KPIS'!$C$12)) - NETDEBT_POST)/POST_SHARES</f>
        <v/>
      </c>
    </row>
    <row r="12">
      <c r="B12" s="41" t="n">
        <v>14</v>
      </c>
      <c r="F12" s="30">
        <f>((14)*(NTM_REV*(1+-0,02)*('13_METRICS_AND_KPIS'!$C$12)) - NETDEBT_POST)/POST_SHARES</f>
        <v/>
      </c>
      <c r="G12" s="30">
        <f>((14)*(NTM_REV*(1+0,0)*('13_METRICS_AND_KPIS'!$C$12)) - NETDEBT_POST)/POST_SHARES</f>
        <v/>
      </c>
      <c r="H12" s="30">
        <f>((14)*(NTM_REV*(1+0,02)*('13_METRICS_AND_KPIS'!$C$12)) - NETDEBT_POST)/POST_SHARES</f>
        <v/>
      </c>
      <c r="I12" s="30">
        <f>((14)*(NTM_REV*(1+0,04)*('13_METRICS_AND_KPIS'!$C$12)) - NETDEBT_POST)/POST_SHARES</f>
        <v/>
      </c>
      <c r="J12" s="30">
        <f>((14)*(NTM_REV*(1+0,06)*('13_METRICS_AND_KPIS'!$C$12)) - NETDEBT_POST)/POST_SHARES</f>
        <v/>
      </c>
      <c r="K12" s="30">
        <f>((14)*(NTM_REV*(1+0,08)*('13_METRICS_AND_KPIS'!$C$12)) - NETDEBT_POST)/POST_SHARES</f>
        <v/>
      </c>
    </row>
    <row r="13">
      <c r="B13" s="41" t="n">
        <v>16</v>
      </c>
      <c r="F13" s="30">
        <f>((16)*(NTM_REV*(1+-0,02)*('13_METRICS_AND_KPIS'!$C$12)) - NETDEBT_POST)/POST_SHARES</f>
        <v/>
      </c>
      <c r="G13" s="30">
        <f>((16)*(NTM_REV*(1+0,0)*('13_METRICS_AND_KPIS'!$C$12)) - NETDEBT_POST)/POST_SHARES</f>
        <v/>
      </c>
      <c r="H13" s="30">
        <f>((16)*(NTM_REV*(1+0,02)*('13_METRICS_AND_KPIS'!$C$12)) - NETDEBT_POST)/POST_SHARES</f>
        <v/>
      </c>
      <c r="I13" s="30">
        <f>((16)*(NTM_REV*(1+0,04)*('13_METRICS_AND_KPIS'!$C$12)) - NETDEBT_POST)/POST_SHARES</f>
        <v/>
      </c>
      <c r="J13" s="30">
        <f>((16)*(NTM_REV*(1+0,06)*('13_METRICS_AND_KPIS'!$C$12)) - NETDEBT_POST)/POST_SHARES</f>
        <v/>
      </c>
      <c r="K13" s="30">
        <f>((16)*(NTM_REV*(1+0,08)*('13_METRICS_AND_KPIS'!$C$12)) - NETDEBT_POST)/POST_SHARES</f>
        <v/>
      </c>
    </row>
    <row r="14"/>
    <row r="15" ht="20" customHeight="1">
      <c r="B15" s="1" t="inlineStr">
        <is>
          <t>2) PRICE CASE vs FREE FLOAT &amp; DILUTION</t>
        </is>
      </c>
      <c r="C15" s="2" t="n"/>
      <c r="D15" s="2" t="n"/>
      <c r="E15" s="2" t="n"/>
      <c r="F15" s="2" t="n"/>
      <c r="G15" s="2" t="n"/>
      <c r="H15" s="2" t="n"/>
      <c r="I15" s="2" t="n"/>
      <c r="J15" s="2" t="n"/>
      <c r="K15" s="2" t="n"/>
      <c r="L15" s="2" t="n"/>
      <c r="M15" s="2" t="n"/>
      <c r="N15" s="2" t="n"/>
      <c r="O15" s="2" t="n"/>
      <c r="P15" s="2" t="n"/>
      <c r="Q15" s="2" t="n"/>
      <c r="R15" s="2" t="n"/>
      <c r="S15" s="2" t="n"/>
      <c r="T15" s="2" t="n"/>
    </row>
    <row r="16"/>
    <row r="17">
      <c r="B17" s="3" t="inlineStr">
        <is>
          <t>Free float % (post)</t>
        </is>
      </c>
      <c r="C17" s="11">
        <f>FREE_FLOAT_PCT</f>
        <v/>
      </c>
    </row>
    <row r="18">
      <c r="B18" s="3" t="inlineStr">
        <is>
          <t>Primary dilution %</t>
        </is>
      </c>
      <c r="C18" s="11">
        <f>PRIMARY_DILUTION</f>
        <v/>
      </c>
    </row>
    <row r="19">
      <c r="B19" s="3" t="inlineStr">
        <is>
          <t>Implied price range (Low/Base/High)</t>
        </is>
      </c>
      <c r="C19" s="8">
        <f>PX_IMP_LOW</f>
        <v/>
      </c>
      <c r="D19" s="8">
        <f>PX_IMP_BASE</f>
        <v/>
      </c>
      <c r="E19" s="8">
        <f>PX_IMP_HIGH</f>
        <v/>
      </c>
    </row>
    <row r="20"/>
    <row r="21"/>
    <row r="22" ht="20" customHeight="1">
      <c r="B22" s="1" t="inlineStr">
        <is>
          <t>3) USE OF PROCEEDS vs NET DEBT (BASE)</t>
        </is>
      </c>
      <c r="C22" s="2" t="n"/>
      <c r="D22" s="2" t="n"/>
      <c r="E22" s="2" t="n"/>
      <c r="F22" s="2" t="n"/>
      <c r="G22" s="2" t="n"/>
      <c r="H22" s="2" t="n"/>
      <c r="I22" s="2" t="n"/>
      <c r="J22" s="2" t="n"/>
      <c r="K22" s="2" t="n"/>
      <c r="L22" s="2" t="n"/>
      <c r="M22" s="2" t="n"/>
      <c r="N22" s="2" t="n"/>
      <c r="O22" s="2" t="n"/>
      <c r="P22" s="2" t="n"/>
      <c r="Q22" s="2" t="n"/>
      <c r="R22" s="2" t="n"/>
      <c r="S22" s="2" t="n"/>
      <c r="T22" s="2" t="n"/>
    </row>
    <row r="23"/>
    <row r="24">
      <c r="B24" s="3" t="inlineStr">
        <is>
          <t>Net debt post (DKKm)</t>
        </is>
      </c>
      <c r="C24" s="8">
        <f>NETDEBT_POST</f>
        <v/>
      </c>
    </row>
    <row r="25">
      <c r="B25" s="3" t="inlineStr">
        <is>
          <t>Debt paydown (DKKm)</t>
        </is>
      </c>
      <c r="C25" s="8">
        <f>DEBT_PAYDOWN</f>
        <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sheetData>
  <conditionalFormatting sqref="F9:K13">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K38"/>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8" customWidth="1" min="3" max="3"/>
    <col width="30" customWidth="1" min="4" max="4"/>
    <col width="34" customWidth="1" min="5" max="5"/>
    <col width="22" customWidth="1" min="6" max="6"/>
    <col width="24" customWidth="1" min="7" max="7"/>
    <col width="24" customWidth="1" min="8" max="8"/>
    <col width="30" customWidth="1" min="9" max="9"/>
    <col width="8" customWidth="1" min="10" max="10"/>
    <col width="2" customWidth="1" min="11" max="11"/>
  </cols>
  <sheetData>
    <row r="2" ht="24" customHeight="1">
      <c r="B2" s="1" t="inlineStr">
        <is>
          <t>IPO Model Learning Layer | 80_IPO_LEARN_MAP (Explainability Map)</t>
        </is>
      </c>
      <c r="C2" s="1" t="n"/>
      <c r="D2" s="1" t="n"/>
      <c r="E2" s="1" t="n"/>
      <c r="F2" s="1" t="n"/>
      <c r="G2" s="1" t="n"/>
      <c r="H2" s="1" t="n"/>
      <c r="I2" s="1" t="n"/>
      <c r="J2" s="1" t="n"/>
      <c r="K2" s="1" t="n"/>
    </row>
    <row r="4" ht="36" customHeight="1">
      <c r="B4" s="57" t="inlineStr">
        <is>
          <t>Purpose: Top KPIs used in ECM discussions. Each row ties back to specific cells or named ranges in the base model, with pitfalls and sanity checks.</t>
        </is>
      </c>
    </row>
    <row r="5" ht="12" customHeight="1"/>
    <row r="8" ht="30" customHeight="1">
      <c r="B8" s="54" t="inlineStr">
        <is>
          <t>KPI (Top 30)</t>
        </is>
      </c>
      <c r="C8" s="54" t="inlineStr">
        <is>
          <t>Where it appears (tab + cell / name)</t>
        </is>
      </c>
      <c r="D8" s="54" t="inlineStr">
        <is>
          <t>Definition</t>
        </is>
      </c>
      <c r="E8" s="54" t="inlineStr">
        <is>
          <t>Primary drivers (specific)</t>
        </is>
      </c>
      <c r="F8" s="54" t="inlineStr">
        <is>
          <t>Directional intuition</t>
        </is>
      </c>
      <c r="G8" s="54" t="inlineStr">
        <is>
          <t>Common pitfalls</t>
        </is>
      </c>
      <c r="H8" s="54" t="inlineStr">
        <is>
          <t>Sanity checks</t>
        </is>
      </c>
      <c r="I8" s="54" t="inlineStr">
        <is>
          <t>If asked by CFO/board, say this</t>
        </is>
      </c>
      <c r="J8" s="54" t="inlineStr">
        <is>
          <t>Link</t>
        </is>
      </c>
    </row>
    <row r="9" ht="120" customHeight="1">
      <c r="B9" s="58" t="inlineStr">
        <is>
          <t>Implied price range (Low/Base/High)</t>
        </is>
      </c>
      <c r="C9" s="59" t="inlineStr">
        <is>
          <t>14_SENSITIVITIES!C19:E19 | PX_IMP_LOW / PX_IMP_BASE / PX_IMP_HIGH</t>
        </is>
      </c>
      <c r="D9" s="59" t="inlineStr">
        <is>
          <t>Model implied equity price per share across valuation range points (used for discussion, not final pricing).</t>
        </is>
      </c>
      <c r="E9" s="59" t="inlineStr">
        <is>
          <t>• 06_VALUATION_COMPS!C23 MULTIPLE_SEL
• 07_VALUATION_DCF inputs: 01_CONTROL!C47 WACC, 01_CONTROL!C48 TERM_G (if DCF used)
• 01_CONTROL!C40 W_COMPS and 01_CONTROL!C41 W_DCF (triangulation)
• 13_METRICS_AND_KPIS!C20 NETDEBT_POST
• 10_CAP_TABLE!C23 POST_SHARES</t>
        </is>
      </c>
      <c r="F9" s="59" t="inlineStr">
        <is>
          <t>Higher multiple or higher EBITDA/FCF lifts range. Higher net debt reduces equity price.</t>
        </is>
      </c>
      <c r="G9" s="59" t="inlineStr">
        <is>
          <t>• Mixing LTM vs NTM basis between comps and issuer
• Using a single outlier peer multiple without explaining why
• Not updating net debt definition after use of proceeds</t>
        </is>
      </c>
      <c r="H9" s="59" t="inlineStr">
        <is>
          <t>• Range should bracket selected offer price (01_CONTROL!C56) unless explicitly positioning above/below
• Equity value at each point must be positive (EV &gt;= net debt)
• Price steps should be consistent with multiple/DCF sensitivity direction</t>
        </is>
      </c>
      <c r="I9" s="59" t="inlineStr">
        <is>
          <t>These are model-implied prices from comps and optional DCF, combined by a transparent weighting. We will still set a final offer price based on demand, market conditions and our targeting of float and proceeds within this range.</t>
        </is>
      </c>
      <c r="J9" s="60">
        <f>HYPERLINK("#'14_SENSITIVITIES'!C19","Go")</f>
        <v/>
      </c>
    </row>
    <row r="10" ht="120" customHeight="1">
      <c r="B10" s="58" t="inlineStr">
        <is>
          <t>Selected offer price (current case)</t>
        </is>
      </c>
      <c r="C10" s="59" t="inlineStr">
        <is>
          <t>01_CONTROL!C56 | IPO_PX_SEL</t>
        </is>
      </c>
      <c r="D10" s="59" t="inlineStr">
        <is>
          <t>Single offer price used across dashboard and outputs for the current run (used for the draft term sheet view).</t>
        </is>
      </c>
      <c r="E10" s="59" t="inlineStr">
        <is>
          <t>• 01_CONTROL price case selector (Low/Base/High)
• 01_CONTROL!C24:C26 PRICE_LOW/BASE/HIGH (range inputs)
• 14_SENSITIVITIES implied range
• Market feedback (outside model) for discount and demand
• Free float and dilution constraints (10_CAP_TABLE)</t>
        </is>
      </c>
      <c r="F10" s="59" t="inlineStr">
        <is>
          <t>Raising offer price increases market cap and proceeds, but can strain demand and require a larger discount argument.</t>
        </is>
      </c>
      <c r="G10" s="59" t="inlineStr">
        <is>
          <t>• Selecting price inconsistent with range narrative
• Forgetting to update downstream summary decks when price is changed
• Confusing 'implied price' with 'offer price'</t>
        </is>
      </c>
      <c r="H10" s="59" t="inlineStr">
        <is>
          <t>• Offer price should be defensible vs peer distribution and DCF outputs (if used)
• Check proceeds and float remain within agreed constraints
• Sanity: Market cap at offer price = price x post shares</t>
        </is>
      </c>
      <c r="I10" s="59" t="inlineStr">
        <is>
          <t>This is the working offer price for the current case. It is chosen inside the implied valuation range, with an explicit discount and float target to support marketability and execution.</t>
        </is>
      </c>
      <c r="J10" s="60">
        <f>HYPERLINK("#'01_CONTROL'!C56","Go")</f>
        <v/>
      </c>
    </row>
    <row r="11" ht="120" customHeight="1">
      <c r="B11" s="58" t="inlineStr">
        <is>
          <t>Market cap at offer price (DKKm)</t>
        </is>
      </c>
      <c r="C11" s="59" t="inlineStr">
        <is>
          <t>13_METRICS_AND_KPIS!C19 | MKT_CAP</t>
        </is>
      </c>
      <c r="D11" s="59" t="inlineStr">
        <is>
          <t>Equity value at offer price based on post deal shares outstanding (DKKm).</t>
        </is>
      </c>
      <c r="E11" s="59" t="inlineStr">
        <is>
          <t>• 01_CONTROL!C56 IPO_PX_SEL
• 10_CAP_TABLE!C23 POST_SHARES
• Offer structure impacts POST_SHARES via primary issuance
• Any share split / share count adjustments
• Share count definitions (basic vs diluted) if present</t>
        </is>
      </c>
      <c r="F11" s="59" t="inlineStr">
        <is>
          <t>Market cap rises linearly with price and with post shares. More primary issuance increases post shares and market cap for a given price.</t>
        </is>
      </c>
      <c r="G11" s="59" t="inlineStr">
        <is>
          <t>• Using pre shares instead of post shares
• Mixing shares in shares vs millions in price or market cap
• Not aligning share count with cap table ownership</t>
        </is>
      </c>
      <c r="H11" s="59" t="inlineStr">
        <is>
          <t>• Market cap change should equal price change x post shares
• Market cap should reconcile to equity value bridge when using implied EV and net debt
• Post shares should equal pre shares + new primary shares</t>
        </is>
      </c>
      <c r="I11" s="59" t="inlineStr">
        <is>
          <t>Market cap is simply the offer price times post deal shares. We use it for positioning versus peers, index eligibility and stakeholder communication.</t>
        </is>
      </c>
      <c r="J11" s="60">
        <f>HYPERLINK("#'13_METRICS_AND_KPIS'!C19","Go")</f>
        <v/>
      </c>
    </row>
    <row r="12" ht="120" customHeight="1">
      <c r="B12" s="58" t="inlineStr">
        <is>
          <t>Enterprise value at offer price (DKKm)</t>
        </is>
      </c>
      <c r="C12" s="59" t="inlineStr">
        <is>
          <t>13_METRICS_AND_KPIS!C21 | EV_OFFER</t>
        </is>
      </c>
      <c r="D12" s="59" t="inlineStr">
        <is>
          <t>EV used for valuation multiples: market cap plus net debt (per definition).</t>
        </is>
      </c>
      <c r="E12" s="59" t="inlineStr">
        <is>
          <t>• 13_METRICS_AND_KPIS!C19 MKT_CAP
• 13_METRICS_AND_KPIS!C20 NETDEBT_POST (definition controlled)
• 11_PRO_FORMA_BS cash and debt post (use of proceeds)
• Net debt definition toggles (if any)
• Any pension, lease or minority adjustments (if included)</t>
        </is>
      </c>
      <c r="F12" s="59" t="inlineStr">
        <is>
          <t>Higher net debt increases EV for a given price. Debt paydown reduces EV only if equity price held constant; if EV held constant, equity rises when net debt falls.</t>
        </is>
      </c>
      <c r="G12" s="59" t="inlineStr">
        <is>
          <t>• Sign error in net debt (cash vs debt)
• Inconsistent definition across comps and issuer
• Treating secondary proceeds as company cash</t>
        </is>
      </c>
      <c r="H12" s="59" t="inlineStr">
        <is>
          <t>• EV = market cap + net debt should reconcile exactly
• EV multiples should move logically with EBITDA/revenue changes
• Net debt post must reconcile to pro forma balance sheet</t>
        </is>
      </c>
      <c r="I12" s="59" t="inlineStr">
        <is>
          <t>Enterprise value bridges equity and capital structure. We use EV to compare across peers regardless of leverage, so the net debt definition must be consistent and clearly stated.</t>
        </is>
      </c>
      <c r="J12" s="60">
        <f>HYPERLINK("#'13_METRICS_AND_KPIS'!C21","Go")</f>
        <v/>
      </c>
    </row>
    <row r="13" ht="120" customHeight="1">
      <c r="B13" s="58" t="inlineStr">
        <is>
          <t>Gross proceeds (total) (DKKm)</t>
        </is>
      </c>
      <c r="C13" s="59" t="inlineStr">
        <is>
          <t>09_OFFER_STRUCTURE!C27 | GROSS_TOTAL</t>
        </is>
      </c>
      <c r="D13" s="59" t="inlineStr">
        <is>
          <t>Total cash paid by investors for shares sold (primary + secondary + greenshoe).</t>
        </is>
      </c>
      <c r="E13" s="59" t="inlineStr">
        <is>
          <t>• 01_CONTROL!C56 offer price
• 09_OFFER_STRUCTURE sizing (primary/secondary/greenshoe shares)
• 01_CONTROL!C27 gross proceeds target
• 01_CONTROL!C28:C30 primary/secondary/greenshoe mix
• Any rounding rules on share counts</t>
        </is>
      </c>
      <c r="F13" s="59" t="inlineStr">
        <is>
          <t>Increasing price or sold shares increases gross proceeds. Shifting from secondary to primary does not change total gross if total sold is constant.</t>
        </is>
      </c>
      <c r="G13" s="59" t="inlineStr">
        <is>
          <t>• Mixing gross proceeds with net proceeds to company
• Forgetting greenshoe proceeds in total sold
• Using target proceeds without checking implied sold shares</t>
        </is>
      </c>
      <c r="H13" s="59" t="inlineStr">
        <is>
          <t>• Gross proceeds total should equal price x total shares sold incl greenshoe
• Gross primary proceeds should reconcile to cash to company before fees
• Secondary gross proceeds should not flow to pro forma cash</t>
        </is>
      </c>
      <c r="I13" s="59" t="inlineStr">
        <is>
          <t>Gross proceeds reflect total investor spend. Only the primary portion creates cash for the company. We separate these cleanly when discussing funding versus shareholder sell down.</t>
        </is>
      </c>
      <c r="J13" s="60">
        <f>HYPERLINK("#'09_OFFER_STRUCTURE'!C27","Go")</f>
        <v/>
      </c>
    </row>
    <row r="14" ht="120" customHeight="1">
      <c r="B14" s="58" t="inlineStr">
        <is>
          <t>Net proceeds to company (DKKm)</t>
        </is>
      </c>
      <c r="C14" s="59" t="inlineStr">
        <is>
          <t>09_OFFER_STRUCTURE!C33 | NET_PROCEEDS_CO</t>
        </is>
      </c>
      <c r="D14" s="59" t="inlineStr">
        <is>
          <t>Cash the company receives after underwriting fee allocation and other transaction costs.</t>
        </is>
      </c>
      <c r="E14" s="59" t="inlineStr">
        <is>
          <t>• 09_OFFER_STRUCTURE gross primary proceeds (C24)
• Underwriting fee % (01_CONTROL!C31 FEE_PCT)
• Fee allocation to primary vs secondary (09_OFFER_STRUCTURE!C31:C32)
• Other costs (09_OFFER_STRUCTURE!C29)
• Use of proceeds allocation (11_PRO_FORMA_BS)</t>
        </is>
      </c>
      <c r="F14" s="59" t="inlineStr">
        <is>
          <t>Higher fee % and costs reduce net proceeds. More primary shares increases net proceeds if price constant.</t>
        </is>
      </c>
      <c r="G14" s="59" t="inlineStr">
        <is>
          <t>• Applying fees on total when only primary should be charged (or vice versa)
• Sign errors on fees and costs
• Double counting costs on both primary and secondary</t>
        </is>
      </c>
      <c r="H14" s="59" t="inlineStr">
        <is>
          <t>• Net proceeds must be &lt;= gross primary proceeds
• Fee amounts should equal fee % x relevant gross proceeds base
• Pro forma cash increase should match net proceeds minus allocations</t>
        </is>
      </c>
      <c r="I14" s="59" t="inlineStr">
        <is>
          <t>Net proceeds are what the company actually receives. This is the figure that matters for funding the strategy and for balance sheet impact; it is not the same as gross raise.</t>
        </is>
      </c>
      <c r="J14" s="60">
        <f>HYPERLINK("#'09_OFFER_STRUCTURE'!C33","Go")</f>
        <v/>
      </c>
    </row>
    <row r="15" ht="120" customHeight="1">
      <c r="B15" s="58" t="inlineStr">
        <is>
          <t>Primary shares issued (m)</t>
        </is>
      </c>
      <c r="C15" s="59" t="inlineStr">
        <is>
          <t>09_OFFER_STRUCTURE!C38 | NEW_PRIMARY_SHARES</t>
        </is>
      </c>
      <c r="D15" s="59" t="inlineStr">
        <is>
          <t>New shares issued by the company in the IPO (drives dilution and company cash).</t>
        </is>
      </c>
      <c r="E15" s="59" t="inlineStr">
        <is>
          <t>• 01_CONTROL!C27 gross proceeds target
• 01_CONTROL!C28 primary %
• Offer price selection
• Any minimum float constraint (free float target)
• Rounding of shares sold</t>
        </is>
      </c>
      <c r="F15" s="59" t="inlineStr">
        <is>
          <t>More primary increases dilution and net proceeds. Holding gross constant, increasing price reduces shares required.</t>
        </is>
      </c>
      <c r="G15" s="59" t="inlineStr">
        <is>
          <t>• Confusing primary shares with total shares sold
• Changing primary % without checking cash to company vs stated use of proceeds
• Not updating cap table roll forward</t>
        </is>
      </c>
      <c r="H15" s="59" t="inlineStr">
        <is>
          <t>• Post shares = pre shares + primary shares issued
• Dilution should increase with primary issuance
• Net proceeds should increase with primary issuance</t>
        </is>
      </c>
      <c r="I15" s="59" t="inlineStr">
        <is>
          <t>Primary shares are the capital raise for the company. They drive cash and dilution. We size them to fund use of proceeds while keeping dilution and float within acceptable bounds.</t>
        </is>
      </c>
      <c r="J15" s="60">
        <f>HYPERLINK("#'09_OFFER_STRUCTURE'!C38","Go")</f>
        <v/>
      </c>
    </row>
    <row r="16" ht="120" customHeight="1">
      <c r="B16" s="58" t="inlineStr">
        <is>
          <t>Secondary shares sold (m)</t>
        </is>
      </c>
      <c r="C16" s="59" t="inlineStr">
        <is>
          <t>09_OFFER_STRUCTURE!C21 | SECONDARY_SHARES</t>
        </is>
      </c>
      <c r="D16" s="59" t="inlineStr">
        <is>
          <t>Existing shareholder sell down in the IPO (creates float without raising company cash).</t>
        </is>
      </c>
      <c r="E16" s="59" t="inlineStr">
        <is>
          <t>• 01_CONTROL!C29 secondary %
• Total shares sold sizing (09_OFFER_STRUCTURE!C23)
• Any lock up constraints (outside model)
• Float target and ownership objectives
• Overhang considerations (outside model)</t>
        </is>
      </c>
      <c r="F16" s="59" t="inlineStr">
        <is>
          <t>More secondary increases float and reduces selling shareholder stake but does not increase company cash.</t>
        </is>
      </c>
      <c r="G16" s="59" t="inlineStr">
        <is>
          <t>• Treating secondary proceeds as company cash
• Forgetting secondary affects ownership table and control
• Not reconciling to pre existing holder shares</t>
        </is>
      </c>
      <c r="H16" s="59" t="inlineStr">
        <is>
          <t>• Secondary cash should not appear in pro forma balance sheet
• Ownership after transaction should reconcile to pre shares minus sold shares
• Float % should increase with secondary sold</t>
        </is>
      </c>
      <c r="I16" s="59" t="inlineStr">
        <is>
          <t>Secondary is a liquidity and ownership tool, not a funding tool. It helps meet float and aftermarket liquidity targets while keeping primary dilution controlled.</t>
        </is>
      </c>
      <c r="J16" s="60">
        <f>HYPERLINK("#'09_OFFER_STRUCTURE'!C21","Go")</f>
        <v/>
      </c>
    </row>
    <row r="17" ht="120" customHeight="1">
      <c r="B17" s="58" t="inlineStr">
        <is>
          <t>Total shares sold (base) (m)</t>
        </is>
      </c>
      <c r="C17" s="59" t="inlineStr">
        <is>
          <t>09_OFFER_STRUCTURE!C23 | TOTAL_SOLD_SHARES</t>
        </is>
      </c>
      <c r="D17" s="59" t="inlineStr">
        <is>
          <t>Total shares offered to the public excluding any greenshoe, as a base deal size.</t>
        </is>
      </c>
      <c r="E17" s="59" t="inlineStr">
        <is>
          <t>• Gross proceeds target and offer price
• Primary vs secondary mix (01_CONTROL!C28:C29)
• Float target (10_CAP_TABLE free float)
• Minimum deal size constraints (market practice)
• Rounding</t>
        </is>
      </c>
      <c r="F17" s="59" t="inlineStr">
        <is>
          <t>More sold shares increase float and gross proceeds at a given price.</t>
        </is>
      </c>
      <c r="G17" s="59" t="inlineStr">
        <is>
          <t>• Comparing total sold across deals without normalising for float and market cap
• Not including greenshoe when quoting total sold in meetings
• Using different share units (m vs shares)</t>
        </is>
      </c>
      <c r="H17" s="59" t="inlineStr">
        <is>
          <t>• Gross proceeds base should equal price x total sold shares (ex greenshoe)
• Total sold should reconcile to primary + secondary
• Public float shares post should be at least total sold (if shares are new+existing)</t>
        </is>
      </c>
      <c r="I17" s="59" t="inlineStr">
        <is>
          <t>Total shares sold sets the base deal size. Greenshoe is an optional add-on. We communicate base and with-greenshoe clearly to avoid confusion.</t>
        </is>
      </c>
      <c r="J17" s="60">
        <f>HYPERLINK("#'09_OFFER_STRUCTURE'!C23","Go")</f>
        <v/>
      </c>
    </row>
    <row r="18" ht="120" customHeight="1">
      <c r="B18" s="58" t="inlineStr">
        <is>
          <t>Greenshoe shares (m)</t>
        </is>
      </c>
      <c r="C18" s="59" t="inlineStr">
        <is>
          <t>09_OFFER_STRUCTURE!C22 | GS_SHARES</t>
        </is>
      </c>
      <c r="D18" s="59" t="inlineStr">
        <is>
          <t>Additional shares sold if overallotment is exercised (supports stabilisation and demand management).</t>
        </is>
      </c>
      <c r="E18" s="59" t="inlineStr">
        <is>
          <t>• 01_CONTROL!C30 greenshoe %
• Total sold shares base (09_OFFER_STRUCTURE!C23)
• Investor demand and allocation strategy (outside model)
• Free float and ownership targets
• Regulatory / prospectus limits (outside model)</t>
        </is>
      </c>
      <c r="F18" s="59" t="inlineStr">
        <is>
          <t>Greenshoe increases float and gross proceeds slightly. It can be structured as primary or secondary depending on the base model setup.</t>
        </is>
      </c>
      <c r="G18" s="59" t="inlineStr">
        <is>
          <t>• Forgetting to include greenshoe when quoting total sold or float
• Assuming greenshoe increases company cash when it is secondary
• Not reflecting greenshoe in ownership table</t>
        </is>
      </c>
      <c r="H18" s="59" t="inlineStr">
        <is>
          <t>• Total sold incl greenshoe = base sold x (1 + GS%)
• Float % should increase when greenshoe is on
• Check fee base includes greenshoe if applicable</t>
        </is>
      </c>
      <c r="I18" s="59" t="inlineStr">
        <is>
          <t>Greenshoe is mainly an execution tool. It helps the syndicate manage allocations and stabilise trading. Economically it modestly increases float and proceeds, and we disclose the effect explicitly.</t>
        </is>
      </c>
      <c r="J18" s="60">
        <f>HYPERLINK("#'09_OFFER_STRUCTURE'!C22","Go")</f>
        <v/>
      </c>
    </row>
    <row r="19" ht="120" customHeight="1">
      <c r="B19" s="58" t="inlineStr">
        <is>
          <t>Underwriting fee (DKKm) and fee % of gross</t>
        </is>
      </c>
      <c r="C19" s="59" t="inlineStr">
        <is>
          <t>09_OFFER_STRUCTURE!C28 | 01_CONTROL!C31 FEE_PCT</t>
        </is>
      </c>
      <c r="D19" s="59" t="inlineStr">
        <is>
          <t>Fees paid to underwriters. Fee % applied to a defined proceeds base and allocated between primary and secondary.</t>
        </is>
      </c>
      <c r="E19" s="59" t="inlineStr">
        <is>
          <t>• 01_CONTROL!C31 fee %
• Fee base definition (primary only vs total, per model logic)
• 09_OFFER_STRUCTURE fee allocation logic (C31:C32)
• Other costs (C29)
• Total sold shares incl greenshoe (if fee base includes GS)</t>
        </is>
      </c>
      <c r="F19" s="59" t="inlineStr">
        <is>
          <t>Higher fee % reduces net proceeds to company. Fee allocation changes net proceeds vs selling shareholder proceeds.</t>
        </is>
      </c>
      <c r="G19" s="59" t="inlineStr">
        <is>
          <t>• Applying fee on wrong base
• Sign errors or double counting fees
• Not disclosing whether fees are applied to secondary proceeds</t>
        </is>
      </c>
      <c r="H19" s="59" t="inlineStr">
        <is>
          <t>• Fee amount should equal fee% x defined base
• Net proceeds should change one-for-one with fees
• Fees should not affect EV, only cash received and use of proceeds</t>
        </is>
      </c>
      <c r="I19" s="59" t="inlineStr">
        <is>
          <t>Fees are a transaction cost. We are transparent about the fee base and allocation. The key economic outcome is net proceeds to the company and balance sheet impact.</t>
        </is>
      </c>
      <c r="J19" s="60">
        <f>HYPERLINK("#'09_OFFER_STRUCTURE'!C28","Go")</f>
        <v/>
      </c>
    </row>
    <row r="20" ht="120" customHeight="1">
      <c r="B20" s="58" t="inlineStr">
        <is>
          <t>Primary vs secondary split (%, cash to company vs sellers)</t>
        </is>
      </c>
      <c r="C20" s="59" t="inlineStr">
        <is>
          <t>01_CONTROL!C28:C29 (mix) | 09_OFFER_STRUCTURE outputs</t>
        </is>
      </c>
      <c r="D20" s="59" t="inlineStr">
        <is>
          <t>Deal structure split: how much is capital raise versus shareholder sell down.</t>
        </is>
      </c>
      <c r="E20" s="59" t="inlineStr">
        <is>
          <t>• 01_CONTROL!C28 primary %
• 01_CONTROL!C29 secondary %
• Gross proceeds target (01_CONTROL!C27)
• Fee allocation (09_OFFER_STRUCTURE C31:C32)
• Investor demand / float constraints (outside model)</t>
        </is>
      </c>
      <c r="F20" s="59" t="inlineStr">
        <is>
          <t>More primary increases company cash and dilution. More secondary increases float and reduces overhang but does not fund the company.</t>
        </is>
      </c>
      <c r="G20" s="59" t="inlineStr">
        <is>
          <t>• Talking about total raise without stating primary portion
• Inconsistent use of 'raise' vs 'sell down'
• Not aligning use of proceeds narrative to primary cash</t>
        </is>
      </c>
      <c r="H20" s="59" t="inlineStr">
        <is>
          <t>• Primary % + secondary % should equal 100% for base sizing
• Net proceeds to company should move with primary %
• Float % should move with secondary as well as primary</t>
        </is>
      </c>
      <c r="I20" s="59" t="inlineStr">
        <is>
          <t>The split is a deliberate trade-off. Primary supports the strategy and balance sheet; secondary supports liquidity and ownership objectives. We size both to meet float and dilution constraints.</t>
        </is>
      </c>
      <c r="J20" s="60">
        <f>HYPERLINK("#'01_CONTROL'!C28","Go")</f>
        <v/>
      </c>
    </row>
    <row r="21" ht="120" customHeight="1">
      <c r="B21" s="58" t="inlineStr">
        <is>
          <t>Pre IPO shares outstanding (m)</t>
        </is>
      </c>
      <c r="C21" s="59" t="inlineStr">
        <is>
          <t>10_CAP_TABLE!C21 | PRE_SHARES</t>
        </is>
      </c>
      <c r="D21" s="59" t="inlineStr">
        <is>
          <t>Shares outstanding before the IPO (used for ownership and dilution base).</t>
        </is>
      </c>
      <c r="E21" s="59" t="inlineStr">
        <is>
          <t>• Cap table input / pre shareholders data (10_CAP_TABLE section)
• Any option pools or convertibles (if included)
• Share split adjustments
• Definition of basic shares
• Any pre-IPO issuance assumptions</t>
        </is>
      </c>
      <c r="F21" s="59" t="inlineStr">
        <is>
          <t>Higher pre shares reduce dilution percentage for a given primary issuance (all else equal).</t>
        </is>
      </c>
      <c r="G21" s="59" t="inlineStr">
        <is>
          <t>• Using fully diluted when model assumes basic (or vice versa)
• Not reflecting pre-IPO option pool top-up
• Inconsistent share counts across tabs</t>
        </is>
      </c>
      <c r="H21" s="59" t="inlineStr">
        <is>
          <t>• Pre shares should reconcile to cap table sum of holders
• Pre shares should match historical share count in financials (if included)
• Ownership % should sum to 100% pre IPO</t>
        </is>
      </c>
      <c r="I21" s="59" t="inlineStr">
        <is>
          <t>These are the shares outstanding before the transaction. They anchor ownership and dilution calculations. We keep the definition consistent and disclose whether it is basic or fully diluted.</t>
        </is>
      </c>
      <c r="J21" s="60">
        <f>HYPERLINK("#'10_CAP_TABLE'!C21","Go")</f>
        <v/>
      </c>
    </row>
    <row r="22" ht="120" customHeight="1">
      <c r="B22" s="58" t="inlineStr">
        <is>
          <t>Post IPO shares outstanding (m)</t>
        </is>
      </c>
      <c r="C22" s="59" t="inlineStr">
        <is>
          <t>10_CAP_TABLE!C23 | POST_SHARES</t>
        </is>
      </c>
      <c r="D22" s="59" t="inlineStr">
        <is>
          <t>Total shares outstanding after primary issuance (basis for market cap and ownership).</t>
        </is>
      </c>
      <c r="E22" s="59" t="inlineStr">
        <is>
          <t>• Pre shares (10_CAP_TABLE!C21)
• Primary shares issued (09_OFFER_STRUCTURE!C38)
• Any new option pool or conversion adjustments (if included)
• Rounding / share issuance constraints
• Greenshoe effect if model treats as primary</t>
        </is>
      </c>
      <c r="F22" s="59" t="inlineStr">
        <is>
          <t>More primary issuance increases post shares. Secondary sales do not change post shares.</t>
        </is>
      </c>
      <c r="G22" s="59" t="inlineStr">
        <is>
          <t>• Adding secondary sold into post shares (wrong)
• Mixing pre/post shares in market cap and ownership metrics
• Not reflecting greenshoe treatment correctly</t>
        </is>
      </c>
      <c r="H22" s="59" t="inlineStr">
        <is>
          <t>• Post shares should equal pre shares + primary shares (plus any other new shares)
• Market cap uses post shares, not total sold
• Ownership post should sum to 100%</t>
        </is>
      </c>
      <c r="I22" s="59" t="inlineStr">
        <is>
          <t>Post shares are the equity base after the IPO. They drive market cap and ownership. Only primary issuance changes the total outstanding shares.</t>
        </is>
      </c>
      <c r="J22" s="60">
        <f>HYPERLINK("#'10_CAP_TABLE'!C23","Go")</f>
        <v/>
      </c>
    </row>
    <row r="23" ht="120" customHeight="1">
      <c r="B23" s="58" t="inlineStr">
        <is>
          <t>Primary dilution % (existing holders)</t>
        </is>
      </c>
      <c r="C23" s="59" t="inlineStr">
        <is>
          <t>10_CAP_TABLE!C18 | PRIMARY_DILUTION</t>
        </is>
      </c>
      <c r="D23" s="59" t="inlineStr">
        <is>
          <t>Percentage dilution experienced by existing holders due to new primary shares issued.</t>
        </is>
      </c>
      <c r="E23" s="59" t="inlineStr">
        <is>
          <t>• Pre shares (10_CAP_TABLE!C21)
• Primary shares issued (09_OFFER_STRUCTURE!C38)
• Any other new shares (options, convertibles)
• Offer price does not directly affect dilution (share count driven)
• Rounding</t>
        </is>
      </c>
      <c r="F23" s="59" t="inlineStr">
        <is>
          <t>More primary shares increases dilution. Higher price can reduce required shares for the same raise, lowering dilution.</t>
        </is>
      </c>
      <c r="G23" s="59" t="inlineStr">
        <is>
          <t>• Calling sell-down 'dilution' (it is ownership reduction, not dilution)
• Using sold shares instead of new shares in dilution formula
• Not distinguishing dilution from change in voting control</t>
        </is>
      </c>
      <c r="H23" s="59" t="inlineStr">
        <is>
          <t>• Dilution should be approximately primary shares / post shares
• If primary shares = 0, dilution should be 0
• Ownership of each existing holder should fall proportionally when only primary issued</t>
        </is>
      </c>
      <c r="I23" s="59" t="inlineStr">
        <is>
          <t>Dilution is purely share-count driven. It is the cost of raising capital. We manage it by balancing price, primary size and float requirements.</t>
        </is>
      </c>
      <c r="J23" s="60">
        <f>HYPERLINK("#'10_CAP_TABLE'!C18","Go")</f>
        <v/>
      </c>
    </row>
    <row r="24" ht="120" customHeight="1">
      <c r="B24" s="58" t="inlineStr">
        <is>
          <t>Free float % post IPO</t>
        </is>
      </c>
      <c r="C24" s="59" t="inlineStr">
        <is>
          <t>10_CAP_TABLE!C17 | FREE_FLOAT_PCT</t>
        </is>
      </c>
      <c r="D24" s="59" t="inlineStr">
        <is>
          <t>Public float as a percentage of post shares, including shares sold (and greenshoe if exercised).</t>
        </is>
      </c>
      <c r="E24" s="59" t="inlineStr">
        <is>
          <t>• Total sold shares and greenshoe (09_OFFER_STRUCTURE)
• Post shares (10_CAP_TABLE!C23)
• Primary vs secondary mix (01_CONTROL)
• Any cornerstone / locked shares (if included)
• Regulatory float minimums (outside model)</t>
        </is>
      </c>
      <c r="F24" s="59" t="inlineStr">
        <is>
          <t>More shares sold increases float. More primary issuance can increase float and dilution simultaneously.</t>
        </is>
      </c>
      <c r="G24" s="59" t="inlineStr">
        <is>
          <t>• Calculating float off pre shares (wrong)
• Excluding greenshoe when it is expected to be exercised
• Forgetting locked-up/free float restrictions</t>
        </is>
      </c>
      <c r="H24" s="59" t="inlineStr">
        <is>
          <t>• Float % should be within the targeted range (commonly 20-40% depending on market and size)
• Total float shares should reconcile to shares sold to public
• Ownership table: Free float holder should match float shares</t>
        </is>
      </c>
      <c r="I24" s="59" t="inlineStr">
        <is>
          <t>Free float is the liquidity promise to the market. We target a float that supports trading and index eligibility without creating unnecessary dilution or loss of control.</t>
        </is>
      </c>
      <c r="J24" s="60">
        <f>HYPERLINK("#'10_CAP_TABLE'!C17","Go")</f>
        <v/>
      </c>
    </row>
    <row r="25" ht="120" customHeight="1">
      <c r="B25" s="58" t="inlineStr">
        <is>
          <t>Ownership table (top holders + free float)</t>
        </is>
      </c>
      <c r="C25" s="59" t="inlineStr">
        <is>
          <t>10_CAP_TABLE ownership block (rows 27-37) | 00_DASHBOARD ownership summary</t>
        </is>
      </c>
      <c r="D25" s="59" t="inlineStr">
        <is>
          <t>Post IPO ownership percentages for key holders and the public float.</t>
        </is>
      </c>
      <c r="E25" s="59" t="inlineStr">
        <is>
          <t>• Pre holder shares inputs
• Primary issuance effect (dilution)
• Secondary shares sold by specific holders (if allocated)
• Greenshoe treatment
• Rounding</t>
        </is>
      </c>
      <c r="F25" s="59" t="inlineStr">
        <is>
          <t>More secondary sold by a holder reduces their stake; more primary issuance reduces everyone proportionally.</t>
        </is>
      </c>
      <c r="G25" s="59" t="inlineStr">
        <is>
          <t>• Not specifying which holders are selling secondary
• Using percentage ownership based on wrong share count basis
• Rounding causing totals not to sum to 100%</t>
        </is>
      </c>
      <c r="H25" s="59" t="inlineStr">
        <is>
          <t>• Total ownership should sum to 100% post
• Top holders should reconcile to pre shares minus sold shares
• Free float holder should match float % calculation</t>
        </is>
      </c>
      <c r="I25" s="59" t="inlineStr">
        <is>
          <t>This table explains who owns what after the IPO. It is the basis for governance, control discussions and investor messaging around alignment.</t>
        </is>
      </c>
      <c r="J25" s="60">
        <f>HYPERLINK("#'10_CAP_TABLE'!B27","Go")</f>
        <v/>
      </c>
    </row>
    <row r="26" ht="120" customHeight="1">
      <c r="B26" s="58" t="inlineStr">
        <is>
          <t>Pro forma cash post (DKKm)</t>
        </is>
      </c>
      <c r="C26" s="59" t="inlineStr">
        <is>
          <t>11_PRO_FORMA_BS!C22 | CASH_POST</t>
        </is>
      </c>
      <c r="D26" s="59" t="inlineStr">
        <is>
          <t>Cash balance after receiving net primary proceeds and applying use of proceeds.</t>
        </is>
      </c>
      <c r="E26" s="59" t="inlineStr">
        <is>
          <t>• Net proceeds to company (09_OFFER_STRUCTURE!C33)
• Use of proceeds allocation (11_PRO_FORMA_BS inputs)
• Transaction costs treatment (expense vs capitalised)
• Debt paydown decision
• Any existing cash adjustments</t>
        </is>
      </c>
      <c r="F26" s="59" t="inlineStr">
        <is>
          <t>More net proceeds increases cash unless allocated to pay down debt or other uses.</t>
        </is>
      </c>
      <c r="G26" s="59" t="inlineStr">
        <is>
          <t>• Adding secondary proceeds to company cash
• Double counting debt paydown (reduce debt and cash twice)
• Ignoring transaction costs in cash bridge</t>
        </is>
      </c>
      <c r="H26" s="59" t="inlineStr">
        <is>
          <t>• Cash post should reconcile to: cash pre + net proceeds - cash uses
• Cash post should not be negative unless overdraft assumed
• Net debt post should reconcile to debt and cash post</t>
        </is>
      </c>
      <c r="I26" s="59" t="inlineStr">
        <is>
          <t>Cash post shows the balance sheet impact of the IPO. It must reconcile directly to net primary proceeds and the stated use of proceeds.</t>
        </is>
      </c>
      <c r="J26" s="60">
        <f>HYPERLINK("#'11_PRO_FORMA_BS'!C22","Go")</f>
        <v/>
      </c>
    </row>
    <row r="27" ht="120" customHeight="1">
      <c r="B27" s="58" t="inlineStr">
        <is>
          <t>Pro forma debt post (DKKm)</t>
        </is>
      </c>
      <c r="C27" s="59" t="inlineStr">
        <is>
          <t>11_PRO_FORMA_BS!C23 | DEBT_POST</t>
        </is>
      </c>
      <c r="D27" s="59" t="inlineStr">
        <is>
          <t>Debt balance after applying any debt paydown from proceeds.</t>
        </is>
      </c>
      <c r="E27" s="59" t="inlineStr">
        <is>
          <t>• Debt pre (11_PRO_FORMA_BS inputs)
• Debt paydown allocation (11_PRO_FORMA_BS)
• Any refinancing assumptions (if included)
• Transaction fees capitalised to debt (if included)
• Timing assumptions</t>
        </is>
      </c>
      <c r="F27" s="59" t="inlineStr">
        <is>
          <t>Debt decreases with paydown. If no paydown, debt remains flat.</t>
        </is>
      </c>
      <c r="G27" s="59" t="inlineStr">
        <is>
          <t>• Paying down more debt than outstanding
• Assuming secondary proceeds can be used for paydown
• Inconsistent debt definition across leverage and net debt</t>
        </is>
      </c>
      <c r="H27" s="59" t="inlineStr">
        <is>
          <t>• Debt post must be &gt;= 0 and &lt;= debt pre
• Debt paydown must be &lt;= net proceeds allocated to paydown
• Net debt post should reconcile</t>
        </is>
      </c>
      <c r="I27" s="59" t="inlineStr">
        <is>
          <t>Debt post is a mechanical outcome of the use of proceeds. It drives credit story and leverage metrics and must match the pro forma bridge.</t>
        </is>
      </c>
      <c r="J27" s="60">
        <f>HYPERLINK("#'11_PRO_FORMA_BS'!C23","Go")</f>
        <v/>
      </c>
    </row>
    <row r="28" ht="120" customHeight="1">
      <c r="B28" s="58" t="inlineStr">
        <is>
          <t>Net debt post (DKKm)</t>
        </is>
      </c>
      <c r="C28" s="59" t="inlineStr">
        <is>
          <t>13_METRICS_AND_KPIS!C20 | NETDEBT_POST</t>
        </is>
      </c>
      <c r="D28" s="59" t="inlineStr">
        <is>
          <t>Net debt used in the EV bridge and leverage, calculated from pro forma debt and cash (per definition).</t>
        </is>
      </c>
      <c r="E28" s="59" t="inlineStr">
        <is>
          <t>• Debt post (11_PRO_FORMA_BS)
• Cash post (11_PRO_FORMA_BS)
• Definition controls: include/exclude cash equivalents, leases etc (if any)
• Use of proceeds
• Any adjustments (pension/leases)</t>
        </is>
      </c>
      <c r="F28" s="59" t="inlineStr">
        <is>
          <t>More cash reduces net debt; more debt increases net debt. Including cash equivalents reduces net debt further.</t>
        </is>
      </c>
      <c r="G28" s="59" t="inlineStr">
        <is>
          <t>• Sign errors (cash added instead of subtracted)
• Inconsistent definition between EV bridge and leverage
• Not updating after changing use of proceeds</t>
        </is>
      </c>
      <c r="H28" s="59" t="inlineStr">
        <is>
          <t>• Net debt should equal debt post - cash post (+/- adjustments) exactly
• Net debt should move in line with paydown and cash changes
• Definition should be consistent in comps and narrative</t>
        </is>
      </c>
      <c r="I28" s="59" t="inlineStr">
        <is>
          <t>Net debt is the key bridge between EV and equity. We define it explicitly and keep it consistent across valuation, leverage and investor materials.</t>
        </is>
      </c>
      <c r="J28" s="60">
        <f>HYPERLINK("#'13_METRICS_AND_KPIS'!C20","Go")</f>
        <v/>
      </c>
    </row>
    <row r="29" ht="120" customHeight="1">
      <c r="B29" s="58" t="inlineStr">
        <is>
          <t>Net leverage post (x)</t>
        </is>
      </c>
      <c r="C29" s="59" t="inlineStr">
        <is>
          <t>13_METRICS_AND_KPIS!C24 | LEVERAGE_POST</t>
        </is>
      </c>
      <c r="D29" s="59" t="inlineStr">
        <is>
          <t>Net debt divided by EBITDA (per basis), showing post transaction leverage.</t>
        </is>
      </c>
      <c r="E29" s="59" t="inlineStr">
        <is>
          <t>• Net debt post (13_METRICS_AND_KPIS!C20)
• EBITDA metric (LTM or NTM, per model)
• Debt paydown allocation
• Scenario drivers affecting EBITDA (04_DRIVERS)
• Any addbacks or normalisation</t>
        </is>
      </c>
      <c r="F29" s="59" t="inlineStr">
        <is>
          <t>Lower net debt or higher EBITDA reduces leverage. Leverage improves with debt paydown funded by IPO proceeds.</t>
        </is>
      </c>
      <c r="G29" s="59" t="inlineStr">
        <is>
          <t>• Dividing by the wrong EBITDA basis (LTM vs NTM)
• Not adjusting EBITDA for one offs while adjusting peers
• Inconsistent net debt definition</t>
        </is>
      </c>
      <c r="H29" s="59" t="inlineStr">
        <is>
          <t>• Leverage should improve when debt is paid down (if EBITDA constant)
• Leverage should be in a plausible range for the sector and rating objectives
• Reconcile EBITDA basis to comps basis</t>
        </is>
      </c>
      <c r="I29" s="59" t="inlineStr">
        <is>
          <t>Post IPO leverage is a core part of the equity story and credit perception. It is driven by net proceeds allocation and must be consistent with the chosen EBITDA basis.</t>
        </is>
      </c>
      <c r="J29" s="60">
        <f>HYPERLINK("#'13_METRICS_AND_KPIS'!C24","Go")</f>
        <v/>
      </c>
    </row>
    <row r="30" ht="120" customHeight="1">
      <c r="B30" s="58" t="inlineStr">
        <is>
          <t>Use of proceeds: debt paydown (DKKm)</t>
        </is>
      </c>
      <c r="C30" s="59" t="inlineStr">
        <is>
          <t>11_PRO_FORMA_BS!C17 | DEBT_PAYDOWN</t>
        </is>
      </c>
      <c r="D30" s="59" t="inlineStr">
        <is>
          <t>Portion of net primary proceeds allocated to pay down debt.</t>
        </is>
      </c>
      <c r="E30" s="59" t="inlineStr">
        <is>
          <t>• Net proceeds to company
• Use of proceeds assumption input
• Debt outstanding pre
• Strategic rationale (balance sheet vs growth)
• Constraints: minimum cash buffer</t>
        </is>
      </c>
      <c r="F30" s="59" t="inlineStr">
        <is>
          <t>More paydown reduces net debt and leverage but reduces cash available for growth uses.</t>
        </is>
      </c>
      <c r="G30" s="59" t="inlineStr">
        <is>
          <t>• Allocating more than net proceeds available
• Not aligning use of proceeds narrative to the allocation
• Treating paydown as affecting EV rather than net debt/equity bridge</t>
        </is>
      </c>
      <c r="H30" s="59" t="inlineStr">
        <is>
          <t>• Debt paydown &lt;= debt pre and &lt;= net proceeds
• Cash post should reflect the allocation
• Leverage should move consistently</t>
        </is>
      </c>
      <c r="I30" s="59" t="inlineStr">
        <is>
          <t>Debt paydown is a choice: use proceeds to de risk the balance sheet and improve leverage. We size it so the company retains sufficient cash for operations and growth investments.</t>
        </is>
      </c>
      <c r="J30" s="60">
        <f>HYPERLINK("#'11_PRO_FORMA_BS'!C17","Go")</f>
        <v/>
      </c>
    </row>
    <row r="31" ht="120" customHeight="1">
      <c r="B31" s="58" t="inlineStr">
        <is>
          <t>Selected comps multiple (EV/EBITDA or EV/Rev)</t>
        </is>
      </c>
      <c r="C31" s="59" t="inlineStr">
        <is>
          <t>06_VALUATION_COMPS!C23 | MULTIPLE_SEL</t>
        </is>
      </c>
      <c r="D31" s="59" t="inlineStr">
        <is>
          <t>Chosen valuation multiple used to translate issuer metric into implied EV via comps.</t>
        </is>
      </c>
      <c r="E31" s="59" t="inlineStr">
        <is>
          <t>• Peer group selection in comps table (06_VALUATION_COMPS)
• Metric mapping (EBITDA vs revenue)
• Normalisation adjustments (one offs, IFRS differences)
• Growth and margin positioning versus peers
• Market conditions (outside model)</t>
        </is>
      </c>
      <c r="F31" s="59" t="inlineStr">
        <is>
          <t>Higher selected multiple increases implied EV and implied price range.</t>
        </is>
      </c>
      <c r="G31" s="59" t="inlineStr">
        <is>
          <t>• Selecting a multiple outside peer distribution without justification
• Inconsistent metric basis (LTM vs NTM) across peers and issuer
• Not documenting normalisation adjustments</t>
        </is>
      </c>
      <c r="H31" s="59" t="inlineStr">
        <is>
          <t>• Selected multiple should sit within peer distribution and be explained
• Implied EV should reconcile to multiple x metric
• Check for currency and unit consistency</t>
        </is>
      </c>
      <c r="I31" s="59" t="inlineStr">
        <is>
          <t>The selected multiple is defensible if it reflects where the issuer sits versus peers on growth, margins and quality, and if normalisations are documented. We show distribution and rationale transparently.</t>
        </is>
      </c>
      <c r="J31" s="60">
        <f>HYPERLINK("#'06_VALUATION_COMPS'!C23","Go")</f>
        <v/>
      </c>
    </row>
    <row r="32" ht="120" customHeight="1">
      <c r="B32" s="58" t="inlineStr">
        <is>
          <t>Key valuation multiple at offer price (EV/EBITDA)</t>
        </is>
      </c>
      <c r="C32" s="59" t="inlineStr">
        <is>
          <t>13_METRICS_AND_KPIS!C22 (EV/LTM EBITDA) | Dashboard tile</t>
        </is>
      </c>
      <c r="D32" s="59" t="inlineStr">
        <is>
          <t>Offer valuation multiple implied by the selected offer price and EV bridge.</t>
        </is>
      </c>
      <c r="E32" s="59" t="inlineStr">
        <is>
          <t>• EV at offer price
• EBITDA metric (basis)
• Net debt definition and paydown
• Scenario drivers affecting EBITDA
• Any normalisations</t>
        </is>
      </c>
      <c r="F32" s="59" t="inlineStr">
        <is>
          <t>Higher EV or lower EBITDA increases the multiple. Improving EBITDA reduces multiple at fixed EV.</t>
        </is>
      </c>
      <c r="G32" s="59" t="inlineStr">
        <is>
          <t>• Using inconsistent EBITDA basis versus comps
• Comparing unadjusted issuer EBITDA to adjusted peer EBITDA
• Not disclosing whether multiple is LTM or NTM</t>
        </is>
      </c>
      <c r="H32" s="59" t="inlineStr">
        <is>
          <t>• Offer multiple should be consistent with comps distribution at selected price
• Direction: raising price increases EV and the multiple (all else equal)
• Check EBITDA is not zero/negative when using EV/EBITDA</t>
        </is>
      </c>
      <c r="I32" s="59" t="inlineStr">
        <is>
          <t>This is the multiple implied by the offer price. It is the anchor for pricing defensibility versus peers, so we always state the EBITDA basis and any adjustments.</t>
        </is>
      </c>
      <c r="J32" s="60">
        <f>HYPERLINK("#'13_METRICS_AND_KPIS'!C22","Go")</f>
        <v/>
      </c>
    </row>
    <row r="33" ht="120" customHeight="1">
      <c r="B33" s="58" t="inlineStr">
        <is>
          <t>Key valuation multiple at offer price (EV/Revenue)</t>
        </is>
      </c>
      <c r="C33" s="59" t="inlineStr">
        <is>
          <t>13_METRICS_AND_KPIS!C23 (EV/LTM Rev) | Dashboard tile</t>
        </is>
      </c>
      <c r="D33" s="59" t="inlineStr">
        <is>
          <t>Offer EV to revenue multiple implied by the selected offer price.</t>
        </is>
      </c>
      <c r="E33" s="59" t="inlineStr">
        <is>
          <t>• EV at offer price
• Revenue metric (basis)
• Net debt definition
• Scenario drivers affecting revenue
• Any normalisations</t>
        </is>
      </c>
      <c r="F33" s="59" t="inlineStr">
        <is>
          <t>Higher EV or lower revenue increases the multiple.</t>
        </is>
      </c>
      <c r="G33" s="59" t="inlineStr">
        <is>
          <t>• Mixing IFRS revenue definitions across peers and issuer
• Currency mismatch or units mismatch (DKKm vs EURm)
• Using period inconsistent with peers (LTM vs NTM)</t>
        </is>
      </c>
      <c r="H33" s="59" t="inlineStr">
        <is>
          <t>• Offer EV/Rev should be within peer range for similar growth and margin profile
• Reconcile revenue basis to financial module outputs
• Check scaling: EV and revenue must be in same currency and units</t>
        </is>
      </c>
      <c r="I33" s="59" t="inlineStr">
        <is>
          <t>We use EV/Revenue when EBITDA is volatile or negative. The multiple must be benchmarked to peers with similar growth and margin trajectory and the basis must be consistent.</t>
        </is>
      </c>
      <c r="J33" s="60">
        <f>HYPERLINK("#'13_METRICS_AND_KPIS'!C23","Go")</f>
        <v/>
      </c>
    </row>
    <row r="34" ht="120" customHeight="1">
      <c r="B34" s="58" t="inlineStr">
        <is>
          <t>DCF implied enterprise value (if enabled)</t>
        </is>
      </c>
      <c r="C34" s="59" t="inlineStr">
        <is>
          <t>07_VALUATION_DCF output block (EV) | W_DCF weighting used in triangulation</t>
        </is>
      </c>
      <c r="D34" s="59" t="inlineStr">
        <is>
          <t>DCF based enterprise value from discounted cash flows and terminal value (optional cross check).</t>
        </is>
      </c>
      <c r="E34" s="59" t="inlineStr">
        <is>
          <t>• 01_CONTROL!C47 WACC
• 01_CONTROL!C48 terminal growth
• Forecast free cash flows (05_FORECAST)
• Terminal method and timing (mid year or year end)
• Net debt bridge</t>
        </is>
      </c>
      <c r="F34" s="59" t="inlineStr">
        <is>
          <t>Lower WACC increases PV and EV. Higher terminal growth increases terminal value and EV.</t>
        </is>
      </c>
      <c r="G34" s="59" t="inlineStr">
        <is>
          <t>• Using g &gt;= WACC causing infinite terminal value
• Wrong timing (year end vs mid year) across PV
• Mixing nominal and real rates</t>
        </is>
      </c>
      <c r="H34" s="59" t="inlineStr">
        <is>
          <t>• TV formula must have WACC &gt; g with a buffer
• Terminal value should be the majority but not unrealistic share of EV
• DCF implied EV should be directionally consistent with comps</t>
        </is>
      </c>
      <c r="I34" s="59" t="inlineStr">
        <is>
          <t>DCF is a cross check, not the pricing driver. We use it to validate that the offer range is consistent with the issuer's cash generation under reasonable discount rates and terminal assumptions.</t>
        </is>
      </c>
      <c r="J34" s="60">
        <f>HYPERLINK("#'07_VALUATION_DCF'!C30","Go")</f>
        <v/>
      </c>
    </row>
    <row r="35" ht="120" customHeight="1">
      <c r="B35" s="58" t="inlineStr">
        <is>
          <t>Triangulated EV range (Low/Base/High) (DKKm)</t>
        </is>
      </c>
      <c r="C35" s="59" t="inlineStr">
        <is>
          <t>00_DASHBOARD!C14:E14 | EV_TRI_LOW / EV_TRI_BASE / EV_TRI_HIGH</t>
        </is>
      </c>
      <c r="D35" s="59" t="inlineStr">
        <is>
          <t>Combined EV range from comps and optional DCF using explicit weights.</t>
        </is>
      </c>
      <c r="E35" s="59" t="inlineStr">
        <is>
          <t>• Comps implied EV range
• DCF implied EV range (if used)
• 01_CONTROL triangulation weights (W_COMPS, W_DCF)
• Net debt post (equity bridge)
• Peer distribution / DCF assumptions</t>
        </is>
      </c>
      <c r="F35" s="59" t="inlineStr">
        <is>
          <t>Higher comps multiple or stronger DCF increases EV range. Changing weights shifts range toward the dominating method.</t>
        </is>
      </c>
      <c r="G35" s="59" t="inlineStr">
        <is>
          <t>• Changing weights without explaining which method dominates
• Inconsistent metric basis between comps and DCF
• Not updating narrative when weights change</t>
        </is>
      </c>
      <c r="H35" s="59" t="inlineStr">
        <is>
          <t>• Weights must sum to 100%
• Triangulated EV should sit between method EVs when weights are convex
• Range should be consistent with implied price range</t>
        </is>
      </c>
      <c r="I35" s="59" t="inlineStr">
        <is>
          <t>The triangulated range is the model's combined view. The defensibility comes from showing both methods and a clear rationale for the weights rather than hiding the inputs.</t>
        </is>
      </c>
      <c r="J35" s="60">
        <f>HYPERLINK("#'00_DASHBOARD'!C14","Go")</f>
        <v/>
      </c>
    </row>
    <row r="36" ht="120" customHeight="1">
      <c r="B36" s="58" t="inlineStr">
        <is>
          <t>Sensitivity: implied price vs multiple (comps)</t>
        </is>
      </c>
      <c r="C36" s="59" t="inlineStr">
        <is>
          <t>14_SENSITIVITIES matrix area | multiple sensitivity table</t>
        </is>
      </c>
      <c r="D36" s="59" t="inlineStr">
        <is>
          <t>How implied price changes as the selected multiple changes (holding metric constant).</t>
        </is>
      </c>
      <c r="E36" s="59" t="inlineStr">
        <is>
          <t>• Peer distribution and selected multiple
• Issuer metric (EBITDA or revenue)
• Net debt and post shares
• Triangulation weights (if sensitivity is on comps only)
• Scenario impacts on metric</t>
        </is>
      </c>
      <c r="F36" s="59" t="inlineStr">
        <is>
          <t>Higher multiple increases implied EV and implied price linearly.</t>
        </is>
      </c>
      <c r="G36" s="59" t="inlineStr">
        <is>
          <t>• Non linearity from mixing units (m vs k) or rounding issues
• Using the wrong metric in sensitivity table
• Not locking references causing sensitivity table to break</t>
        </is>
      </c>
      <c r="H36" s="59" t="inlineStr">
        <is>
          <t>• Price change per +0.1x multiple should be stable and directionally positive
• Check that the table references the correct issuer metric
• Ensure the sensitivity table uses absolute references where needed</t>
        </is>
      </c>
      <c r="I36" s="59" t="inlineStr">
        <is>
          <t>This table is for explaining what drives the range. It shows the linear relationship between the multiple and implied price and helps prioritise which assumptions matter most.</t>
        </is>
      </c>
      <c r="J36" s="60">
        <f>HYPERLINK("#'14_SENSITIVITIES'!B19","Go")</f>
        <v/>
      </c>
    </row>
    <row r="37" ht="120" customHeight="1">
      <c r="B37" s="58" t="inlineStr">
        <is>
          <t>Sensitivity: DCF value vs WACC and terminal g</t>
        </is>
      </c>
      <c r="C37" s="59" t="inlineStr">
        <is>
          <t>07_VALUATION_DCF sensitivity block (if present) | WACC and TERM_G inputs</t>
        </is>
      </c>
      <c r="D37" s="59" t="inlineStr">
        <is>
          <t>How the DCF implied value responds to discount rate and terminal assumptions.</t>
        </is>
      </c>
      <c r="E37" s="59" t="inlineStr">
        <is>
          <t>• WACC (01_CONTROL!C47)
• Terminal growth (01_CONTROL!C48)
• Forecast FCF
• Terminal method (Gordon growth)
• Timing and PV convention</t>
        </is>
      </c>
      <c r="F37" s="59" t="inlineStr">
        <is>
          <t>Higher WACC decreases value; higher terminal g increases value (non linear).</t>
        </is>
      </c>
      <c r="G37" s="59" t="inlineStr">
        <is>
          <t>• Using g too close to WACC
• Mixing nominal WACC with real g
• Not explaining why WACC moved (risk, rates, beta)</t>
        </is>
      </c>
      <c r="H37" s="59" t="inlineStr">
        <is>
          <t>• Ensure WACC - g stays safely positive
• Terminal value share should remain plausible
• DCF sensitivity should be monotonic in both dimensions</t>
        </is>
      </c>
      <c r="I37" s="59" t="inlineStr">
        <is>
          <t>This sensitivity is an explanation tool. It frames the valuation uncertainty and shows that the DCF result is highly sensitive to discount rates and terminal assumptions.</t>
        </is>
      </c>
      <c r="J37" s="60">
        <f>HYPERLINK("#'07_VALUATION_DCF'!B12","Go")</f>
        <v/>
      </c>
    </row>
    <row r="38" ht="120" customHeight="1">
      <c r="B38" s="58" t="inlineStr">
        <is>
          <t>Pricing narrative constraints: float, dilution, proceeds, leverage</t>
        </is>
      </c>
      <c r="C38" s="59" t="inlineStr">
        <is>
          <t>00_DASHBOARD summary list + 10_CAP_TABLE + 09_OFFER_STRUCTURE + 13_METRICS</t>
        </is>
      </c>
      <c r="D38" s="59" t="inlineStr">
        <is>
          <t>Key constraints that often drive the feasible pricing range beyond pure valuation: float, dilution, net proceeds and leverage.</t>
        </is>
      </c>
      <c r="E38" s="59" t="inlineStr">
        <is>
          <t>• Free float % (10_CAP_TABLE!C17)
• Primary dilution % (10_CAP_TABLE!C18)
• Net proceeds to company (09_OFFER_STRUCTURE!C33)
• Leverage post (13_METRICS_AND_KPIS!C24)
• Selected offer price (01_CONTROL!C56)</t>
        </is>
      </c>
      <c r="F38" s="59" t="inlineStr">
        <is>
          <t>Higher price can improve proceeds and reduce share count based dilution, but can hurt marketability if valuation becomes too rich. Structure changes can improve float without increasing dilution.</t>
        </is>
      </c>
      <c r="G38" s="59" t="inlineStr">
        <is>
          <t>• Optimising price without checking float and dilution
• Assuming market will accept any implied valuation without discount
• Using secondary to 'raise' money for the company</t>
        </is>
      </c>
      <c r="H38" s="59" t="inlineStr">
        <is>
          <t>• Check free float meets minimum target and ownership sums to 100%
• Check dilution and net proceeds are consistent with board expectations
• Check pro forma leverage improves as promised in the equity story</t>
        </is>
      </c>
      <c r="I38" s="59" t="inlineStr">
        <is>
          <t>In practice, the range is defined by what is marketable and acceptable to stakeholders. We align price, structure and use of proceeds so that float, dilution, proceeds and leverage all tell a coherent story.</t>
        </is>
      </c>
      <c r="J38" s="60">
        <f>HYPERLINK("#'00_DASHBOARD'!B15","Go")</f>
        <v/>
      </c>
    </row>
  </sheetData>
  <mergeCells count="1">
    <mergeCell ref="B4:I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J43"/>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5" customWidth="1" min="1" max="1"/>
    <col width="4" customWidth="1" min="2" max="2"/>
    <col width="26" customWidth="1" min="3" max="3"/>
    <col width="22" customWidth="1" min="4" max="4"/>
    <col width="34" customWidth="1" min="5" max="5"/>
    <col width="30" customWidth="1" min="6" max="6"/>
    <col width="24" customWidth="1" min="7" max="7"/>
    <col width="22" customWidth="1" min="8" max="8"/>
    <col width="18" customWidth="1" min="9" max="9"/>
    <col width="2" customWidth="1" min="10" max="10"/>
  </cols>
  <sheetData>
    <row r="2" ht="24" customHeight="1">
      <c r="B2" s="1" t="inlineStr">
        <is>
          <t>IPO Model Learning Layer | 81_IPO_LEARN_FORMULAS (Formula Walkthrough)</t>
        </is>
      </c>
      <c r="C2" s="1" t="n"/>
      <c r="D2" s="1" t="n"/>
      <c r="E2" s="1" t="n"/>
      <c r="F2" s="1" t="n"/>
      <c r="G2" s="1" t="n"/>
      <c r="H2" s="1" t="n"/>
      <c r="I2" s="1" t="n"/>
      <c r="J2" s="1" t="n"/>
    </row>
    <row r="4" ht="36" customHeight="1">
      <c r="B4" s="57" t="inlineStr">
        <is>
          <t>Purpose: The 35 most important IPO model formulas, tied to exact model cells. Use these to explain outputs, debug issues and build confidence under time pressure.</t>
        </is>
      </c>
    </row>
    <row r="5"/>
    <row r="8" ht="30" customHeight="1">
      <c r="B8" s="54" t="inlineStr">
        <is>
          <t>#</t>
        </is>
      </c>
      <c r="C8" s="54" t="inlineStr">
        <is>
          <t>Formula (concept)</t>
        </is>
      </c>
      <c r="D8" s="54" t="inlineStr">
        <is>
          <t>Model ref</t>
        </is>
      </c>
      <c r="E8" s="54" t="inlineStr">
        <is>
          <t>Exact model formula</t>
        </is>
      </c>
      <c r="F8" s="54" t="inlineStr">
        <is>
          <t>Plain-language explanation</t>
        </is>
      </c>
      <c r="G8" s="54" t="inlineStr">
        <is>
          <t>Why it matters in ECM</t>
        </is>
      </c>
      <c r="H8" s="54" t="inlineStr">
        <is>
          <t>Typical mistake</t>
        </is>
      </c>
      <c r="I8" s="54" t="inlineStr">
        <is>
          <t>Mini-example</t>
        </is>
      </c>
    </row>
    <row r="9" ht="110" customHeight="1">
      <c r="B9" s="61" t="n">
        <v>1</v>
      </c>
      <c r="C9" s="58" t="inlineStr">
        <is>
          <t>Offer price selection via price case</t>
        </is>
      </c>
      <c r="D9" s="58" t="inlineStr">
        <is>
          <t>01_CONTROL!C56</t>
        </is>
      </c>
      <c r="E9" s="59">
        <f>CHOOSE(CTRL_PX_CASE;IPO_PX_LOW;IPO_PX_BASE;IPO_PX_HIGH)</f>
        <v/>
      </c>
      <c r="F9" s="59" t="inlineStr">
        <is>
          <t>Chooses the offer price used by the entire model based on the selected Low/Base/High case.</t>
        </is>
      </c>
      <c r="G9" s="59" t="inlineStr">
        <is>
          <t>This is how the model switches between range points without rewriting formulas.</t>
        </is>
      </c>
      <c r="H9" s="59" t="inlineStr">
        <is>
          <t>Hardcoding a price elsewhere and forgetting the CHOOSE logic, causing inconsistent outputs.</t>
        </is>
      </c>
      <c r="I9" s="59" t="inlineStr">
        <is>
          <t>Example: Low=90, Base=100, High=110; case=2 -&gt; OfferPrice=100.</t>
        </is>
      </c>
    </row>
    <row r="10" ht="110" customHeight="1">
      <c r="B10" s="61" t="n">
        <v>2</v>
      </c>
      <c r="C10" s="58" t="inlineStr">
        <is>
          <t>Market cap at offer price</t>
        </is>
      </c>
      <c r="D10" s="58" t="inlineStr">
        <is>
          <t>13_METRICS_AND_KPIS!C19</t>
        </is>
      </c>
      <c r="E10" s="59">
        <f>C17*C18</f>
        <v/>
      </c>
      <c r="F10" s="59" t="inlineStr">
        <is>
          <t>Calculates equity value at offer price using post deal shares outstanding.</t>
        </is>
      </c>
      <c r="G10" s="59" t="inlineStr">
        <is>
          <t>Market cap is used for positioning, float discussion and EV bridge.</t>
        </is>
      </c>
      <c r="H10" s="59" t="inlineStr">
        <is>
          <t>Using pre shares or wrong units (shares vs millions) leading to 10× errors.</t>
        </is>
      </c>
      <c r="I10" s="59" t="inlineStr">
        <is>
          <t>Example: 100 DKK/share × 50m shares = 5,000 DKKm.</t>
        </is>
      </c>
    </row>
    <row r="11" ht="110" customHeight="1">
      <c r="B11" s="61" t="n">
        <v>3</v>
      </c>
      <c r="C11" s="58" t="inlineStr">
        <is>
          <t>Net debt post</t>
        </is>
      </c>
      <c r="D11" s="58" t="inlineStr">
        <is>
          <t>13_METRICS_AND_KPIS!C20</t>
        </is>
      </c>
      <c r="E11" s="59">
        <f>NETDEBT_POST</f>
        <v/>
      </c>
      <c r="F11" s="59" t="inlineStr">
        <is>
          <t>Computes net debt after the transaction based on pro forma debt and cash.</t>
        </is>
      </c>
      <c r="G11" s="59" t="inlineStr">
        <is>
          <t>Net debt is the bridge between EV and equity and drives leverage.</t>
        </is>
      </c>
      <c r="H11" s="59" t="inlineStr">
        <is>
          <t>Sign errors (adding cash) or changing definition without updating comps and narrative.</t>
        </is>
      </c>
      <c r="I11" s="59" t="inlineStr">
        <is>
          <t>Example: Debt 1,200 − Cash 200 = NetDebt 1,000.</t>
        </is>
      </c>
    </row>
    <row r="12" ht="110" customHeight="1">
      <c r="B12" s="61" t="n">
        <v>4</v>
      </c>
      <c r="C12" s="58" t="inlineStr">
        <is>
          <t>Enterprise value at offer</t>
        </is>
      </c>
      <c r="D12" s="58" t="inlineStr">
        <is>
          <t>13_METRICS_AND_KPIS!C21</t>
        </is>
      </c>
      <c r="E12" s="59">
        <f>C19+C20</f>
        <v/>
      </c>
      <c r="F12" s="59" t="inlineStr">
        <is>
          <t>Builds enterprise value by adding net debt to market cap.</t>
        </is>
      </c>
      <c r="G12" s="59" t="inlineStr">
        <is>
          <t>EV is what you benchmark to peers for EV-based multiples (EV/EBITDA, EV/Revenue).</t>
        </is>
      </c>
      <c r="H12" s="59" t="inlineStr">
        <is>
          <t>Using gross debt instead of net debt, or mixing currency/units.</t>
        </is>
      </c>
      <c r="I12" s="59" t="inlineStr">
        <is>
          <t>Example: MarketCap 5,000 + NetDebt 1,000 = EV 6,000.</t>
        </is>
      </c>
    </row>
    <row r="13" ht="110" customHeight="1">
      <c r="B13" s="61" t="n">
        <v>5</v>
      </c>
      <c r="C13" s="58" t="inlineStr">
        <is>
          <t>EV/EBITDA at offer (basis per model)</t>
        </is>
      </c>
      <c r="D13" s="58" t="inlineStr">
        <is>
          <t>13_METRICS_AND_KPIS!C22</t>
        </is>
      </c>
      <c r="E13" s="59">
        <f>IFERROR(C21/C11;"")</f>
        <v/>
      </c>
      <c r="F13" s="59" t="inlineStr">
        <is>
          <t>Computes the valuation multiple implied by the offer price.</t>
        </is>
      </c>
      <c r="G13" s="59" t="inlineStr">
        <is>
          <t>This is the core pricing defensibility metric in ECM conversations.</t>
        </is>
      </c>
      <c r="H13" s="59" t="inlineStr">
        <is>
          <t>Using LTM for issuer and NTM for peers (or vice versa) without stating it.</t>
        </is>
      </c>
      <c r="I13" s="59" t="inlineStr">
        <is>
          <t>Example: EV 6,000 ÷ EBITDA 600 = 10.0×.</t>
        </is>
      </c>
    </row>
    <row r="14" ht="110" customHeight="1">
      <c r="B14" s="61" t="n">
        <v>6</v>
      </c>
      <c r="C14" s="58" t="inlineStr">
        <is>
          <t>EV/Revenue at offer (basis per model)</t>
        </is>
      </c>
      <c r="D14" s="58" t="inlineStr">
        <is>
          <t>13_METRICS_AND_KPIS!C23</t>
        </is>
      </c>
      <c r="E14" s="59">
        <f>IFERROR(C21/C9;"")</f>
        <v/>
      </c>
      <c r="F14" s="59" t="inlineStr">
        <is>
          <t>Computes EV/Revenue implied by the offer price.</t>
        </is>
      </c>
      <c r="G14" s="59" t="inlineStr">
        <is>
          <t>Used when EBITDA is volatile/low and as a cross-check versus high-growth peers.</t>
        </is>
      </c>
      <c r="H14" s="59" t="inlineStr">
        <is>
          <t>Currency mismatch between EV and revenue leading to wrong multiples.</t>
        </is>
      </c>
      <c r="I14" s="59" t="inlineStr">
        <is>
          <t>Example: EV 6,000 ÷ Rev 1,500 = 4.0×.</t>
        </is>
      </c>
    </row>
    <row r="15" ht="110" customHeight="1">
      <c r="B15" s="61" t="n">
        <v>7</v>
      </c>
      <c r="C15" s="58" t="inlineStr">
        <is>
          <t>Gross primary proceeds</t>
        </is>
      </c>
      <c r="D15" s="58" t="inlineStr">
        <is>
          <t>09_OFFER_STRUCTURE!C24</t>
        </is>
      </c>
      <c r="E15" s="59">
        <f>C20*IPO_PX_SEL</f>
        <v/>
      </c>
      <c r="F15" s="59" t="inlineStr">
        <is>
          <t>Cash investors pay for newly issued shares (before fees/costs).</t>
        </is>
      </c>
      <c r="G15" s="59" t="inlineStr">
        <is>
          <t>This is the funding amount that can flow to the company (before deductions).</t>
        </is>
      </c>
      <c r="H15" s="59" t="inlineStr">
        <is>
          <t>Confusing primary proceeds with total gross proceeds or net proceeds.</t>
        </is>
      </c>
      <c r="I15" s="59" t="inlineStr">
        <is>
          <t>Example: 100 × 10m = 1,000 DKKm.</t>
        </is>
      </c>
    </row>
    <row r="16" ht="110" customHeight="1">
      <c r="B16" s="61" t="n">
        <v>8</v>
      </c>
      <c r="C16" s="58" t="inlineStr">
        <is>
          <t>Gross secondary proceeds</t>
        </is>
      </c>
      <c r="D16" s="58" t="inlineStr">
        <is>
          <t>09_OFFER_STRUCTURE!C25</t>
        </is>
      </c>
      <c r="E16" s="59">
        <f>C21*IPO_PX_SEL</f>
        <v/>
      </c>
      <c r="F16" s="59" t="inlineStr">
        <is>
          <t>Cash investors pay for existing shares sold by shareholders (before fees).</t>
        </is>
      </c>
      <c r="G16" s="59" t="inlineStr">
        <is>
          <t>Important for sell-down decisions and ownership outcomes, not for company cash.</t>
        </is>
      </c>
      <c r="H16" s="59" t="inlineStr">
        <is>
          <t>Accidentally sending secondary proceeds into pro forma cash.</t>
        </is>
      </c>
      <c r="I16" s="59" t="inlineStr">
        <is>
          <t>Example: 100 × 5m = 500 DKKm.</t>
        </is>
      </c>
    </row>
    <row r="17" ht="110" customHeight="1">
      <c r="B17" s="61" t="n">
        <v>9</v>
      </c>
      <c r="C17" s="58" t="inlineStr">
        <is>
          <t>Greenshoe shares</t>
        </is>
      </c>
      <c r="D17" s="58" t="inlineStr">
        <is>
          <t>09_OFFER_STRUCTURE!C22</t>
        </is>
      </c>
      <c r="E17" s="59">
        <f>IF(CTRL_GS_ON=1;C19*GS_PCT;0)</f>
        <v/>
      </c>
      <c r="F17" s="59" t="inlineStr">
        <is>
          <t>Calculates additional shares available for overallotment (greenshoe).</t>
        </is>
      </c>
      <c r="G17" s="59" t="inlineStr">
        <is>
          <t>Greenshoe affects total sold, ownership and sometimes fee base.</t>
        </is>
      </c>
      <c r="H17" s="59" t="inlineStr">
        <is>
          <t>Quoting total sold without stating whether it includes greenshoe.</t>
        </is>
      </c>
      <c r="I17" s="59" t="inlineStr">
        <is>
          <t>Example: TotalSold 15m × 15% = 2.25m shares.</t>
        </is>
      </c>
    </row>
    <row r="18" ht="110" customHeight="1">
      <c r="B18" s="61" t="n">
        <v>10</v>
      </c>
      <c r="C18" s="58" t="inlineStr">
        <is>
          <t>Total shares sold incl greenshoe</t>
        </is>
      </c>
      <c r="D18" s="58" t="inlineStr">
        <is>
          <t>09_OFFER_STRUCTURE!C23</t>
        </is>
      </c>
      <c r="E18" s="59">
        <f>SUM(C20:C22)</f>
        <v/>
      </c>
      <c r="F18" s="59" t="inlineStr">
        <is>
          <t>Total shares sold to the public including greenshoe if exercised.</t>
        </is>
      </c>
      <c r="G18" s="59" t="inlineStr">
        <is>
          <t>Used for float and gross proceeds disclosures (base vs with greenshoe).</t>
        </is>
      </c>
      <c r="H18" s="59" t="inlineStr">
        <is>
          <t>Mixing base and with-greenshoe totals in communications.</t>
        </is>
      </c>
      <c r="I18" s="59" t="inlineStr">
        <is>
          <t>Example: 15m + 2.25m = 17.25m.</t>
        </is>
      </c>
    </row>
    <row r="19" ht="110" customHeight="1">
      <c r="B19" s="61" t="n">
        <v>11</v>
      </c>
      <c r="C19" s="58" t="inlineStr">
        <is>
          <t>Gross greenshoe proceeds</t>
        </is>
      </c>
      <c r="D19" s="58" t="inlineStr">
        <is>
          <t>09_OFFER_STRUCTURE!C26</t>
        </is>
      </c>
      <c r="E19" s="59">
        <f>C22*IPO_PX_SEL</f>
        <v/>
      </c>
      <c r="F19" s="59" t="inlineStr">
        <is>
          <t>Investor cash for greenshoe shares (if exercised).</t>
        </is>
      </c>
      <c r="G19" s="59" t="inlineStr">
        <is>
          <t>Helps quantify incremental proceeds and ownership impact.</t>
        </is>
      </c>
      <c r="H19" s="59" t="inlineStr">
        <is>
          <t>Assuming greenshoe always increases company cash (depends on primary/secondary).</t>
        </is>
      </c>
      <c r="I19" s="59" t="inlineStr">
        <is>
          <t>Example: 100 × 2.25m = 225 DKKm.</t>
        </is>
      </c>
    </row>
    <row r="20" ht="110" customHeight="1">
      <c r="B20" s="61" t="n">
        <v>12</v>
      </c>
      <c r="C20" s="58" t="inlineStr">
        <is>
          <t>Gross proceeds total</t>
        </is>
      </c>
      <c r="D20" s="58" t="inlineStr">
        <is>
          <t>09_OFFER_STRUCTURE!C27</t>
        </is>
      </c>
      <c r="E20" s="59">
        <f>SUM(C24:C26)</f>
        <v/>
      </c>
      <c r="F20" s="59" t="inlineStr">
        <is>
          <t>Total investor cash for all shares sold (primary + secondary + greenshoe).</t>
        </is>
      </c>
      <c r="G20" s="59" t="inlineStr">
        <is>
          <t>Top-line deal size quoted publicly; must be consistent with disclosures.</t>
        </is>
      </c>
      <c r="H20" s="59" t="inlineStr">
        <is>
          <t>Leaving out greenshoe or double counting it.</t>
        </is>
      </c>
      <c r="I20" s="59" t="inlineStr">
        <is>
          <t>Example: 1,000 + 500 + 225 = 1,725 DKKm.</t>
        </is>
      </c>
    </row>
    <row r="21" ht="110" customHeight="1">
      <c r="B21" s="61" t="n">
        <v>13</v>
      </c>
      <c r="C21" s="58" t="inlineStr">
        <is>
          <t>Underwriting fee amount</t>
        </is>
      </c>
      <c r="D21" s="58" t="inlineStr">
        <is>
          <t>09_OFFER_STRUCTURE!C28</t>
        </is>
      </c>
      <c r="E21" s="59">
        <f>C27*FEE_PCT</f>
        <v/>
      </c>
      <c r="F21" s="59" t="inlineStr">
        <is>
          <t xml:space="preserve">Calculates underwriting fee based on the model’s fee base and fee %. </t>
        </is>
      </c>
      <c r="G21" s="59" t="inlineStr">
        <is>
          <t>Direct driver of net proceeds and transaction economics.</t>
        </is>
      </c>
      <c r="H21" s="59" t="inlineStr">
        <is>
          <t>Applying fee % to the wrong base (total vs primary only).</t>
        </is>
      </c>
      <c r="I21" s="59" t="inlineStr">
        <is>
          <t>Example: 3.0% × 1,725 = 51.8 DKKm.</t>
        </is>
      </c>
    </row>
    <row r="22" ht="110" customHeight="1">
      <c r="B22" s="61" t="n">
        <v>14</v>
      </c>
      <c r="C22" s="58" t="inlineStr">
        <is>
          <t>Total costs deducted from gross proceeds</t>
        </is>
      </c>
      <c r="D22" s="58" t="inlineStr">
        <is>
          <t>09_OFFER_STRUCTURE!C30</t>
        </is>
      </c>
      <c r="E22" s="59">
        <f>C28+C29</f>
        <v/>
      </c>
      <c r="F22" s="59" t="inlineStr">
        <is>
          <t>Adds underwriting fee and other costs into a single cost line.</t>
        </is>
      </c>
      <c r="G22" s="59" t="inlineStr">
        <is>
          <t>Useful for quick reconciliation: gross vs net.</t>
        </is>
      </c>
      <c r="H22" s="59" t="inlineStr">
        <is>
          <t>Sign mistakes turning costs into additions.</t>
        </is>
      </c>
      <c r="I22" s="59" t="inlineStr">
        <is>
          <t>Example: 51.8 + 15.0 = 66.8 DKKm.</t>
        </is>
      </c>
    </row>
    <row r="23" ht="110" customHeight="1">
      <c r="B23" s="61" t="n">
        <v>15</v>
      </c>
      <c r="C23" s="58" t="inlineStr">
        <is>
          <t>Fee allocation to primary</t>
        </is>
      </c>
      <c r="D23" s="58" t="inlineStr">
        <is>
          <t>09_OFFER_STRUCTURE!C31</t>
        </is>
      </c>
      <c r="E23" s="59">
        <f>IF(CTRL_FEE_ALLOC=1;C30; C30*(C24/C27))</f>
        <v/>
      </c>
      <c r="F23" s="59" t="inlineStr">
        <is>
          <t>Allocates the underwriting fee to the primary component (drives company net proceeds).</t>
        </is>
      </c>
      <c r="G23" s="59" t="inlineStr">
        <is>
          <t>Fee allocation determines company cash vs selling shareholder economics.</t>
        </is>
      </c>
      <c r="H23" s="59" t="inlineStr">
        <is>
          <t>Allocating all fees to primary when fee base includes secondary (or vice versa).</t>
        </is>
      </c>
      <c r="I23" s="59" t="inlineStr">
        <is>
          <t>Example: Fee 60; GrossPrimary share 60% -&gt; 36 allocated to primary.</t>
        </is>
      </c>
    </row>
    <row r="24" ht="110" customHeight="1">
      <c r="B24" s="61" t="n">
        <v>16</v>
      </c>
      <c r="C24" s="58" t="inlineStr">
        <is>
          <t>Fee allocation to secondary</t>
        </is>
      </c>
      <c r="D24" s="58" t="inlineStr">
        <is>
          <t>09_OFFER_STRUCTURE!C32</t>
        </is>
      </c>
      <c r="E24" s="59">
        <f>IF(CTRL_FEE_ALLOC=1;C29; C29*(C24/C27))</f>
        <v/>
      </c>
      <c r="F24" s="59" t="inlineStr">
        <is>
          <t>Allocates the underwriting fee to the secondary component (reduces seller proceeds).</t>
        </is>
      </c>
      <c r="G24" s="59" t="inlineStr">
        <is>
          <t>Needed to explain seller economics and headline vs net.</t>
        </is>
      </c>
      <c r="H24" s="59" t="inlineStr">
        <is>
          <t>Mixing seller net proceeds with company net proceeds.</t>
        </is>
      </c>
      <c r="I24" s="59" t="inlineStr">
        <is>
          <t>Example: Fee 60; GrossSecondary share 40% -&gt; 24 allocated to secondary.</t>
        </is>
      </c>
    </row>
    <row r="25" ht="110" customHeight="1">
      <c r="B25" s="61" t="n">
        <v>17</v>
      </c>
      <c r="C25" s="58" t="inlineStr">
        <is>
          <t>Net proceeds to company</t>
        </is>
      </c>
      <c r="D25" s="58" t="inlineStr">
        <is>
          <t>09_OFFER_STRUCTURE!C33</t>
        </is>
      </c>
      <c r="E25" s="59">
        <f>C24-C31-C32</f>
        <v/>
      </c>
      <c r="F25" s="59" t="inlineStr">
        <is>
          <t>Company cash received after fees and costs applied to the primary raise.</t>
        </is>
      </c>
      <c r="G25" s="59" t="inlineStr">
        <is>
          <t>Feeds directly into pro forma cash and use of proceeds.</t>
        </is>
      </c>
      <c r="H25" s="59" t="inlineStr">
        <is>
          <t>Deducting fees twice or forgetting other costs.</t>
        </is>
      </c>
      <c r="I25" s="59" t="inlineStr">
        <is>
          <t>Example: GrossPrimary 1,000 − FeePrimary 36 − OtherCosts 15 = 949.</t>
        </is>
      </c>
    </row>
    <row r="26" ht="110" customHeight="1">
      <c r="B26" s="61" t="n">
        <v>18</v>
      </c>
      <c r="C26" s="58" t="inlineStr">
        <is>
          <t>Net proceeds to selling shareholders</t>
        </is>
      </c>
      <c r="D26" s="58" t="inlineStr">
        <is>
          <t>09_OFFER_STRUCTURE!C34</t>
        </is>
      </c>
      <c r="E26" s="59" t="inlineStr"/>
      <c r="F26" s="59" t="inlineStr">
        <is>
          <t>Net cash to selling shareholders after allocated fees (secondary component).</t>
        </is>
      </c>
      <c r="G26" s="59" t="inlineStr">
        <is>
          <t>Explains sell-down trade-offs and shareholder economics.</t>
        </is>
      </c>
      <c r="H26" s="59" t="inlineStr">
        <is>
          <t>Including other costs that are company-paid, not seller-paid (depends on agreement).</t>
        </is>
      </c>
      <c r="I26" s="59" t="inlineStr">
        <is>
          <t>Example: GrossSecondary 500 − FeeSecondary 24 = 476.</t>
        </is>
      </c>
    </row>
    <row r="27" ht="110" customHeight="1">
      <c r="B27" s="61" t="n">
        <v>19</v>
      </c>
      <c r="C27" s="58" t="inlineStr">
        <is>
          <t>Primary shares issued (output anchor)</t>
        </is>
      </c>
      <c r="D27" s="58" t="inlineStr">
        <is>
          <t>09_OFFER_STRUCTURE!C38</t>
        </is>
      </c>
      <c r="E27" s="59">
        <f>C20</f>
        <v/>
      </c>
      <c r="F27" s="59" t="inlineStr">
        <is>
          <t>Outputs the final primary share count used everywhere else.</t>
        </is>
      </c>
      <c r="G27" s="59" t="inlineStr">
        <is>
          <t>Primary shares drive dilution, post shares and company cash.</t>
        </is>
      </c>
      <c r="H27" s="59" t="inlineStr">
        <is>
          <t>Hardcoding a share count and breaking reconciliation with proceeds target.</t>
        </is>
      </c>
      <c r="I27" s="59" t="inlineStr">
        <is>
          <t>Example: If target gross primary is 1,000 at 100 price -&gt; 10m shares.</t>
        </is>
      </c>
    </row>
    <row r="28" ht="110" customHeight="1">
      <c r="B28" s="61" t="n">
        <v>20</v>
      </c>
      <c r="C28" s="58" t="inlineStr">
        <is>
          <t>Shares sold to public (output anchor)</t>
        </is>
      </c>
      <c r="D28" s="58" t="inlineStr">
        <is>
          <t>09_OFFER_STRUCTURE!C39</t>
        </is>
      </c>
      <c r="E28" s="59">
        <f>C23</f>
        <v/>
      </c>
      <c r="F28" s="59" t="inlineStr">
        <is>
          <t>Outputs total public sold shares used for float and ownership calculations.</t>
        </is>
      </c>
      <c r="G28" s="59" t="inlineStr">
        <is>
          <t>Key for free float %, allocations and disclosure tables.</t>
        </is>
      </c>
      <c r="H28" s="59" t="inlineStr">
        <is>
          <t>Mixing base sold shares and sold incl greenshoe.</t>
        </is>
      </c>
      <c r="I28" s="59" t="inlineStr">
        <is>
          <t>Example: Base sold 15m, GS 2.25m -&gt; public sold 17.25m.</t>
        </is>
      </c>
    </row>
    <row r="29" ht="110" customHeight="1">
      <c r="B29" s="61" t="n">
        <v>21</v>
      </c>
      <c r="C29" s="58" t="inlineStr">
        <is>
          <t>Post shares roll-forward</t>
        </is>
      </c>
      <c r="D29" s="58" t="inlineStr">
        <is>
          <t>10_CAP_TABLE!C23</t>
        </is>
      </c>
      <c r="E29" s="59">
        <f>PRE_SHARES+NEW_PRIMARY_SHARES</f>
        <v/>
      </c>
      <c r="F29" s="59" t="inlineStr">
        <is>
          <t>Rolls forward shares outstanding after the IPO.</t>
        </is>
      </c>
      <c r="G29" s="59" t="inlineStr">
        <is>
          <t>Critical for market cap, dilution and ownership.</t>
        </is>
      </c>
      <c r="H29" s="59" t="inlineStr">
        <is>
          <t>Adding secondary sold into post shares (wrong).</t>
        </is>
      </c>
      <c r="I29" s="59" t="inlineStr">
        <is>
          <t>Example: Pre 80m + Primary 10m = Post 90m.</t>
        </is>
      </c>
    </row>
    <row r="30" ht="110" customHeight="1">
      <c r="B30" s="61" t="n">
        <v>22</v>
      </c>
      <c r="C30" s="58" t="inlineStr">
        <is>
          <t>Primary dilution %</t>
        </is>
      </c>
      <c r="D30" s="58" t="inlineStr">
        <is>
          <t>10_CAP_TABLE!C18</t>
        </is>
      </c>
      <c r="E30" s="59" t="inlineStr"/>
      <c r="F30" s="59" t="inlineStr">
        <is>
          <t>Computes dilution from new issuance for existing holders.</t>
        </is>
      </c>
      <c r="G30" s="59" t="inlineStr">
        <is>
          <t>Dilution is often the board’s key constraint when sizing the raise.</t>
        </is>
      </c>
      <c r="H30" s="59" t="inlineStr">
        <is>
          <t>Calling secondary sell-down ‘dilution’ or using sold shares instead of new shares.</t>
        </is>
      </c>
      <c r="I30" s="59" t="inlineStr">
        <is>
          <t>Example: Primary 10m ÷ Post 90m = 11.1% dilution.</t>
        </is>
      </c>
    </row>
    <row r="31" ht="110" customHeight="1">
      <c r="B31" s="61" t="n">
        <v>23</v>
      </c>
      <c r="C31" s="58" t="inlineStr">
        <is>
          <t>Free float %</t>
        </is>
      </c>
      <c r="D31" s="58" t="inlineStr">
        <is>
          <t>10_CAP_TABLE!C17</t>
        </is>
      </c>
      <c r="E31" s="59" t="inlineStr"/>
      <c r="F31" s="59" t="inlineStr">
        <is>
          <t>Public float as % of post shares (incl greenshoe as modelled).</t>
        </is>
      </c>
      <c r="G31" s="59" t="inlineStr">
        <is>
          <t>Float drives liquidity, index inclusion and investor acceptance.</t>
        </is>
      </c>
      <c r="H31" s="59" t="inlineStr">
        <is>
          <t>Calculating float on pre shares or ignoring greenshoe.</t>
        </is>
      </c>
      <c r="I31" s="59" t="inlineStr">
        <is>
          <t>Example: Float 18m ÷ Post 90m = 20.0%.</t>
        </is>
      </c>
    </row>
    <row r="32" ht="110" customHeight="1">
      <c r="B32" s="61" t="n">
        <v>24</v>
      </c>
      <c r="C32" s="58" t="inlineStr">
        <is>
          <t>Pro forma cash increase</t>
        </is>
      </c>
      <c r="D32" s="58" t="inlineStr">
        <is>
          <t>11_PRO_FORMA_BS!C21</t>
        </is>
      </c>
      <c r="E32" s="59" t="inlineStr"/>
      <c r="F32" s="59" t="inlineStr">
        <is>
          <t>Computes the net change in cash from the transaction and allocations.</t>
        </is>
      </c>
      <c r="G32" s="59" t="inlineStr">
        <is>
          <t>This connects deal economics to the balance sheet impact.</t>
        </is>
      </c>
      <c r="H32" s="59" t="inlineStr">
        <is>
          <t>Double counting paydown or not subtracting costs from cash.</t>
        </is>
      </c>
      <c r="I32" s="59" t="inlineStr">
        <is>
          <t>Example: Net proceeds 949 − Paydown 400 = +549 cash.</t>
        </is>
      </c>
    </row>
    <row r="33" ht="110" customHeight="1">
      <c r="B33" s="61" t="n">
        <v>25</v>
      </c>
      <c r="C33" s="58" t="inlineStr">
        <is>
          <t>Pro forma cash post</t>
        </is>
      </c>
      <c r="D33" s="58" t="inlineStr">
        <is>
          <t>11_PRO_FORMA_BS!C22</t>
        </is>
      </c>
      <c r="E33" s="59">
        <f>C8+C15-C16-C17</f>
        <v/>
      </c>
      <c r="F33" s="59" t="inlineStr">
        <is>
          <t>Final pro forma cash balance after transaction.</t>
        </is>
      </c>
      <c r="G33" s="59" t="inlineStr">
        <is>
          <t>Used to compute net debt and support leverage story.</t>
        </is>
      </c>
      <c r="H33" s="59" t="inlineStr">
        <is>
          <t>Adding secondary proceeds or ignoring costs.</t>
        </is>
      </c>
      <c r="I33" s="59" t="inlineStr">
        <is>
          <t>Example: CashPre 200 + 549 = 749.</t>
        </is>
      </c>
    </row>
    <row r="34" ht="110" customHeight="1">
      <c r="B34" s="61" t="n">
        <v>26</v>
      </c>
      <c r="C34" s="58" t="inlineStr">
        <is>
          <t>Pro forma debt post</t>
        </is>
      </c>
      <c r="D34" s="58" t="inlineStr">
        <is>
          <t>11_PRO_FORMA_BS!C23</t>
        </is>
      </c>
      <c r="E34" s="59">
        <f>C9-C16</f>
        <v/>
      </c>
      <c r="F34" s="59" t="inlineStr">
        <is>
          <t>Final pro forma debt after paydown funded by net proceeds.</t>
        </is>
      </c>
      <c r="G34" s="59" t="inlineStr">
        <is>
          <t>Directly drives net debt and leverage outcomes.</t>
        </is>
      </c>
      <c r="H34" s="59" t="inlineStr">
        <is>
          <t>Paying down more debt than outstanding or using seller proceeds to pay down.</t>
        </is>
      </c>
      <c r="I34" s="59" t="inlineStr">
        <is>
          <t>Example: DebtPre 1,200 − Paydown 400 = 800.</t>
        </is>
      </c>
    </row>
    <row r="35" ht="110" customHeight="1">
      <c r="B35" s="61" t="n">
        <v>27</v>
      </c>
      <c r="C35" s="58" t="inlineStr">
        <is>
          <t>Comps implied EV (range point)</t>
        </is>
      </c>
      <c r="D35" s="58" t="inlineStr">
        <is>
          <t>06_VALUATION_COMPS!C27</t>
        </is>
      </c>
      <c r="E35" s="59">
        <f>MULT_SEL*NTM_EBITDA</f>
        <v/>
      </c>
      <c r="F35" s="59" t="inlineStr">
        <is>
          <t>Translates issuer metric into implied enterprise value from comps (one range point).</t>
        </is>
      </c>
      <c r="G35" s="59" t="inlineStr">
        <is>
          <t>This is the core comps engine behind the range.</t>
        </is>
      </c>
      <c r="H35" s="59" t="inlineStr">
        <is>
          <t>Wrong metric mapping (EBITDA vs revenue) or LTM/NTM mismatch.</t>
        </is>
      </c>
      <c r="I35" s="59" t="inlineStr">
        <is>
          <t>Example: 10.0× × 600 EBITDA = EV 6,000.</t>
        </is>
      </c>
    </row>
    <row r="36" ht="110" customHeight="1">
      <c r="B36" s="61" t="n">
        <v>28</v>
      </c>
      <c r="C36" s="58" t="inlineStr">
        <is>
          <t>Triangulated EV (base)</t>
        </is>
      </c>
      <c r="D36" s="58" t="inlineStr">
        <is>
          <t>08_VALUATION_TRIANGULATION!C18</t>
        </is>
      </c>
      <c r="E36" s="59">
        <f>$C$14*D9+$C$15*D10</f>
        <v/>
      </c>
      <c r="F36" s="59" t="inlineStr">
        <is>
          <t>Combines valuation methods into a single EV using explicit weights.</t>
        </is>
      </c>
      <c r="G36" s="59" t="inlineStr">
        <is>
          <t>This makes the model explainable; changes in weights have predictable impact.</t>
        </is>
      </c>
      <c r="H36" s="59" t="inlineStr">
        <is>
          <t>Weights not summing to 100% or changing weights without updating narrative.</t>
        </is>
      </c>
      <c r="I36" s="59" t="inlineStr">
        <is>
          <t>Example: 70% comps (6,000) + 30% DCF (6,500) = 6,150.</t>
        </is>
      </c>
    </row>
    <row r="37" ht="110" customHeight="1">
      <c r="B37" s="61" t="n">
        <v>29</v>
      </c>
      <c r="C37" s="58" t="inlineStr">
        <is>
          <t>Equity value from EV bridge (base)</t>
        </is>
      </c>
      <c r="D37" s="58" t="inlineStr">
        <is>
          <t>08_VALUATION_TRIANGULATION!C27</t>
        </is>
      </c>
      <c r="E37" s="59">
        <f>EV_TRI_BASE-NETDEBT_POST</f>
        <v/>
      </c>
      <c r="F37" s="59" t="inlineStr">
        <is>
          <t>Converts EV into equity value by subtracting net debt.</t>
        </is>
      </c>
      <c r="G37" s="59" t="inlineStr">
        <is>
          <t>Shows how capital structure affects equity value at a given EV.</t>
        </is>
      </c>
      <c r="H37" s="59" t="inlineStr">
        <is>
          <t>Using gross debt instead of net debt or wrong sign on cash.</t>
        </is>
      </c>
      <c r="I37" s="59" t="inlineStr">
        <is>
          <t>Example: EV 6,150 − NetDebt 1,000 = Equity 5,150.</t>
        </is>
      </c>
    </row>
    <row r="38" ht="110" customHeight="1">
      <c r="B38" s="61" t="n">
        <v>30</v>
      </c>
      <c r="C38" s="58" t="inlineStr">
        <is>
          <t>Implied equity price (base)</t>
        </is>
      </c>
      <c r="D38" s="58" t="inlineStr">
        <is>
          <t>08_VALUATION_TRIANGULATION!C30</t>
        </is>
      </c>
      <c r="E38" s="59">
        <f>EQ_BASE/POST_SHARES</f>
        <v/>
      </c>
      <c r="F38" s="59" t="inlineStr">
        <is>
          <t>Converts equity value into per-share implied price.</t>
        </is>
      </c>
      <c r="G38" s="59" t="inlineStr">
        <is>
          <t>This is the most intuitive output to discuss range vs offer price.</t>
        </is>
      </c>
      <c r="H38" s="59" t="inlineStr">
        <is>
          <t>Dividing by pre shares or using wrong units (m vs shares).</t>
        </is>
      </c>
      <c r="I38" s="59" t="inlineStr">
        <is>
          <t>Example: Equity 5,150 ÷ 90m = 57.2 per share.</t>
        </is>
      </c>
    </row>
    <row r="39" ht="110" customHeight="1">
      <c r="B39" s="61" t="n">
        <v>31</v>
      </c>
      <c r="C39" s="58" t="inlineStr">
        <is>
          <t>DCF terminal value (Gordon growth)</t>
        </is>
      </c>
      <c r="D39" s="58" t="inlineStr">
        <is>
          <t>07_VALUATION_DCF!C25</t>
        </is>
      </c>
      <c r="E39" s="59">
        <f>IF(CTRL_VAL_METHOD=2;IF(TERM_METHOD=1;(N16*(1+TERM_G))/(WACC-TERM_G);EXIT_MULT*'05_FORECAST'!N14);"")</f>
        <v/>
      </c>
      <c r="F39" s="59" t="inlineStr">
        <is>
          <t>Computes terminal value at the end of the explicit forecast period.</t>
        </is>
      </c>
      <c r="G39" s="59" t="inlineStr">
        <is>
          <t>Terminal value is typically the largest driver of DCF; needs careful assumptions.</t>
        </is>
      </c>
      <c r="H39" s="59" t="inlineStr">
        <is>
          <t>Setting g too high or using g ≥ WACC.</t>
        </is>
      </c>
      <c r="I39" s="59" t="inlineStr">
        <is>
          <t>Example: FCF 120, WACC 9%, g 3% -&gt; 120/(0.09−0.03)=2,000.</t>
        </is>
      </c>
    </row>
    <row r="40" ht="110" customHeight="1">
      <c r="B40" s="61" t="n">
        <v>32</v>
      </c>
      <c r="C40" s="58" t="inlineStr">
        <is>
          <t>PV of terminal value</t>
        </is>
      </c>
      <c r="D40" s="58" t="inlineStr">
        <is>
          <t>07_VALUATION_DCF!C26</t>
        </is>
      </c>
      <c r="E40" s="59">
        <f>IF(CTRL_VAL_METHOD=2;C25*N21;"")</f>
        <v/>
      </c>
      <c r="F40" s="59" t="inlineStr">
        <is>
          <t>Discounts terminal value back to present value.</t>
        </is>
      </c>
      <c r="G40" s="59" t="inlineStr">
        <is>
          <t>Small WACC changes can move valuation significantly through PV(TV).</t>
        </is>
      </c>
      <c r="H40" s="59" t="inlineStr">
        <is>
          <t>Using wrong exponent (year count) or inconsistent mid-year convention.</t>
        </is>
      </c>
      <c r="I40" s="59" t="inlineStr">
        <is>
          <t>Example: TV 2,000 ÷ 1.09^5 = 1,299.</t>
        </is>
      </c>
    </row>
    <row r="41" ht="110" customHeight="1">
      <c r="B41" s="61" t="n">
        <v>33</v>
      </c>
      <c r="C41" s="58" t="inlineStr">
        <is>
          <t>DCF enterprise value</t>
        </is>
      </c>
      <c r="D41" s="58" t="inlineStr">
        <is>
          <t>07_VALUATION_DCF!C30</t>
        </is>
      </c>
      <c r="E41" s="59" t="inlineStr"/>
      <c r="F41" s="59" t="inlineStr">
        <is>
          <t>Adds present values of free cash flows and terminal value to get EV from DCF.</t>
        </is>
      </c>
      <c r="G41" s="59" t="inlineStr">
        <is>
          <t>Provides an intrinsic cross check versus comps.</t>
        </is>
      </c>
      <c r="H41" s="59" t="inlineStr">
        <is>
          <t>Forgetting working capital/capex in FCF or double counting PV(TV).</t>
        </is>
      </c>
      <c r="I41" s="59" t="inlineStr">
        <is>
          <t>Example: PV FCF sum 400 + PV TV 1,299 = 1,699 EV.</t>
        </is>
      </c>
    </row>
    <row r="42" ht="110" customHeight="1">
      <c r="B42" s="61" t="n">
        <v>34</v>
      </c>
      <c r="C42" s="58" t="inlineStr">
        <is>
          <t>Scenario pick logic (drivers)</t>
        </is>
      </c>
      <c r="D42" s="58" t="inlineStr">
        <is>
          <t>04_DRIVERS!I8</t>
        </is>
      </c>
      <c r="E42" s="59">
        <f>CHOOSE(CTRL_SCEN;$C8;$D8;$E8)</f>
        <v/>
      </c>
      <c r="F42" s="59" t="inlineStr">
        <is>
          <t>Selects scenario-specific driver values used by forecast and valuation modules.</t>
        </is>
      </c>
      <c r="G42" s="59" t="inlineStr">
        <is>
          <t>Allows fast switching between scenarios without manual rewiring.</t>
        </is>
      </c>
      <c r="H42" s="59" t="inlineStr">
        <is>
          <t>Overwriting selected drivers instead of editing the scenario columns, breaking comparability.</t>
        </is>
      </c>
      <c r="I42" s="59" t="inlineStr">
        <is>
          <t>Example: Scenario=3 -&gt; picks Upside driver column.</t>
        </is>
      </c>
    </row>
    <row r="43" ht="110" customHeight="1">
      <c r="B43" s="61" t="n">
        <v>35</v>
      </c>
      <c r="C43" s="58" t="inlineStr">
        <is>
          <t>Core checks pattern (example)</t>
        </is>
      </c>
      <c r="D43" s="58" t="inlineStr">
        <is>
          <t>90_CHECKS!C12</t>
        </is>
      </c>
      <c r="E43" s="59">
        <f>IF(ABS('11_PRO_FORMA_BS'!$C$22-('11_PRO_FORMA_BS'!$C$8+'11_PRO_FORMA_BS'!$C$15-'11_PRO_FORMA_BS'!$C$16-'11_PRO_FORMA_BS'!$C$17))&lt;0,1;"PASS";"FAIL")</f>
        <v/>
      </c>
      <c r="F43" s="59" t="inlineStr">
        <is>
          <t>Standardised check logic used to flag model issues clearly.</t>
        </is>
      </c>
      <c r="G43" s="59" t="inlineStr">
        <is>
          <t>Protects against silent errors before sharing with senior bankers or clients.</t>
        </is>
      </c>
      <c r="H43" s="59" t="inlineStr">
        <is>
          <t>Using checks that don’t reference the true source cell or that can be bypassed.</t>
        </is>
      </c>
      <c r="I43" s="59" t="inlineStr">
        <is>
          <t>Example: If weights sum to 1 -&gt; PASS else FAIL.</t>
        </is>
      </c>
    </row>
  </sheetData>
  <mergeCells count="1">
    <mergeCell ref="B4: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H39"/>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8" customWidth="1" min="3" max="3"/>
    <col width="26" customWidth="1" min="4" max="4"/>
    <col width="26" customWidth="1" min="5" max="5"/>
    <col width="26" customWidth="1" min="6" max="6"/>
    <col width="22" customWidth="1" min="7" max="7"/>
    <col width="16" customWidth="1" min="8" max="8"/>
    <col width="2" customWidth="1" min="9" max="9"/>
  </cols>
  <sheetData>
    <row r="1"/>
    <row r="2" ht="24" customHeight="1">
      <c r="B2" s="1" t="inlineStr">
        <is>
          <t>IPO Model Learning Layer | 82_IPO_LEARN_INTERPRETATION (Interpretation Scripts)</t>
        </is>
      </c>
      <c r="C2" s="1" t="n"/>
      <c r="D2" s="1" t="n"/>
      <c r="E2" s="1" t="n"/>
      <c r="F2" s="1" t="n"/>
      <c r="G2" s="1" t="n"/>
      <c r="H2" s="1" t="n"/>
    </row>
    <row r="3"/>
    <row r="4" ht="36" customHeight="1">
      <c r="B4" s="57" t="inlineStr">
        <is>
          <t>Purpose: How to interpret dashboard tiles and how to talk about them in meetings. Scripts are practical and model-traceable.</t>
        </is>
      </c>
    </row>
    <row r="5"/>
    <row r="6"/>
    <row r="7">
      <c r="B7" t="inlineStr">
        <is>
          <t>A) Dashboard tiles (10–14) | Interpretation + follow-ups</t>
        </is>
      </c>
    </row>
    <row r="8" ht="28" customHeight="1">
      <c r="B8" s="54" t="inlineStr">
        <is>
          <t>Tile / metric</t>
        </is>
      </c>
      <c r="C8" s="54" t="inlineStr">
        <is>
          <t>Dashboard cell(s)</t>
        </is>
      </c>
      <c r="D8" s="54" t="inlineStr">
        <is>
          <t>How to interpret (1–2 lines)</t>
        </is>
      </c>
      <c r="E8" s="54" t="inlineStr">
        <is>
          <t>What it signals</t>
        </is>
      </c>
      <c r="F8" s="54" t="inlineStr">
        <is>
          <t>What could make it misleading</t>
        </is>
      </c>
      <c r="G8" s="54" t="inlineStr">
        <is>
          <t>Follow-up question</t>
        </is>
      </c>
      <c r="H8" s="54" t="inlineStr">
        <is>
          <t>Link</t>
        </is>
      </c>
    </row>
    <row r="9" ht="90" customHeight="1">
      <c r="B9" s="58" t="inlineStr">
        <is>
          <t>Offer price range (Low/Base/High)</t>
        </is>
      </c>
      <c r="C9" s="58" t="inlineStr">
        <is>
          <t>00_DASHBOARD!C9:E9</t>
        </is>
      </c>
      <c r="D9" s="62" t="inlineStr">
        <is>
          <t>These are the working price points used to compute all other outputs. Offer price is not ‘true value’, it is the executed clearing price.</t>
        </is>
      </c>
      <c r="E9" s="62" t="inlineStr">
        <is>
          <t>How much valuation headroom exists and whether pricing is conservative vs implied value.</t>
        </is>
      </c>
      <c r="F9" s="62" t="inlineStr">
        <is>
          <t>Confusing implied value range with the offer range, or mixing currencies/units.</t>
        </is>
      </c>
      <c r="G9" s="62" t="inlineStr">
        <is>
          <t>What discount to peers is implied at each point and why is it appropriate?</t>
        </is>
      </c>
      <c r="H9" s="63">
        <f>HYPERLINK("#'81_IPO_LEARN_FORMULAS'!B9","Go")</f>
        <v/>
      </c>
    </row>
    <row r="10" ht="90" customHeight="1">
      <c r="B10" s="58" t="inlineStr">
        <is>
          <t>Market cap (Low/Base/High)</t>
        </is>
      </c>
      <c r="C10" s="58" t="inlineStr">
        <is>
          <t>00_DASHBOARD!C10:E10</t>
        </is>
      </c>
      <c r="D10" s="62" t="inlineStr">
        <is>
          <t>Equity value implied by each price point using post-IPO shares. Use for positioning and index eligibility.</t>
        </is>
      </c>
      <c r="E10" s="62" t="inlineStr">
        <is>
          <t>Scale and comparability versus peers; can support or undermine multiple defensibility.</t>
        </is>
      </c>
      <c r="F10" s="62" t="inlineStr">
        <is>
          <t>Using pre-shares or diluted shares inconsistently; unit mix (shares vs m).</t>
        </is>
      </c>
      <c r="G10" s="62" t="inlineStr">
        <is>
          <t>Are we positioning as a mid-cap/large-cap and what peer set is relevant at this size?</t>
        </is>
      </c>
      <c r="H10" s="63">
        <f>HYPERLINK("#'81_IPO_LEARN_FORMULAS'!B10","Go")</f>
        <v/>
      </c>
    </row>
    <row r="11" ht="90" customHeight="1">
      <c r="B11" s="58" t="inlineStr">
        <is>
          <t>Enterprise value (Low/Base/High)</t>
        </is>
      </c>
      <c r="C11" s="58" t="inlineStr">
        <is>
          <t>00_DASHBOARD!C11:E11</t>
        </is>
      </c>
      <c r="D11" s="62" t="inlineStr">
        <is>
          <t>EV adds net debt to market cap. Use for EV-based multiples and comps triangulation.</t>
        </is>
      </c>
      <c r="E11" s="62" t="inlineStr">
        <is>
          <t>Whether price points imply a reasonable EV relative to peers on the same definition basis.</t>
        </is>
      </c>
      <c r="F11" s="62" t="inlineStr">
        <is>
          <t>Net debt definition mismatch (cash treatment, leases, pensions) or wrong sign.</t>
        </is>
      </c>
      <c r="G11" s="62" t="inlineStr">
        <is>
          <t>Which net debt definition are we using in comps and does it match the prospectus definition?</t>
        </is>
      </c>
      <c r="H11" s="63">
        <f>HYPERLINK("#'81_IPO_LEARN_FORMULAS'!B12","Go")</f>
        <v/>
      </c>
    </row>
    <row r="12" ht="90" customHeight="1">
      <c r="B12" s="58" t="inlineStr">
        <is>
          <t>Total shares sold (incl greenshoe)</t>
        </is>
      </c>
      <c r="C12" s="58" t="inlineStr">
        <is>
          <t>00_DASHBOARD!C12:E12</t>
        </is>
      </c>
      <c r="D12" s="62" t="inlineStr">
        <is>
          <t>Publicly offered shares including greenshoe. Drives float and deal size disclosures.</t>
        </is>
      </c>
      <c r="E12" s="62" t="inlineStr">
        <is>
          <t>Liquidity and aftermarket support. Too small can hurt trading; too large can imply heavy sell-down.</t>
        </is>
      </c>
      <c r="F12" s="62" t="inlineStr">
        <is>
          <t>Not stating whether greenshoe is included; confusion between sold shares and post shares.</t>
        </is>
      </c>
      <c r="G12" s="62" t="inlineStr">
        <is>
          <t>Who is selling the secondary and what is the lock-up / overhang profile?</t>
        </is>
      </c>
      <c r="H12" s="63">
        <f>HYPERLINK("#'80_IPO_LEARN_MAP'!B18","Go")</f>
        <v/>
      </c>
    </row>
    <row r="13" ht="90" customHeight="1">
      <c r="B13" s="58" t="inlineStr">
        <is>
          <t>Gross proceeds (DKKm)</t>
        </is>
      </c>
      <c r="C13" s="58" t="inlineStr">
        <is>
          <t>00_DASHBOARD!C13:E13</t>
        </is>
      </c>
      <c r="D13" s="62" t="inlineStr">
        <is>
          <t>Total investor cash for sold shares. Useful headline, but not what the company receives.</t>
        </is>
      </c>
      <c r="E13" s="62" t="inlineStr">
        <is>
          <t>Deal size and investor demand requirements; guides syndicate strategy.</t>
        </is>
      </c>
      <c r="F13" s="62" t="inlineStr">
        <is>
          <t>Mixing gross with net proceeds or assuming secondary is company cash.</t>
        </is>
      </c>
      <c r="G13" s="62" t="inlineStr">
        <is>
          <t>How much of gross is primary versus secondary and what is the net to company?</t>
        </is>
      </c>
      <c r="H13" s="63">
        <f>HYPERLINK("#'81_IPO_LEARN_FORMULAS'!B20","Go")</f>
        <v/>
      </c>
    </row>
    <row r="14" ht="90" customHeight="1">
      <c r="B14" s="58" t="inlineStr">
        <is>
          <t>Net proceeds to company (DKKm)</t>
        </is>
      </c>
      <c r="C14" s="58" t="inlineStr">
        <is>
          <t>00_DASHBOARD!C14:E14</t>
        </is>
      </c>
      <c r="D14" s="62" t="inlineStr">
        <is>
          <t>Company cash after fees and costs allocated to primary. Feeds use of proceeds and pro forma BS.</t>
        </is>
      </c>
      <c r="E14" s="62" t="inlineStr">
        <is>
          <t>Funding capacity for strategy and balance sheet actions; anchors proceeds narrative.</t>
        </is>
      </c>
      <c r="F14" s="62" t="inlineStr">
        <is>
          <t>Wrong fee base or fee allocation; forgetting other costs; secondary leakage into company cash.</t>
        </is>
      </c>
      <c r="G14" s="62" t="inlineStr">
        <is>
          <t>Do net proceeds fully cover the stated uses, and what is the cash buffer post-deal?</t>
        </is>
      </c>
      <c r="H14" s="63">
        <f>HYPERLINK("#'81_IPO_LEARN_FORMULAS'!B25","Go")</f>
        <v/>
      </c>
    </row>
    <row r="15" ht="90" customHeight="1">
      <c r="B15" s="58" t="inlineStr">
        <is>
          <t>Primary dilution (%)</t>
        </is>
      </c>
      <c r="C15" s="58" t="inlineStr">
        <is>
          <t>00_DASHBOARD!C15:E15</t>
        </is>
      </c>
      <c r="D15" s="62" t="inlineStr">
        <is>
          <t>Dilution from new shares only. Indicates how much existing holders are diluted by the raise.</t>
        </is>
      </c>
      <c r="E15" s="62" t="inlineStr">
        <is>
          <t>Stakeholder acceptability and governance impact; often a board constraint.</t>
        </is>
      </c>
      <c r="F15" s="62" t="inlineStr">
        <is>
          <t>Calling sell-down dilution; using sold shares rather than new shares in the formula.</t>
        </is>
      </c>
      <c r="G15" s="62" t="inlineStr">
        <is>
          <t>Which holders are sensitive to dilution and what is their minimum ownership threshold?</t>
        </is>
      </c>
      <c r="H15" s="63">
        <f>HYPERLINK("#'81_IPO_LEARN_FORMULAS'!B28","Go")</f>
        <v/>
      </c>
    </row>
    <row r="16" ht="90" customHeight="1">
      <c r="B16" s="58" t="inlineStr">
        <is>
          <t>Free float (%)</t>
        </is>
      </c>
      <c r="C16" s="58" t="inlineStr">
        <is>
          <t>00_DASHBOARD!C16:E16</t>
        </is>
      </c>
      <c r="D16" s="62" t="inlineStr">
        <is>
          <t>Public float as % of post shares. Key for liquidity, investor acceptance and index rules.</t>
        </is>
      </c>
      <c r="E16" s="62" t="inlineStr">
        <is>
          <t>Marketability and aftermarket liquidity. Too low can fail; too high can indicate excess supply.</t>
        </is>
      </c>
      <c r="F16" s="62" t="inlineStr">
        <is>
          <t>Excluding greenshoe when expected; ignoring locked-up shares; using pre shares as denominator.</t>
        </is>
      </c>
      <c r="G16" s="62" t="inlineStr">
        <is>
          <t>What is the minimum acceptable float for this market/sector and why?</t>
        </is>
      </c>
      <c r="H16" s="63">
        <f>HYPERLINK("#'81_IPO_LEARN_FORMULAS'!B29","Go")</f>
        <v/>
      </c>
    </row>
    <row r="17" ht="90" customHeight="1">
      <c r="B17" s="58" t="inlineStr">
        <is>
          <t>Pro forma net debt (DKKm)</t>
        </is>
      </c>
      <c r="C17" s="58" t="inlineStr">
        <is>
          <t>00_DASHBOARD!C17:E17</t>
        </is>
      </c>
      <c r="D17" s="62" t="inlineStr">
        <is>
          <t>Net debt after receiving proceeds and applying use of proceeds. Drives EV bridge and leverage.</t>
        </is>
      </c>
      <c r="E17" s="62" t="inlineStr">
        <is>
          <t>How much balance sheet de-risking the IPO delivers; supports equity story.</t>
        </is>
      </c>
      <c r="F17" s="62" t="inlineStr">
        <is>
          <t>Cash and debt double counting, or definition mismatch vs comps/leverage.</t>
        </is>
      </c>
      <c r="G17" s="62" t="inlineStr">
        <is>
          <t>How much of proceeds are used for paydown versus growth, and what is the rationale?</t>
        </is>
      </c>
      <c r="H17" s="63">
        <f>HYPERLINK("#'81_IPO_LEARN_FORMULAS'!B11","Go")</f>
        <v/>
      </c>
    </row>
    <row r="18" ht="90" customHeight="1">
      <c r="B18" s="58" t="inlineStr">
        <is>
          <t>EV/EBITDA at offer</t>
        </is>
      </c>
      <c r="C18" s="58" t="inlineStr">
        <is>
          <t>00_DASHBOARD!C18:E18</t>
        </is>
      </c>
      <c r="D18" s="62" t="inlineStr">
        <is>
          <t>Implied valuation multiple at each price point. Compare to peer distribution on the same basis.</t>
        </is>
      </c>
      <c r="E18" s="62" t="inlineStr">
        <is>
          <t>Pricing defensibility versus comps and investor appetite.</t>
        </is>
      </c>
      <c r="F18" s="62" t="inlineStr">
        <is>
          <t>LTM/NTM mismatch, one-off EBITDA not normalised, or peer metric inconsistency.</t>
        </is>
      </c>
      <c r="G18" s="62" t="inlineStr">
        <is>
          <t>Where does this multiple sit vs peer quartiles and what justifies the premium/discount?</t>
        </is>
      </c>
      <c r="H18" s="63">
        <f>HYPERLINK("#'80_IPO_LEARN_MAP'!B33","Go")</f>
        <v/>
      </c>
    </row>
    <row r="19" ht="90" customHeight="1">
      <c r="B19" s="58" t="inlineStr">
        <is>
          <t>EV/Revenue at offer</t>
        </is>
      </c>
      <c r="C19" s="58" t="inlineStr">
        <is>
          <t>00_DASHBOARD!C19:E19</t>
        </is>
      </c>
      <c r="D19" s="62" t="inlineStr">
        <is>
          <t>Revenue-based multiple cross check, especially useful when EBITDA is volatile or negative.</t>
        </is>
      </c>
      <c r="E19" s="62" t="inlineStr">
        <is>
          <t>Growth multiple framing and consistency for high growth stories.</t>
        </is>
      </c>
      <c r="F19" s="62" t="inlineStr">
        <is>
          <t>Revenue definition differences and currency/unit mismatches across peers.</t>
        </is>
      </c>
      <c r="G19" s="62" t="inlineStr">
        <is>
          <t>Is revenue the right anchor, and how does margin trajectory affect valuation framing?</t>
        </is>
      </c>
      <c r="H19" s="63">
        <f>HYPERLINK("#'80_IPO_LEARN_MAP'!B34","Go")</f>
        <v/>
      </c>
    </row>
    <row r="20" ht="90" customHeight="1">
      <c r="B20" s="58" t="inlineStr">
        <is>
          <t>NTM EBITDA (DKKm)</t>
        </is>
      </c>
      <c r="C20" s="58" t="inlineStr">
        <is>
          <t>00_DASHBOARD!C20</t>
        </is>
      </c>
      <c r="D20" s="62" t="inlineStr">
        <is>
          <t>Forward EBITDA used for valuation and leverage framing (depending on model basis).</t>
        </is>
      </c>
      <c r="E20" s="62" t="inlineStr">
        <is>
          <t>Whether the story is about growth, margin expansion, or quality. Drives implied multiples.</t>
        </is>
      </c>
      <c r="F20" s="62" t="inlineStr">
        <is>
          <t>One-offs, run-rate adjustments, or scenario selection not communicated clearly.</t>
        </is>
      </c>
      <c r="G20" s="62" t="inlineStr">
        <is>
          <t>What are the key bridge items from LTM to NTM EBITDA (volume, price, margin)?</t>
        </is>
      </c>
      <c r="H20" s="63">
        <f>HYPERLINK("#'83_IPO_LEARN_SCENARIOS'!B10","Go")</f>
        <v/>
      </c>
    </row>
    <row r="21"/>
    <row r="22"/>
    <row r="23">
      <c r="B23" t="inlineStr">
        <is>
          <t>B) ECM meeting-ready scripts (common IPO questions)</t>
        </is>
      </c>
    </row>
    <row r="24" ht="26" customHeight="1">
      <c r="B24" s="54" t="inlineStr">
        <is>
          <t>#</t>
        </is>
      </c>
      <c r="C24" s="54" t="inlineStr">
        <is>
          <t>Question</t>
        </is>
      </c>
      <c r="D24" s="54" t="inlineStr">
        <is>
          <t>Script (2–3 sentences)</t>
        </is>
      </c>
      <c r="E24" s="54" t="inlineStr">
        <is>
          <t>Model refs (cells / KPIs)</t>
        </is>
      </c>
    </row>
    <row r="25" ht="80" customHeight="1">
      <c r="B25" s="64" t="n">
        <v>1</v>
      </c>
      <c r="C25" s="58" t="inlineStr">
        <is>
          <t>Pricing defensibility</t>
        </is>
      </c>
      <c r="D25" s="62" t="inlineStr">
        <is>
          <t>We price within the model-implied range built from comps and an optional DCF cross-check, with explicit weights. At the selected offer price, the implied EV/EBITDA and EV/Revenue sit within the peer distribution once we normalise for one-offs and ensure the same LTM/NTM basis.</t>
        </is>
      </c>
      <c r="E25" s="62" t="inlineStr">
        <is>
          <t>00_DASHBOARD rows 18–19; 06_VALUATION_COMPS; 08_TRIANGULATION</t>
        </is>
      </c>
    </row>
    <row r="26" ht="80" customHeight="1">
      <c r="B26" s="64" t="n">
        <v>2</v>
      </c>
      <c r="C26" s="58" t="inlineStr">
        <is>
          <t>Discount logic</t>
        </is>
      </c>
      <c r="D26" s="62" t="inlineStr">
        <is>
          <t>The discount reflects execution risk and the need to clear an order book with enough aftermarket support. We show the implied multiples at each price point and choose the one that balances valuation with float, proceeds and leverage outcomes.</t>
        </is>
      </c>
      <c r="E26" s="62" t="inlineStr">
        <is>
          <t>00_DASHBOARD rows 9, 18–19; 10_CAP_TABLE float/dilution</t>
        </is>
      </c>
    </row>
    <row r="27" ht="80" customHeight="1">
      <c r="B27" s="64" t="n">
        <v>3</v>
      </c>
      <c r="C27" s="58" t="inlineStr">
        <is>
          <t>Free float adequacy</t>
        </is>
      </c>
      <c r="D27" s="62" t="inlineStr">
        <is>
          <t>Float is a liquidity promise. Below the target range, trading can be illiquid and index eligibility can be harder, which can reduce demand. We size sold shares and greenshoe to meet float targets without forcing unnecessary primary dilution.</t>
        </is>
      </c>
      <c r="E27" s="62" t="inlineStr">
        <is>
          <t>00_DASHBOARD row 16; 09_OFFER_STRUCTURE; 10_CAP_TABLE</t>
        </is>
      </c>
    </row>
    <row r="28" ht="80" customHeight="1">
      <c r="B28" s="64" t="n">
        <v>4</v>
      </c>
      <c r="C28" s="58" t="inlineStr">
        <is>
          <t>Proceeds rationale</t>
        </is>
      </c>
      <c r="D28" s="62" t="inlineStr">
        <is>
          <t>Net proceeds to the company are what fund the strategy. We reconcile gross-to-net transparently and tie net proceeds to explicit uses of proceeds such as debt paydown and growth investment, then show the pro forma balance sheet impact.</t>
        </is>
      </c>
      <c r="E28" s="62" t="inlineStr">
        <is>
          <t>00_DASHBOARD row 14; 11_PRO_FORMA_BS bridge</t>
        </is>
      </c>
    </row>
    <row r="29" ht="80" customHeight="1">
      <c r="B29" s="64" t="n">
        <v>5</v>
      </c>
      <c r="C29" s="58" t="inlineStr">
        <is>
          <t>Dilution acceptability</t>
        </is>
      </c>
      <c r="D29" s="62" t="inlineStr">
        <is>
          <t>Dilution is share-count driven and is the cost of raising capital. We can reduce dilution by increasing price, shifting toward secondary, or reducing the raise, but each has trade-offs on float and funding. We keep dilution within tolerance while still delivering net proceeds.</t>
        </is>
      </c>
      <c r="E29" s="62" t="inlineStr">
        <is>
          <t>00_DASHBOARD row 15; 09_OFFER_STRUCTURE; 10_CAP_TABLE</t>
        </is>
      </c>
    </row>
    <row r="30" ht="80" customHeight="1">
      <c r="B30" s="64" t="n">
        <v>6</v>
      </c>
      <c r="C30" s="58" t="inlineStr">
        <is>
          <t>Greenshoe role</t>
        </is>
      </c>
      <c r="D30" s="62" t="inlineStr">
        <is>
          <t>Greenshoe is primarily an execution tool. It supports stabilisation and allocation management and economically it modestly increases float and headline proceeds. We show base and with-greenshoe numbers separately to keep ownership and disclosures clean.</t>
        </is>
      </c>
      <c r="E30" s="62" t="inlineStr">
        <is>
          <t>09_OFFER_STRUCTURE greenshoe; 00_DASHBOARD row 12</t>
        </is>
      </c>
    </row>
    <row r="31" ht="80" customHeight="1">
      <c r="B31" s="64" t="n">
        <v>7</v>
      </c>
      <c r="C31" s="58" t="inlineStr">
        <is>
          <t>Use of proceeds narrative</t>
        </is>
      </c>
      <c r="D31" s="62" t="inlineStr">
        <is>
          <t>Use of proceeds must match the story. If de-risking is the goal, more proceeds go to debt paydown and leverage improves. If growth is the goal, proceeds increase cash and investment capacity. The pro forma bridge makes this auditable.</t>
        </is>
      </c>
      <c r="E31" s="62" t="inlineStr">
        <is>
          <t>11_PRO_FORMA_BS; 13_METRICS leverage</t>
        </is>
      </c>
    </row>
    <row r="32" ht="80" customHeight="1">
      <c r="B32" s="64" t="n">
        <v>8</v>
      </c>
      <c r="C32" s="58" t="inlineStr">
        <is>
          <t>Comps selection defense</t>
        </is>
      </c>
      <c r="D32" s="62" t="inlineStr">
        <is>
          <t>Peers are selected on business model, growth and margin profile, and trading liquidity. We document accounting differences and normalise metrics so comparisons are like-for-like. The selected multiple is anchored in the peer distribution, not a single outlier.</t>
        </is>
      </c>
      <c r="E32" s="62" t="inlineStr">
        <is>
          <t>06_VALUATION_COMPS peer set; multiple selection</t>
        </is>
      </c>
    </row>
    <row r="33" ht="80" customHeight="1">
      <c r="B33" s="64" t="n">
        <v>9</v>
      </c>
      <c r="C33" s="58" t="inlineStr">
        <is>
          <t>DCF role and limitations</t>
        </is>
      </c>
      <c r="D33" s="62" t="inlineStr">
        <is>
          <t>DCF is a cross-check, not the primary pricing anchor. It is sensitive to WACC and terminal growth, so we use conservative inputs and show sensitivities. The goal is to validate the range is not inconsistent with cash generation.</t>
        </is>
      </c>
      <c r="E33" s="62" t="inlineStr">
        <is>
          <t>07_VALUATION_DCF; 01_CONTROL WACC/TERM_G</t>
        </is>
      </c>
    </row>
    <row r="34" ht="80" customHeight="1">
      <c r="B34" s="64" t="n">
        <v>10</v>
      </c>
      <c r="C34" s="58" t="inlineStr">
        <is>
          <t>Range movers</t>
        </is>
      </c>
      <c r="D34" s="62" t="inlineStr">
        <is>
          <t>The range is mostly driven by three levers: selected multiple, issuer metric (EBITDA or revenue) and the net debt bridge. Secondary levers include triangulation weights and fee/cost assumptions. Sensitivities show this explicitly.</t>
        </is>
      </c>
      <c r="E34" s="62" t="inlineStr">
        <is>
          <t>06 comps; 08 triangulation; 14 sensitivities</t>
        </is>
      </c>
    </row>
    <row r="35" ht="80" customHeight="1">
      <c r="B35" s="64" t="n">
        <v>11</v>
      </c>
      <c r="C35" s="58" t="inlineStr">
        <is>
          <t>What could break first in downside</t>
        </is>
      </c>
      <c r="D35" s="62" t="inlineStr">
        <is>
          <t>In a downside, one constraint usually binds first: float, net proceeds coverage of uses, or leverage improvement. If price falls while raise is held constant, share count and dilution can worsen. We monitor which KPI fails and re-optimise structure.</t>
        </is>
      </c>
      <c r="E35" s="62" t="inlineStr">
        <is>
          <t>00_DASHBOARD constraints; 90_CHECKS</t>
        </is>
      </c>
    </row>
    <row r="36" ht="80" customHeight="1">
      <c r="B36" s="64" t="n">
        <v>12</v>
      </c>
      <c r="C36" s="58" t="inlineStr">
        <is>
          <t>Board-ready summary</t>
        </is>
      </c>
      <c r="D36" s="62" t="inlineStr">
        <is>
          <t>At the selected price, the company raises net proceeds of X, delivers pro forma net leverage of Y, and provides a free float of Z% while keeping primary dilution within tolerance. The implied multiples are consistent with peers on a like-for-like basis and the range is supported by transparent weights.</t>
        </is>
      </c>
      <c r="E36" s="62" t="inlineStr">
        <is>
          <t>00_DASHBOARD key rows; 80 KPI map</t>
        </is>
      </c>
    </row>
    <row r="37"/>
    <row r="38"/>
    <row r="39"/>
  </sheetData>
  <mergeCells count="3">
    <mergeCell ref="B7:G7"/>
    <mergeCell ref="B4:G5"/>
    <mergeCell ref="B23:G2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2:N36"/>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5" customWidth="1" min="1" max="1"/>
    <col width="1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2" customWidth="1" min="15" max="15"/>
  </cols>
  <sheetData>
    <row r="2" ht="24" customHeight="1">
      <c r="B2" s="1" t="inlineStr">
        <is>
          <t>IPO Model Learning Layer | 83_IPO_LEARN_SCENARIOS (Scenario Narratives)</t>
        </is>
      </c>
      <c r="C2" s="1" t="n"/>
      <c r="D2" s="1" t="n"/>
      <c r="E2" s="1" t="n"/>
      <c r="F2" s="1" t="n"/>
      <c r="G2" s="1" t="n"/>
      <c r="H2" s="1" t="n"/>
      <c r="I2" s="1" t="n"/>
      <c r="J2" s="1" t="n"/>
      <c r="K2" s="1" t="n"/>
      <c r="L2" s="1" t="n"/>
      <c r="M2" s="1" t="n"/>
      <c r="N2" s="1" t="n"/>
    </row>
    <row r="4" ht="44" customHeight="1">
      <c r="B4" s="57" t="inlineStr">
        <is>
          <t>Purpose: Compare Base/Upside/Downside using the existing scenario toggle (CTRL_SCEN). This sheet uses an Excel Data Table so scenarios can be compared side-by-side without manual rewiring.</t>
        </is>
      </c>
    </row>
    <row r="5"/>
    <row r="7">
      <c r="B7" t="inlineStr">
        <is>
          <t>A) Scenario comparison table (assumptions + outputs)</t>
        </is>
      </c>
    </row>
    <row r="9" ht="28" customHeight="1">
      <c r="B9" s="65" t="inlineStr">
        <is>
          <t>Scenario</t>
        </is>
      </c>
      <c r="C9" s="65" t="inlineStr">
        <is>
          <t>Rev growth % (FY+1)</t>
        </is>
      </c>
      <c r="D9" s="65" t="inlineStr">
        <is>
          <t>Gross margin %</t>
        </is>
      </c>
      <c r="E9" s="65" t="inlineStr">
        <is>
          <t>Opex % of rev</t>
        </is>
      </c>
      <c r="F9" s="65" t="inlineStr">
        <is>
          <t>Offer price</t>
        </is>
      </c>
      <c r="G9" s="65" t="inlineStr">
        <is>
          <t>Implied price (Tri)</t>
        </is>
      </c>
      <c r="H9" s="65" t="inlineStr">
        <is>
          <t>Market cap @ offer</t>
        </is>
      </c>
      <c r="I9" s="65" t="inlineStr">
        <is>
          <t>EV @ offer</t>
        </is>
      </c>
      <c r="J9" s="65" t="inlineStr">
        <is>
          <t>Net proceeds (company)</t>
        </is>
      </c>
      <c r="K9" s="65" t="inlineStr">
        <is>
          <t>Free float %</t>
        </is>
      </c>
      <c r="L9" s="65" t="inlineStr">
        <is>
          <t>Primary dilution %</t>
        </is>
      </c>
      <c r="M9" s="65" t="inlineStr">
        <is>
          <t>Net debt post</t>
        </is>
      </c>
      <c r="N9" s="65" t="inlineStr">
        <is>
          <t>Net leverage (ND/EBITDA)</t>
        </is>
      </c>
    </row>
    <row r="10">
      <c r="B10" s="56" t="n"/>
      <c r="C10" s="66">
        <f>'04_DRIVERS'!$J$8</f>
        <v/>
      </c>
      <c r="D10" s="66">
        <f>'04_DRIVERS'!$J$9</f>
        <v/>
      </c>
      <c r="E10" s="66">
        <f>'04_DRIVERS'!$J$10</f>
        <v/>
      </c>
      <c r="F10" s="66">
        <f>'01_CONTROL'!$C$56</f>
        <v/>
      </c>
      <c r="G10" s="66">
        <f>'08_VALUATION_TRIANGULATION'!$C$30</f>
        <v/>
      </c>
      <c r="H10" s="66">
        <f>'13_METRICS_AND_KPIS'!$C$19</f>
        <v/>
      </c>
      <c r="I10" s="66">
        <f>'13_METRICS_AND_KPIS'!$C$21</f>
        <v/>
      </c>
      <c r="J10" s="66">
        <f>'09_OFFER_STRUCTURE'!$C$33</f>
        <v/>
      </c>
      <c r="K10" s="66">
        <f>'10_CAP_TABLE'!$C$17</f>
        <v/>
      </c>
      <c r="L10" s="66">
        <f>'10_CAP_TABLE'!$C$18</f>
        <v/>
      </c>
      <c r="M10" s="66">
        <f>'13_METRICS_AND_KPIS'!$C$20</f>
        <v/>
      </c>
      <c r="N10" s="66">
        <f>'13_METRICS_AND_KPIS'!$C$24</f>
        <v/>
      </c>
    </row>
    <row r="11">
      <c r="A11" s="67" t="inlineStr">
        <is>
          <t>Base</t>
        </is>
      </c>
      <c r="B11" s="68" t="n">
        <v>1</v>
      </c>
      <c r="C11" s="66">
        <f>TABLE(,'01_CONTROL'!$C$14)</f>
        <v/>
      </c>
      <c r="D11" s="66">
        <f>TABLE(,'01_CONTROL'!$C$14)</f>
        <v/>
      </c>
      <c r="E11" s="66">
        <f>TABLE(,'01_CONTROL'!$C$14)</f>
        <v/>
      </c>
      <c r="F11" s="66">
        <f>TABLE(,'01_CONTROL'!$C$14)</f>
        <v/>
      </c>
      <c r="G11" s="66">
        <f>TABLE(,'01_CONTROL'!$C$14)</f>
        <v/>
      </c>
      <c r="H11" s="66">
        <f>TABLE(,'01_CONTROL'!$C$14)</f>
        <v/>
      </c>
      <c r="I11" s="66">
        <f>TABLE(,'01_CONTROL'!$C$14)</f>
        <v/>
      </c>
      <c r="J11" s="66">
        <f>TABLE(,'01_CONTROL'!$C$14)</f>
        <v/>
      </c>
      <c r="K11" s="66">
        <f>TABLE(,'01_CONTROL'!$C$14)</f>
        <v/>
      </c>
      <c r="L11" s="66">
        <f>TABLE(,'01_CONTROL'!$C$14)</f>
        <v/>
      </c>
      <c r="M11" s="66">
        <f>TABLE(,'01_CONTROL'!$C$14)</f>
        <v/>
      </c>
      <c r="N11" s="66">
        <f>TABLE(,'01_CONTROL'!$C$14)</f>
        <v/>
      </c>
    </row>
    <row r="12">
      <c r="A12" s="67" t="inlineStr">
        <is>
          <t>Upside</t>
        </is>
      </c>
      <c r="B12" s="68" t="n">
        <v>2</v>
      </c>
      <c r="C12" s="66">
        <f>TABLE(,'01_CONTROL'!$C$14)</f>
        <v/>
      </c>
      <c r="D12" s="66">
        <f>TABLE(,'01_CONTROL'!$C$14)</f>
        <v/>
      </c>
      <c r="E12" s="66">
        <f>TABLE(,'01_CONTROL'!$C$14)</f>
        <v/>
      </c>
      <c r="F12" s="66">
        <f>TABLE(,'01_CONTROL'!$C$14)</f>
        <v/>
      </c>
      <c r="G12" s="66">
        <f>TABLE(,'01_CONTROL'!$C$14)</f>
        <v/>
      </c>
      <c r="H12" s="66">
        <f>TABLE(,'01_CONTROL'!$C$14)</f>
        <v/>
      </c>
      <c r="I12" s="66">
        <f>TABLE(,'01_CONTROL'!$C$14)</f>
        <v/>
      </c>
      <c r="J12" s="66">
        <f>TABLE(,'01_CONTROL'!$C$14)</f>
        <v/>
      </c>
      <c r="K12" s="66">
        <f>TABLE(,'01_CONTROL'!$C$14)</f>
        <v/>
      </c>
      <c r="L12" s="66">
        <f>TABLE(,'01_CONTROL'!$C$14)</f>
        <v/>
      </c>
      <c r="M12" s="66">
        <f>TABLE(,'01_CONTROL'!$C$14)</f>
        <v/>
      </c>
      <c r="N12" s="66">
        <f>TABLE(,'01_CONTROL'!$C$14)</f>
        <v/>
      </c>
    </row>
    <row r="13">
      <c r="A13" s="67" t="inlineStr">
        <is>
          <t>Downside</t>
        </is>
      </c>
      <c r="B13" s="68" t="n">
        <v>3</v>
      </c>
      <c r="C13" s="66">
        <f>TABLE(,'01_CONTROL'!$C$14)</f>
        <v/>
      </c>
      <c r="D13" s="66">
        <f>TABLE(,'01_CONTROL'!$C$14)</f>
        <v/>
      </c>
      <c r="E13" s="66">
        <f>TABLE(,'01_CONTROL'!$C$14)</f>
        <v/>
      </c>
      <c r="F13" s="66">
        <f>TABLE(,'01_CONTROL'!$C$14)</f>
        <v/>
      </c>
      <c r="G13" s="66">
        <f>TABLE(,'01_CONTROL'!$C$14)</f>
        <v/>
      </c>
      <c r="H13" s="66">
        <f>TABLE(,'01_CONTROL'!$C$14)</f>
        <v/>
      </c>
      <c r="I13" s="66">
        <f>TABLE(,'01_CONTROL'!$C$14)</f>
        <v/>
      </c>
      <c r="J13" s="66">
        <f>TABLE(,'01_CONTROL'!$C$14)</f>
        <v/>
      </c>
      <c r="K13" s="66">
        <f>TABLE(,'01_CONTROL'!$C$14)</f>
        <v/>
      </c>
      <c r="L13" s="66">
        <f>TABLE(,'01_CONTROL'!$C$14)</f>
        <v/>
      </c>
      <c r="M13" s="66">
        <f>TABLE(,'01_CONTROL'!$C$14)</f>
        <v/>
      </c>
      <c r="N13" s="66">
        <f>TABLE(,'01_CONTROL'!$C$14)</f>
        <v/>
      </c>
    </row>
    <row r="15">
      <c r="B15" t="inlineStr">
        <is>
          <t>Notes</t>
        </is>
      </c>
    </row>
    <row r="16" ht="34" customHeight="1">
      <c r="B16" s="69" t="inlineStr">
        <is>
          <t>The table above is an Excel Data Table driven by CTRL_SCEN (01_CONTROL!C14). Excel will compute Base/Upside/Downside outputs side-by-side. If values appear blank, open the file in Excel and allow calculation.</t>
        </is>
      </c>
      <c r="C16" s="70" t="n"/>
      <c r="D16" s="70" t="n"/>
      <c r="E16" s="70" t="n"/>
      <c r="F16" s="70" t="n"/>
      <c r="G16" s="70" t="n"/>
      <c r="H16" s="70" t="n"/>
      <c r="I16" s="70" t="n"/>
      <c r="J16" s="70" t="n"/>
      <c r="K16" s="70" t="n"/>
      <c r="L16" s="70" t="n"/>
      <c r="M16" s="70" t="n"/>
      <c r="N16" s="71" t="n"/>
    </row>
    <row r="17">
      <c r="B17" s="72" t="n"/>
      <c r="C17" s="73" t="n"/>
      <c r="D17" s="73" t="n"/>
      <c r="E17" s="73" t="n"/>
      <c r="F17" s="73" t="n"/>
      <c r="G17" s="73" t="n"/>
      <c r="H17" s="73" t="n"/>
      <c r="I17" s="73" t="n"/>
      <c r="J17" s="73" t="n"/>
      <c r="K17" s="73" t="n"/>
      <c r="L17" s="73" t="n"/>
      <c r="M17" s="73" t="n"/>
      <c r="N17" s="74" t="n"/>
    </row>
    <row r="19">
      <c r="B19" t="inlineStr">
        <is>
          <t>B) Aggressiveness flags (Conservative / Neutral / Aggressive)</t>
        </is>
      </c>
    </row>
    <row r="20" ht="28" customHeight="1">
      <c r="B20" s="69" t="inlineStr">
        <is>
          <t>Learning thresholds (edit if needed): Growth &gt; 8% = Aggressive; Margin &gt; 45% = Aggressive; Opex &lt; 20% = Aggressive (cost-cut); Multiple above comps high = Aggressive.</t>
        </is>
      </c>
      <c r="C20" s="75" t="n"/>
      <c r="D20" s="75" t="n"/>
      <c r="E20" s="75" t="n"/>
      <c r="F20" s="75" t="n"/>
      <c r="G20" s="75" t="n"/>
      <c r="H20" s="75" t="n"/>
      <c r="I20" s="75" t="n"/>
      <c r="J20" s="75" t="n"/>
      <c r="K20" s="75" t="n"/>
      <c r="L20" s="75" t="n"/>
      <c r="M20" s="75" t="n"/>
      <c r="N20" s="76" t="n"/>
    </row>
    <row r="21" ht="26" customHeight="1">
      <c r="B21" s="65" t="inlineStr">
        <is>
          <t>Scenario</t>
        </is>
      </c>
      <c r="C21" s="65" t="inlineStr">
        <is>
          <t>Growth flag</t>
        </is>
      </c>
      <c r="D21" s="65" t="inlineStr">
        <is>
          <t>Margin flag</t>
        </is>
      </c>
      <c r="E21" s="65" t="inlineStr">
        <is>
          <t>Opex flag</t>
        </is>
      </c>
      <c r="F21" s="65" t="inlineStr">
        <is>
          <t>Multiple flag (selected)</t>
        </is>
      </c>
    </row>
    <row r="22" ht="20" customHeight="1">
      <c r="B22" s="77" t="inlineStr">
        <is>
          <t>Base</t>
        </is>
      </c>
      <c r="C22" s="78">
        <f>IF(C11&gt;0.08,"Aggressive",IF(C11&lt;0.03,"Conservative","Neutral"))</f>
        <v/>
      </c>
      <c r="D22" s="78">
        <f>IF(D11&gt;0.45,"Aggressive",IF(D11&lt;0.30,"Conservative","Neutral"))</f>
        <v/>
      </c>
      <c r="E22" s="78">
        <f>IF(E11&lt;0.20,"Aggressive",IF(E11&gt;0.30,"Conservative","Neutral"))</f>
        <v/>
      </c>
      <c r="F22" s="78">
        <f>IF(MULT_SEL&gt;06_VALUATION_COMPS!$C$22,"Aggressive",IF(MULT_SEL&lt;06_VALUATION_COMPS!$C$20,"Conservative","Neutral"))</f>
        <v/>
      </c>
    </row>
    <row r="23" ht="20" customHeight="1">
      <c r="B23" s="77" t="inlineStr">
        <is>
          <t>Upside</t>
        </is>
      </c>
      <c r="C23" s="78">
        <f>IF(C12&gt;0.08,"Aggressive",IF(C12&lt;0.03,"Conservative","Neutral"))</f>
        <v/>
      </c>
      <c r="D23" s="78">
        <f>IF(D12&gt;0.45,"Aggressive",IF(D12&lt;0.30,"Conservative","Neutral"))</f>
        <v/>
      </c>
      <c r="E23" s="78">
        <f>IF(E12&lt;0.20,"Aggressive",IF(E12&gt;0.30,"Conservative","Neutral"))</f>
        <v/>
      </c>
      <c r="F23" s="78">
        <f>IF(MULT_SEL&gt;06_VALUATION_COMPS!$C$22,"Aggressive",IF(MULT_SEL&lt;06_VALUATION_COMPS!$C$20,"Conservative","Neutral"))</f>
        <v/>
      </c>
    </row>
    <row r="24" ht="20" customHeight="1">
      <c r="B24" s="77" t="inlineStr">
        <is>
          <t>Downside</t>
        </is>
      </c>
      <c r="C24" s="78">
        <f>IF(C13&gt;0.08,"Aggressive",IF(C13&lt;0.03,"Conservative","Neutral"))</f>
        <v/>
      </c>
      <c r="D24" s="78">
        <f>IF(D13&gt;0.45,"Aggressive",IF(D13&lt;0.30,"Conservative","Neutral"))</f>
        <v/>
      </c>
      <c r="E24" s="78">
        <f>IF(E13&lt;0.20,"Aggressive",IF(E13&gt;0.30,"Conservative","Neutral"))</f>
        <v/>
      </c>
      <c r="F24" s="78">
        <f>IF(MULT_SEL&gt;06_VALUATION_COMPS!$C$22,"Aggressive",IF(MULT_SEL&lt;06_VALUATION_COMPS!$C$20,"Conservative","Neutral"))</f>
        <v/>
      </c>
    </row>
    <row r="26">
      <c r="B26" t="inlineStr">
        <is>
          <t>C) Narrative prompts</t>
        </is>
      </c>
    </row>
    <row r="27">
      <c r="B27" s="57" t="inlineStr">
        <is>
          <t>What must be true for High price (use together with 00_DASHBOARD Low/Base/High):</t>
        </is>
      </c>
    </row>
    <row r="28" ht="60" customHeight="1">
      <c r="B28" s="69" t="inlineStr">
        <is>
          <t>1) At the High price, implied EV/EBITDA and EV/Revenue remain within the peer distribution after normalisation (see 06_VALUATION_COMPS and 13_METRICS_AND_KPIS).
2) Under Downside fundamentals (CTRL_SCEN=3), the Low price still works on critical constraints (float, proceeds coverage, leverage) without breaking checks (see 90_CHECKS).
3) Book quality supports the chosen discount and aftermarket support plan, with greenshoe sized for stabilisation.</t>
        </is>
      </c>
      <c r="C28" s="70" t="n"/>
      <c r="D28" s="70" t="n"/>
      <c r="E28" s="70" t="n"/>
      <c r="F28" s="70" t="n"/>
      <c r="G28" s="70" t="n"/>
      <c r="H28" s="70" t="n"/>
      <c r="I28" s="70" t="n"/>
      <c r="J28" s="70" t="n"/>
      <c r="K28" s="70" t="n"/>
      <c r="L28" s="70" t="n"/>
      <c r="M28" s="70" t="n"/>
      <c r="N28" s="71" t="n"/>
    </row>
    <row r="29">
      <c r="B29" s="79" t="n"/>
      <c r="N29" s="80" t="n"/>
    </row>
    <row r="30">
      <c r="B30" s="72" t="n"/>
      <c r="C30" s="73" t="n"/>
      <c r="D30" s="73" t="n"/>
      <c r="E30" s="73" t="n"/>
      <c r="F30" s="73" t="n"/>
      <c r="G30" s="73" t="n"/>
      <c r="H30" s="73" t="n"/>
      <c r="I30" s="73" t="n"/>
      <c r="J30" s="73" t="n"/>
      <c r="K30" s="73" t="n"/>
      <c r="L30" s="73" t="n"/>
      <c r="M30" s="73" t="n"/>
      <c r="N30" s="74" t="n"/>
    </row>
    <row r="31">
      <c r="B31" s="57" t="inlineStr">
        <is>
          <t>What breaks first in Downside (use 90_CHECKS + this table):</t>
        </is>
      </c>
    </row>
    <row r="32" ht="44" customHeight="1">
      <c r="B32" s="69" t="inlineStr">
        <is>
          <t>Look for the first KPI to cross a practical threshold: free float too low for liquidity, dilution too high vs board tolerance, or net leverage not improving enough to support the equity story. Confirm with 90_CHECKS, then adjust structure (primary/secondary mix, greenshoe, use of proceeds).</t>
        </is>
      </c>
      <c r="C32" s="70" t="n"/>
      <c r="D32" s="70" t="n"/>
      <c r="E32" s="70" t="n"/>
      <c r="F32" s="70" t="n"/>
      <c r="G32" s="70" t="n"/>
      <c r="H32" s="70" t="n"/>
      <c r="I32" s="70" t="n"/>
      <c r="J32" s="70" t="n"/>
      <c r="K32" s="70" t="n"/>
      <c r="L32" s="70" t="n"/>
      <c r="M32" s="70" t="n"/>
      <c r="N32" s="71" t="n"/>
    </row>
    <row r="33">
      <c r="B33" s="72" t="n"/>
      <c r="C33" s="73" t="n"/>
      <c r="D33" s="73" t="n"/>
      <c r="E33" s="73" t="n"/>
      <c r="F33" s="73" t="n"/>
      <c r="G33" s="73" t="n"/>
      <c r="H33" s="73" t="n"/>
      <c r="I33" s="73" t="n"/>
      <c r="J33" s="73" t="n"/>
      <c r="K33" s="73" t="n"/>
      <c r="L33" s="73" t="n"/>
      <c r="M33" s="73" t="n"/>
      <c r="N33" s="74" t="n"/>
    </row>
    <row r="34">
      <c r="B34" s="57" t="inlineStr">
        <is>
          <t>Which 3 assumptions drive 80% of the range:</t>
        </is>
      </c>
    </row>
    <row r="35" ht="44" customHeight="1">
      <c r="B35" s="69" t="inlineStr">
        <is>
          <t>Typically: (i) the selected comps multiple (MULT_SEL in 06_VALUATION_COMPS), (ii) the issuer metric used by that multiple (NTM_EBITDA or NTM_REV), and (iii) the net debt bridge (NET_DEBT_POST). Secondary levers: triangulation weights, WACC and terminal growth (if DCF is enabled).</t>
        </is>
      </c>
      <c r="C35" s="70" t="n"/>
      <c r="D35" s="70" t="n"/>
      <c r="E35" s="70" t="n"/>
      <c r="F35" s="70" t="n"/>
      <c r="G35" s="70" t="n"/>
      <c r="H35" s="70" t="n"/>
      <c r="I35" s="70" t="n"/>
      <c r="J35" s="70" t="n"/>
      <c r="K35" s="70" t="n"/>
      <c r="L35" s="70" t="n"/>
      <c r="M35" s="70" t="n"/>
      <c r="N35" s="71" t="n"/>
    </row>
    <row r="36">
      <c r="B36" s="72" t="n"/>
      <c r="C36" s="73" t="n"/>
      <c r="D36" s="73" t="n"/>
      <c r="E36" s="73" t="n"/>
      <c r="F36" s="73" t="n"/>
      <c r="G36" s="73" t="n"/>
      <c r="H36" s="73" t="n"/>
      <c r="I36" s="73" t="n"/>
      <c r="J36" s="73" t="n"/>
      <c r="K36" s="73" t="n"/>
      <c r="L36" s="73" t="n"/>
      <c r="M36" s="73" t="n"/>
      <c r="N36" s="74" t="n"/>
    </row>
  </sheetData>
  <mergeCells count="13">
    <mergeCell ref="B28:N30"/>
    <mergeCell ref="B31:N31"/>
    <mergeCell ref="B27:N27"/>
    <mergeCell ref="B26:N26"/>
    <mergeCell ref="B4:N5"/>
    <mergeCell ref="B32:N33"/>
    <mergeCell ref="B15:N15"/>
    <mergeCell ref="B7:N7"/>
    <mergeCell ref="B34:N34"/>
    <mergeCell ref="B19:N19"/>
    <mergeCell ref="B20:N20"/>
    <mergeCell ref="B16:N17"/>
    <mergeCell ref="B35:N3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111"/>
  <sheetViews>
    <sheetView showGridLines="0" workbookViewId="0">
      <pane xSplit="5" ySplit="7" topLeftCell="F8"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18" customWidth="1" min="3" max="3"/>
    <col width="18" customWidth="1" min="4" max="4"/>
    <col width="14" customWidth="1" min="5" max="5"/>
    <col width="32" customWidth="1" min="6" max="6"/>
    <col width="32" customWidth="1" min="7" max="7"/>
    <col width="32" customWidth="1" min="8" max="8"/>
    <col width="18" customWidth="1" min="9" max="9"/>
    <col width="10" customWidth="1" min="10" max="10"/>
    <col width="2" customWidth="1" min="11" max="11"/>
  </cols>
  <sheetData>
    <row r="1"/>
    <row r="2" ht="24" customHeight="1">
      <c r="B2" s="1" t="inlineStr">
        <is>
          <t>IPO Model Learning Layer | 84_IPO_LEARN_DRILLS (Exercises + Scoring)</t>
        </is>
      </c>
      <c r="C2" s="1" t="n"/>
      <c r="D2" s="1" t="n"/>
      <c r="E2" s="1" t="n"/>
      <c r="F2" s="1" t="n"/>
      <c r="G2" s="1" t="n"/>
      <c r="H2" s="1" t="n"/>
      <c r="I2" s="1" t="n"/>
      <c r="J2" s="1" t="n"/>
      <c r="K2" s="1" t="n"/>
      <c r="L2" s="1" t="n"/>
      <c r="M2" s="1" t="n"/>
      <c r="N2" s="1" t="n"/>
      <c r="O2" s="1" t="n"/>
    </row>
    <row r="3"/>
    <row r="4" ht="54" customHeight="1">
      <c r="B4" s="57" t="inlineStr">
        <is>
          <t>Purpose: Hands-on drills. Before starting a drill, CAPTURE BASELINE by copy-pasting the 'Current' column into the 'Baseline (values)' column as values. Then make changes only in allowed inputs.</t>
        </is>
      </c>
    </row>
    <row r="5"/>
    <row r="6" ht="20" customHeight="1">
      <c r="B6" s="1" t="inlineStr">
        <is>
          <t>BASELINE SNAPSHOT (CAPTURE BEFORE EACH DRILL)</t>
        </is>
      </c>
      <c r="C6" s="1" t="n"/>
      <c r="D6" s="1" t="n"/>
      <c r="E6" s="1" t="n"/>
      <c r="F6" s="1" t="n"/>
      <c r="G6" s="1" t="n"/>
      <c r="H6" s="1" t="n"/>
      <c r="I6" s="1" t="n"/>
      <c r="J6" s="1" t="n"/>
      <c r="K6" s="1" t="n"/>
      <c r="L6" s="1" t="n"/>
      <c r="M6" s="1" t="n"/>
      <c r="N6" s="1" t="n"/>
      <c r="O6" s="1" t="n"/>
    </row>
    <row r="7"/>
    <row r="8" ht="18" customHeight="1">
      <c r="B8" s="81" t="inlineStr">
        <is>
          <t>Metric</t>
        </is>
      </c>
      <c r="C8" s="81" t="inlineStr">
        <is>
          <t>Baseline (values)</t>
        </is>
      </c>
      <c r="D8" s="81" t="inlineStr">
        <is>
          <t>Current (live)</t>
        </is>
      </c>
      <c r="E8" s="81" t="inlineStr">
        <is>
          <t>Delta</t>
        </is>
      </c>
      <c r="F8" s="81" t="inlineStr">
        <is>
          <t>Notes</t>
        </is>
      </c>
    </row>
    <row r="9" ht="36" customHeight="1">
      <c r="B9" s="57" t="inlineStr">
        <is>
          <t>Selected price</t>
        </is>
      </c>
      <c r="C9" s="82">
        <f>IPO_PX_SEL</f>
        <v/>
      </c>
      <c r="D9" s="82">
        <f>IPO_PX_SEL</f>
        <v/>
      </c>
      <c r="E9" s="83">
        <f>D9-C9</f>
        <v/>
      </c>
      <c r="F9" s="84" t="inlineStr">
        <is>
          <t>Use CTRL_PX_CASE in 01_CONTROL.</t>
        </is>
      </c>
    </row>
    <row r="10" ht="36" customHeight="1">
      <c r="B10" s="57" t="inlineStr">
        <is>
          <t>Gross proceeds target (DKKm)</t>
        </is>
      </c>
      <c r="C10" s="82">
        <f>CTRL_GROSS_PROCEEDS</f>
        <v/>
      </c>
      <c r="D10" s="82">
        <f>CTRL_GROSS_PROCEEDS</f>
        <v/>
      </c>
      <c r="E10" s="83">
        <f>D10-C10</f>
        <v/>
      </c>
      <c r="F10" s="84" t="inlineStr">
        <is>
          <t>Sizing input for offer shares.</t>
        </is>
      </c>
    </row>
    <row r="11" ht="36" customHeight="1">
      <c r="B11" s="57" t="inlineStr">
        <is>
          <t>Net proceeds to company (DKKm)</t>
        </is>
      </c>
      <c r="C11" s="82">
        <f>NET_PROCEEDS_CO</f>
        <v/>
      </c>
      <c r="D11" s="82">
        <f>NET_PROCEEDS_CO</f>
        <v/>
      </c>
      <c r="E11" s="83">
        <f>D11-C11</f>
        <v/>
      </c>
      <c r="F11" s="84" t="inlineStr">
        <is>
          <t>Primary gross less allocated costs.</t>
        </is>
      </c>
    </row>
    <row r="12" ht="36" customHeight="1">
      <c r="B12" s="57" t="inlineStr">
        <is>
          <t>Free float %</t>
        </is>
      </c>
      <c r="C12" s="85">
        <f>FREE_FLOAT_PCT</f>
        <v/>
      </c>
      <c r="D12" s="85">
        <f>FREE_FLOAT_PCT</f>
        <v/>
      </c>
      <c r="E12" s="83">
        <f>D12-C12</f>
        <v/>
      </c>
      <c r="F12" s="84" t="inlineStr">
        <is>
          <t>Shares sold to public divided by post shares.</t>
        </is>
      </c>
    </row>
    <row r="13" ht="36" customHeight="1">
      <c r="B13" s="57" t="inlineStr">
        <is>
          <t>Primary dilution %</t>
        </is>
      </c>
      <c r="C13" s="85">
        <f>PRIMARY_DILUTION</f>
        <v/>
      </c>
      <c r="D13" s="85">
        <f>PRIMARY_DILUTION</f>
        <v/>
      </c>
      <c r="E13" s="83">
        <f>D13-C13</f>
        <v/>
      </c>
      <c r="F13" s="84" t="inlineStr">
        <is>
          <t>New primary shares divided by post shares.</t>
        </is>
      </c>
    </row>
    <row r="14" ht="36" customHeight="1">
      <c r="B14" s="57" t="inlineStr">
        <is>
          <t>Post shares (m)</t>
        </is>
      </c>
      <c r="C14" s="82">
        <f>POST_SHARES</f>
        <v/>
      </c>
      <c r="D14" s="82">
        <f>POST_SHARES</f>
        <v/>
      </c>
      <c r="E14" s="83">
        <f>D14-C14</f>
        <v/>
      </c>
      <c r="F14" s="84" t="inlineStr">
        <is>
          <t>Pre shares plus new primary shares.</t>
        </is>
      </c>
    </row>
    <row r="15" ht="36" customHeight="1">
      <c r="B15" s="57" t="inlineStr">
        <is>
          <t>Net debt post (DKKm)</t>
        </is>
      </c>
      <c r="C15" s="82">
        <f>NETDEBT_POST</f>
        <v/>
      </c>
      <c r="D15" s="82">
        <f>NETDEBT_POST</f>
        <v/>
      </c>
      <c r="E15" s="83">
        <f>D15-C15</f>
        <v/>
      </c>
      <c r="F15" s="84" t="inlineStr">
        <is>
          <t>Debt minus cash post transaction.</t>
        </is>
      </c>
    </row>
    <row r="16" ht="36" customHeight="1">
      <c r="B16" s="57" t="inlineStr">
        <is>
          <t>Net leverage post (x)</t>
        </is>
      </c>
      <c r="C16" s="86">
        <f>LEVERAGE_POST</f>
        <v/>
      </c>
      <c r="D16" s="86">
        <f>LEVERAGE_POST</f>
        <v/>
      </c>
      <c r="E16" s="83">
        <f>D16-C16</f>
        <v/>
      </c>
      <c r="F16" s="84" t="inlineStr">
        <is>
          <t>Net debt post divided by NTM EBITDA.</t>
        </is>
      </c>
    </row>
    <row r="17" ht="36" customHeight="1">
      <c r="B17" s="57" t="inlineStr">
        <is>
          <t>Selected multiple (x)</t>
        </is>
      </c>
      <c r="C17" s="87">
        <f>MULTIPLE_SEL</f>
        <v/>
      </c>
      <c r="D17" s="87">
        <f>MULTIPLE_SEL</f>
        <v/>
      </c>
      <c r="E17" s="83">
        <f>D17-C17</f>
        <v/>
      </c>
      <c r="F17" s="84" t="inlineStr">
        <is>
          <t>Comps multiple selected.</t>
        </is>
      </c>
    </row>
    <row r="18" ht="36" customHeight="1">
      <c r="B18" s="57" t="inlineStr">
        <is>
          <t>Triang implied price (base)</t>
        </is>
      </c>
      <c r="C18" s="82">
        <f>'08_VALUATION_TRIANGULATION'!C30</f>
        <v/>
      </c>
      <c r="D18" s="82">
        <f>'08_VALUATION_TRIANGULATION'!C30</f>
        <v/>
      </c>
      <c r="E18" s="83">
        <f>D18-C18</f>
        <v/>
      </c>
      <c r="F18" s="84" t="inlineStr">
        <is>
          <t>Implied price base from triangulation.</t>
        </is>
      </c>
    </row>
    <row r="19" ht="30" customHeight="1">
      <c r="B19" s="14" t="inlineStr">
        <is>
          <t>Extra baseline: Shares sold public (m)</t>
        </is>
      </c>
      <c r="C19" s="88">
        <f>SHARES_SOLD_PUBLIC</f>
        <v/>
      </c>
      <c r="D19" s="88">
        <f>SHARES_SOLD_PUBLIC</f>
        <v/>
      </c>
      <c r="E19" s="24">
        <f>D19-C19</f>
        <v/>
      </c>
      <c r="F19" s="84" t="inlineStr">
        <is>
          <t>Used in Drill 6 greenshoe impact.</t>
        </is>
      </c>
    </row>
    <row r="20" ht="30" customHeight="1">
      <c r="B20" s="14" t="inlineStr">
        <is>
          <t>Extra baseline: Market Cap at offer (DKKm)</t>
        </is>
      </c>
      <c r="C20" s="32">
        <f>MKT_CAP</f>
        <v/>
      </c>
      <c r="D20" s="32">
        <f>MKT_CAP</f>
        <v/>
      </c>
      <c r="E20" s="24">
        <f>D20-C20</f>
        <v/>
      </c>
      <c r="F20" s="84" t="inlineStr">
        <is>
          <t>Used in Drill 5.</t>
        </is>
      </c>
    </row>
    <row r="21" ht="20" customHeight="1">
      <c r="B21" s="1" t="inlineStr">
        <is>
          <t>DAILY DRILL MODE</t>
        </is>
      </c>
      <c r="C21" s="1" t="n"/>
      <c r="D21" s="1" t="n"/>
      <c r="E21" s="1" t="n"/>
      <c r="F21" s="1" t="n"/>
      <c r="G21" s="1" t="n"/>
      <c r="H21" s="1" t="n"/>
      <c r="I21" s="1" t="n"/>
      <c r="J21" s="1" t="n"/>
      <c r="K21" s="1" t="n"/>
      <c r="L21" s="1" t="n"/>
      <c r="M21" s="1" t="n"/>
      <c r="N21" s="1" t="n"/>
      <c r="O21" s="1" t="n"/>
    </row>
    <row r="22"/>
    <row r="23">
      <c r="B23" s="14" t="inlineStr">
        <is>
          <t>Today's drill #</t>
        </is>
      </c>
      <c r="C23" s="89">
        <f>RANDBETWEEN(1,12)</f>
        <v/>
      </c>
      <c r="D23" s="90" t="inlineStr">
        <is>
          <t>(Press F9 to re-roll)</t>
        </is>
      </c>
      <c r="E23" s="75" t="n"/>
      <c r="F23" s="76" t="n"/>
    </row>
    <row r="24"/>
    <row r="25">
      <c r="B25" s="14" t="inlineStr">
        <is>
          <t>Score tracker (manual entry)</t>
        </is>
      </c>
    </row>
    <row r="26"/>
    <row r="27" ht="18" customHeight="1">
      <c r="B27" s="81" t="inlineStr">
        <is>
          <t>Date</t>
        </is>
      </c>
      <c r="C27" s="81" t="inlineStr">
        <is>
          <t>Drill #</t>
        </is>
      </c>
      <c r="D27" s="81" t="inlineStr">
        <is>
          <t>Attempt #</t>
        </is>
      </c>
      <c r="E27" s="81" t="inlineStr">
        <is>
          <t>Result (PASS/FAIL)</t>
        </is>
      </c>
      <c r="F27" s="81" t="inlineStr">
        <is>
          <t>Notes</t>
        </is>
      </c>
    </row>
    <row r="28" ht="24" customHeight="1">
      <c r="B28" s="84" t="n"/>
      <c r="C28" s="91" t="n"/>
      <c r="D28" s="91" t="n"/>
      <c r="E28" s="91" t="n"/>
      <c r="F28" s="84" t="n"/>
    </row>
    <row r="29" ht="24" customHeight="1">
      <c r="B29" s="84" t="n"/>
      <c r="C29" s="91" t="n"/>
      <c r="D29" s="91" t="n"/>
      <c r="E29" s="91" t="n"/>
      <c r="F29" s="84" t="n"/>
    </row>
    <row r="30" ht="24" customHeight="1">
      <c r="B30" s="84" t="n"/>
      <c r="C30" s="91" t="n"/>
      <c r="D30" s="91" t="n"/>
      <c r="E30" s="91" t="n"/>
      <c r="F30" s="84" t="n"/>
    </row>
    <row r="31" ht="24" customHeight="1">
      <c r="B31" s="84" t="n"/>
      <c r="C31" s="91" t="n"/>
      <c r="D31" s="91" t="n"/>
      <c r="E31" s="91" t="n"/>
      <c r="F31" s="84" t="n"/>
    </row>
    <row r="32" ht="24" customHeight="1">
      <c r="B32" s="84" t="n"/>
      <c r="C32" s="91" t="n"/>
      <c r="D32" s="91" t="n"/>
      <c r="E32" s="91" t="n"/>
      <c r="F32" s="84" t="n"/>
    </row>
    <row r="33" ht="24" customHeight="1">
      <c r="B33" s="84" t="n"/>
      <c r="C33" s="91" t="n"/>
      <c r="D33" s="91" t="n"/>
      <c r="E33" s="91" t="n"/>
      <c r="F33" s="84" t="n"/>
    </row>
    <row r="34" ht="24" customHeight="1">
      <c r="B34" s="84" t="n"/>
      <c r="C34" s="91" t="n"/>
      <c r="D34" s="91" t="n"/>
      <c r="E34" s="91" t="n"/>
      <c r="F34" s="84" t="n"/>
    </row>
    <row r="35" ht="24" customHeight="1">
      <c r="B35" s="84" t="n"/>
      <c r="C35" s="91" t="n"/>
      <c r="D35" s="91" t="n"/>
      <c r="E35" s="91" t="n"/>
      <c r="F35" s="84" t="n"/>
    </row>
    <row r="36" ht="24" customHeight="1">
      <c r="B36" s="84" t="n"/>
      <c r="C36" s="91" t="n"/>
      <c r="D36" s="91" t="n"/>
      <c r="E36" s="91" t="n"/>
      <c r="F36" s="84" t="n"/>
    </row>
    <row r="37" ht="24" customHeight="1">
      <c r="B37" s="84" t="n"/>
      <c r="C37" s="91" t="n"/>
      <c r="D37" s="91" t="n"/>
      <c r="E37" s="91" t="n"/>
      <c r="F37" s="84" t="n"/>
    </row>
    <row r="38"/>
    <row r="39"/>
    <row r="40" ht="20" customHeight="1">
      <c r="B40" s="1" t="inlineStr">
        <is>
          <t>DRILL LIBRARY (12) - CHANGE ONLY ALLOWED INPUTS</t>
        </is>
      </c>
      <c r="C40" s="1" t="n"/>
      <c r="D40" s="1" t="n"/>
      <c r="E40" s="1" t="n"/>
      <c r="F40" s="1" t="n"/>
      <c r="G40" s="1" t="n"/>
      <c r="H40" s="1" t="n"/>
      <c r="I40" s="1" t="n"/>
      <c r="J40" s="1" t="n"/>
      <c r="K40" s="1" t="n"/>
      <c r="L40" s="1" t="n"/>
      <c r="M40" s="1" t="n"/>
      <c r="N40" s="1" t="n"/>
      <c r="O40" s="1" t="n"/>
    </row>
    <row r="41" ht="24" customHeight="1">
      <c r="B41" s="14" t="inlineStr">
        <is>
          <t>Target Market Cap (DKKm) for Drill 5</t>
        </is>
      </c>
      <c r="C41" s="32">
        <f>MKT_CAP</f>
        <v/>
      </c>
      <c r="D41" s="76" t="n"/>
      <c r="E41" s="24" t="inlineStr">
        <is>
          <t>Edit this target as needed.</t>
        </is>
      </c>
      <c r="F41" s="76" t="n"/>
    </row>
    <row r="42" ht="18" customHeight="1">
      <c r="B42" s="81" t="inlineStr">
        <is>
          <t>#</t>
        </is>
      </c>
      <c r="C42" s="81" t="inlineStr">
        <is>
          <t>Objective</t>
        </is>
      </c>
      <c r="D42" s="81" t="inlineStr">
        <is>
          <t>Allowed inputs (specific cells/blocks)</t>
        </is>
      </c>
      <c r="E42" s="81" t="inlineStr">
        <is>
          <t>Forbidden inputs</t>
        </is>
      </c>
      <c r="F42" s="81" t="inlineStr">
        <is>
          <t>PASS/FAIL check (formula)</t>
        </is>
      </c>
      <c r="G42" s="81" t="inlineStr">
        <is>
          <t>Driver logic (why it works)</t>
        </is>
      </c>
      <c r="H42" s="81" t="inlineStr">
        <is>
          <t>Link</t>
        </is>
      </c>
    </row>
    <row r="43" ht="88" customHeight="1">
      <c r="B43" s="92" t="n">
        <v>1</v>
      </c>
      <c r="C43" s="57" t="inlineStr">
        <is>
          <t>Increase free float by +5pp without increasing primary dilution</t>
        </is>
      </c>
      <c r="D43" s="57" t="inlineStr">
        <is>
          <t>01_CONTROL!C28:C29 (Primary %, Secondary %), 01_CONTROL!C30 (Greenshoe %) and C33 (Fee allocation toggle)</t>
        </is>
      </c>
      <c r="E43" s="57" t="inlineStr">
        <is>
          <t>01_CONTROL!C27 (Gross proceeds), 03_HISTORICALS, 05_FORECAST, grey calc cells</t>
        </is>
      </c>
      <c r="F43" s="84">
        <f>IF(AND(FREE_FLOAT_PCT&gt;=$C$12+0.05, PRIMARY_DILUTION&lt;=$C$13+0.0001),"PASS","FAIL")</f>
        <v/>
      </c>
      <c r="G43" s="84" t="inlineStr">
        <is>
          <t>Increase secondary mix or greenshoe to lift float while keeping primary issuance (and therefore dilution) flat.</t>
        </is>
      </c>
      <c r="H43" s="93">
        <f>HYPERLINK("#'80_IPO_LEARN_MAP'!B9","Go")</f>
        <v/>
      </c>
    </row>
    <row r="44" ht="88" customHeight="1">
      <c r="B44" s="92" t="n">
        <v>2</v>
      </c>
      <c r="C44" s="57" t="inlineStr">
        <is>
          <t>Raise net proceeds by +10% without changing offer price</t>
        </is>
      </c>
      <c r="D44" s="57" t="inlineStr">
        <is>
          <t>01_CONTROL!C31:C32 (Fee %, Other costs), 01_CONTROL!C33 (Fee allocation), 01_CONTROL!C28:C29 (mix)</t>
        </is>
      </c>
      <c r="E44" s="57" t="inlineStr">
        <is>
          <t>01_CONTROL!C56 (Selected price) must remain equal to baseline, do not change gross proceeds</t>
        </is>
      </c>
      <c r="F44" s="84">
        <f>IF(AND(NET_PROCEEDS_CO&gt;=$C$11*1.10, IPO_PX_SEL=$C$9, CTRL_GROSS_PROCEEDS=$C$10),"PASS","FAIL")</f>
        <v/>
      </c>
      <c r="G44" s="84" t="inlineStr">
        <is>
          <t>Increase net by reducing fee/cost drag or increasing primary share, while holding the offer price constant.</t>
        </is>
      </c>
      <c r="H44" s="93">
        <f>HYPERLINK("#'80_IPO_LEARN_MAP'!B9","Go")</f>
        <v/>
      </c>
    </row>
    <row r="45" ht="88" customHeight="1">
      <c r="B45" s="92" t="n">
        <v>3</v>
      </c>
      <c r="C45" s="57" t="inlineStr">
        <is>
          <t>Reduce dilution by 3pp while keeping gross raise constant</t>
        </is>
      </c>
      <c r="D45" s="57" t="inlineStr">
        <is>
          <t>01_CONTROL!C28:C29 (mix), 01_CONTROL!C30 (Greenshoe %) and C33 (allocation)</t>
        </is>
      </c>
      <c r="E45" s="57" t="inlineStr">
        <is>
          <t>Do not change 01_CONTROL!C27 (Gross proceeds)</t>
        </is>
      </c>
      <c r="F45" s="84">
        <f>IF(AND(PRIMARY_DILUTION&lt;=$C$13-0.03, CTRL_GROSS_PROCEEDS=$C$10),"PASS","FAIL")</f>
        <v/>
      </c>
      <c r="G45" s="84" t="inlineStr">
        <is>
          <t>Issue fewer new shares (lower primary %) while keeping total sell down sized to the same gross raise.</t>
        </is>
      </c>
      <c r="H45" s="93">
        <f>HYPERLINK("#'80_IPO_LEARN_MAP'!B9","Go")</f>
        <v/>
      </c>
    </row>
    <row r="46" ht="88" customHeight="1">
      <c r="B46" s="92" t="n">
        <v>4</v>
      </c>
      <c r="C46" s="57" t="inlineStr">
        <is>
          <t>Keep EV constant while changing net debt definition and explain why equity value moves</t>
        </is>
      </c>
      <c r="D46" s="57" t="inlineStr">
        <is>
          <t>86_IPO_SPECIAL_MODULE!C18 (NET_DEBT_DEF toggle) and related inputs in the simulator</t>
        </is>
      </c>
      <c r="E46" s="57" t="inlineStr">
        <is>
          <t>Do not change price, gross proceeds, or selected multiple</t>
        </is>
      </c>
      <c r="F46" s="84">
        <f>IF(AND(ABS(SIM_EV_A-SIM_EV_B)&lt;0.01, ABS(SIM_EQ_A-SIM_EQ_B)&gt;0.01),"PASS","FAIL")</f>
        <v/>
      </c>
      <c r="G46" s="84" t="inlineStr">
        <is>
          <t>EV can be held constant in the simulator while net debt definition shifts, which moves the EV to equity bridge and therefore equity value.</t>
        </is>
      </c>
      <c r="H46" s="93">
        <f>HYPERLINK("#'80_IPO_LEARN_MAP'!B9","Go")</f>
        <v/>
      </c>
    </row>
    <row r="47" ht="88" customHeight="1">
      <c r="B47" s="92" t="n">
        <v>5</v>
      </c>
      <c r="C47" s="57" t="inlineStr">
        <is>
          <t>Achieve a target Market Cap while keeping free float in 20% to 35%</t>
        </is>
      </c>
      <c r="D47" s="57" t="inlineStr">
        <is>
          <t>01_CONTROL!C24:C56 (Price case / selected price), 01_CONTROL!C28:C29 (mix)</t>
        </is>
      </c>
      <c r="E47" s="57" t="inlineStr">
        <is>
          <t>Do not hardcode outputs or edit grey cells</t>
        </is>
      </c>
      <c r="F47" s="84">
        <f>IF(AND(MKT_CAP&gt;=DRILL_TARGET_MKT_CAP, FREE_FLOAT_PCT&gt;=0.20, FREE_FLOAT_PCT&lt;=0.35),"PASS","FAIL")</f>
        <v/>
      </c>
      <c r="G47" s="84" t="inlineStr">
        <is>
          <t>Market cap is price times post shares. Manage the tradeoff between price, primary issuance, and float thresholds.</t>
        </is>
      </c>
      <c r="H47" s="93">
        <f>HYPERLINK("#'80_IPO_LEARN_MAP'!B9","Go")</f>
        <v/>
      </c>
    </row>
    <row r="48" ht="88" customHeight="1">
      <c r="B48" s="92" t="n">
        <v>6</v>
      </c>
      <c r="C48" s="57" t="inlineStr">
        <is>
          <t>Show how greenshoe affects ownership and why it is used (quantify impact)</t>
        </is>
      </c>
      <c r="D48" s="57" t="inlineStr">
        <is>
          <t>01_CONTROL!C30 (Greenshoe %) and 01_CONTROL!C28:C29 (mix)</t>
        </is>
      </c>
      <c r="E48" s="57" t="inlineStr">
        <is>
          <t>Do not change gross proceeds</t>
        </is>
      </c>
      <c r="F48" s="84">
        <f>IF(AND('01_CONTROL'!$C$30&gt;0, SHARES_SOLD_PUBLIC&gt;=$C$19+0.0001, FREE_FLOAT_PCT&gt;$C$12+0.0001),"PASS","FAIL")</f>
        <v/>
      </c>
      <c r="G48" s="84" t="inlineStr">
        <is>
          <t>Greenshoe increases distribution and float without changing primary proceeds narrative materially; it supports stabilisation and demand management.</t>
        </is>
      </c>
      <c r="H48" s="93">
        <f>HYPERLINK("#'80_IPO_LEARN_MAP'!B9","Go")</f>
        <v/>
      </c>
    </row>
    <row r="49" ht="88" customHeight="1">
      <c r="B49" s="92" t="n">
        <v>7</v>
      </c>
      <c r="C49" s="57" t="inlineStr">
        <is>
          <t>Defend a higher multiple selection using comps normalisation (without changing peer data)</t>
        </is>
      </c>
      <c r="D49" s="57" t="inlineStr">
        <is>
          <t>06_VALUATION_COMPS!C23 (Selected multiple), 06_VALUATION_COMPS!C11:C17 (normalisation toggles if present)</t>
        </is>
      </c>
      <c r="E49" s="57" t="inlineStr">
        <is>
          <t>Do not edit peer financial data table; do not change FX or base metrics</t>
        </is>
      </c>
      <c r="F49" s="84">
        <f>IF(AND(MULTIPLE_SEL&gt;=$C$17+1.0, MULTIPLE_SEL&lt;='06_VALUATION_COMPS'!$C$20+0.5),"PASS","FAIL")</f>
        <v/>
      </c>
      <c r="G49" s="84" t="inlineStr">
        <is>
          <t>A higher multiple must still be defensible versus the peer distribution after normalisation and basis alignment.</t>
        </is>
      </c>
      <c r="H49" s="93">
        <f>HYPERLINK("#'80_IPO_LEARN_MAP'!B9","Go")</f>
        <v/>
      </c>
    </row>
    <row r="50" ht="88" customHeight="1">
      <c r="B50" s="92" t="n">
        <v>8</v>
      </c>
      <c r="C50" s="57" t="inlineStr">
        <is>
          <t>Build a downside pricing case and show which KPI becomes unacceptable first</t>
        </is>
      </c>
      <c r="D50" s="57" t="inlineStr">
        <is>
          <t>01_CONTROL!C15 (Scenario = Downside), 01_CONTROL!C17 (Price case = Low), then adjust only mix and fees if needed</t>
        </is>
      </c>
      <c r="E50" s="57" t="inlineStr">
        <is>
          <t>Do not edit forecast mechanics directly</t>
        </is>
      </c>
      <c r="F50" s="84">
        <f>IF(AND('01_CONTROL'!$C$15=1, '01_CONTROL'!$C$17=1, OR(FREE_FLOAT_PCT&lt;0.20, LEVERAGE_POST&gt;3.5, NET_PROCEEDS_CO&lt;$C$11)),"PASS","FAIL")</f>
        <v/>
      </c>
      <c r="G50" s="84" t="inlineStr">
        <is>
          <t>Downside combines weaker NTM EBITDA with lower price. Track float, leverage and proceeds as the first breakers for marketability and board acceptability.</t>
        </is>
      </c>
      <c r="H50" s="93">
        <f>HYPERLINK("#'80_IPO_LEARN_MAP'!B9","Go")</f>
        <v/>
      </c>
    </row>
    <row r="51" ht="88" customHeight="1">
      <c r="B51" s="92" t="n">
        <v>9</v>
      </c>
      <c r="C51" s="57" t="inlineStr">
        <is>
          <t>Change use of proceeds to reduce net leverage by 0.5x without changing gross raise</t>
        </is>
      </c>
      <c r="D51" s="57" t="inlineStr">
        <is>
          <t>01_CONTROL!C38:C40 (Use of proceeds allocation %), 01_CONTROL!C37 (Debt paydown bucket size if present)</t>
        </is>
      </c>
      <c r="E51" s="57" t="inlineStr">
        <is>
          <t>Do not change gross proceeds target or price</t>
        </is>
      </c>
      <c r="F51" s="84">
        <f>IF(AND(LEVERAGE_POST&lt;=$C$16-0.5, CTRL_GROSS_PROCEEDS=$C$10),"PASS","FAIL")</f>
        <v/>
      </c>
      <c r="G51" s="84" t="inlineStr">
        <is>
          <t>Reallocate proceeds toward debt paydown to lower net debt and leverage, keeping the raise constant.</t>
        </is>
      </c>
      <c r="H51" s="93">
        <f>HYPERLINK("#'80_IPO_LEARN_MAP'!B9","Go")</f>
        <v/>
      </c>
    </row>
    <row r="52" ht="88" customHeight="1">
      <c r="B52" s="92" t="n">
        <v>10</v>
      </c>
      <c r="C52" s="57" t="inlineStr">
        <is>
          <t>Switch triangulation weight (comps vs DCF) and explain what assumptions dominate</t>
        </is>
      </c>
      <c r="D52" s="57" t="inlineStr">
        <is>
          <t>01_CONTROL!C45:C46 (Comps and DCF weights), 01_CONTROL!C46 must keep sum to 1</t>
        </is>
      </c>
      <c r="E52" s="57" t="inlineStr">
        <is>
          <t>Do not change peer set or forecast; only weights and DCF key assumptions</t>
        </is>
      </c>
      <c r="F52" s="84">
        <f>IF(AND(ABS(('01_CONTROL'!$C$45+'01_CONTROL'!$C$46)-1)&lt;0.0001, ABS('08_VALUATION_TRIANGULATION'!$C$30-$C$18)&gt;0.01),"PASS","FAIL")</f>
        <v/>
      </c>
      <c r="G52" s="84" t="inlineStr">
        <is>
          <t>Changing weights shifts which method dominates implied price. DCF sensitivity is driven by WACC and terminal assumptions; comps sensitivity is driven by peer multiple and metric.</t>
        </is>
      </c>
      <c r="H52" s="93">
        <f>HYPERLINK("#'80_IPO_LEARN_MAP'!B9","Go")</f>
        <v/>
      </c>
    </row>
    <row r="53" ht="88" customHeight="1">
      <c r="B53" s="92" t="n">
        <v>11</v>
      </c>
      <c r="C53" s="57" t="inlineStr">
        <is>
          <t>Identify and fix a definition mismatch (net debt or shares) using definition controls</t>
        </is>
      </c>
      <c r="D53" s="57" t="inlineStr">
        <is>
          <t>86_IPO_SPECIAL_MODULE!C18:C19 (definition toggles) to reconcile bridge flags</t>
        </is>
      </c>
      <c r="E53" s="57" t="inlineStr">
        <is>
          <t>Do not edit calculation cells in 11_PRO_FORMA_BS or 13_METRICS</t>
        </is>
      </c>
      <c r="F53" s="84">
        <f>IF(DEF_STATUS="RESOLVED","PASS","FAIL")</f>
        <v/>
      </c>
      <c r="G53" s="84" t="inlineStr">
        <is>
          <t>Definition mismatches typically show up as EV bridge inconsistencies. Fix by aligning cash and debt items included in net debt with the definition used in valuation.</t>
        </is>
      </c>
      <c r="H53" s="93">
        <f>HYPERLINK("#'80_IPO_LEARN_MAP'!B9","Go")</f>
        <v/>
      </c>
    </row>
    <row r="54" ht="88" customHeight="1">
      <c r="B54" s="92" t="n">
        <v>12</v>
      </c>
      <c r="C54" s="57" t="inlineStr">
        <is>
          <t>Build a 6 bullet pricing range narrative referencing model outputs</t>
        </is>
      </c>
      <c r="D54" s="57" t="inlineStr">
        <is>
          <t>84_IPO_LEARN_DRILLS!B60:B65 (enter 6 bullets)</t>
        </is>
      </c>
      <c r="E54" s="57" t="inlineStr">
        <is>
          <t>Do not use generic text; each bullet must reference at least one model KPI</t>
        </is>
      </c>
      <c r="F54" s="84">
        <f>IF(COUNTA(84_IPO_LEARN_DRILLS!B60:B65)=6,"PASS","FAIL")</f>
        <v/>
      </c>
      <c r="G54" s="84" t="inlineStr">
        <is>
          <t>A defensible narrative ties valuation support (range), float and dilution tradeoffs, proceeds use and balance sheet, and key risks that move the range.</t>
        </is>
      </c>
      <c r="H54" s="93">
        <f>HYPERLINK("#'80_IPO_LEARN_MAP'!B9","Go")</f>
        <v/>
      </c>
    </row>
    <row r="55"/>
    <row r="56"/>
    <row r="57"/>
    <row r="58"/>
    <row r="59" ht="20" customHeight="1">
      <c r="B59" s="1" t="inlineStr">
        <is>
          <t>DRILL 12 - PRICING RANGE NARRATIVE (FILL 6 BULLETS)</t>
        </is>
      </c>
      <c r="C59" s="1" t="n"/>
      <c r="D59" s="1" t="n"/>
      <c r="E59" s="1" t="n"/>
      <c r="F59" s="1" t="n"/>
      <c r="G59" s="1" t="n"/>
      <c r="H59" s="1" t="n"/>
      <c r="I59" s="1" t="n"/>
      <c r="J59" s="1" t="n"/>
      <c r="K59" s="1" t="n"/>
      <c r="L59" s="1" t="n"/>
      <c r="M59" s="1" t="n"/>
      <c r="N59" s="1" t="n"/>
      <c r="O59" s="1" t="n"/>
    </row>
    <row r="60"/>
    <row r="61" ht="28" customHeight="1">
      <c r="B61" s="14" t="inlineStr">
        <is>
          <t>Bullet 1</t>
        </is>
      </c>
      <c r="C61" s="84" t="inlineStr"/>
      <c r="D61" s="75" t="n"/>
      <c r="E61" s="75" t="n"/>
      <c r="F61" s="75" t="n"/>
      <c r="G61" s="75" t="n"/>
      <c r="H61" s="75" t="n"/>
      <c r="I61" s="75" t="n"/>
      <c r="J61" s="75" t="n"/>
      <c r="K61" s="75" t="n"/>
      <c r="L61" s="75" t="n"/>
      <c r="M61" s="75" t="n"/>
      <c r="N61" s="75" t="n"/>
      <c r="O61" s="76" t="n"/>
    </row>
    <row r="62" ht="28" customHeight="1">
      <c r="B62" s="14" t="inlineStr">
        <is>
          <t>Bullet 2</t>
        </is>
      </c>
      <c r="C62" s="84" t="inlineStr"/>
      <c r="D62" s="75" t="n"/>
      <c r="E62" s="75" t="n"/>
      <c r="F62" s="75" t="n"/>
      <c r="G62" s="75" t="n"/>
      <c r="H62" s="75" t="n"/>
      <c r="I62" s="75" t="n"/>
      <c r="J62" s="75" t="n"/>
      <c r="K62" s="75" t="n"/>
      <c r="L62" s="75" t="n"/>
      <c r="M62" s="75" t="n"/>
      <c r="N62" s="75" t="n"/>
      <c r="O62" s="76" t="n"/>
    </row>
    <row r="63" ht="28" customHeight="1">
      <c r="B63" s="14" t="inlineStr">
        <is>
          <t>Bullet 3</t>
        </is>
      </c>
      <c r="C63" s="84" t="inlineStr"/>
      <c r="D63" s="75" t="n"/>
      <c r="E63" s="75" t="n"/>
      <c r="F63" s="75" t="n"/>
      <c r="G63" s="75" t="n"/>
      <c r="H63" s="75" t="n"/>
      <c r="I63" s="75" t="n"/>
      <c r="J63" s="75" t="n"/>
      <c r="K63" s="75" t="n"/>
      <c r="L63" s="75" t="n"/>
      <c r="M63" s="75" t="n"/>
      <c r="N63" s="75" t="n"/>
      <c r="O63" s="76" t="n"/>
    </row>
    <row r="64" ht="28" customHeight="1">
      <c r="B64" s="14" t="inlineStr">
        <is>
          <t>Bullet 4</t>
        </is>
      </c>
      <c r="C64" s="84" t="inlineStr"/>
      <c r="D64" s="75" t="n"/>
      <c r="E64" s="75" t="n"/>
      <c r="F64" s="75" t="n"/>
      <c r="G64" s="75" t="n"/>
      <c r="H64" s="75" t="n"/>
      <c r="I64" s="75" t="n"/>
      <c r="J64" s="75" t="n"/>
      <c r="K64" s="75" t="n"/>
      <c r="L64" s="75" t="n"/>
      <c r="M64" s="75" t="n"/>
      <c r="N64" s="75" t="n"/>
      <c r="O64" s="76" t="n"/>
    </row>
    <row r="65" ht="28" customHeight="1">
      <c r="B65" s="14" t="inlineStr">
        <is>
          <t>Bullet 5</t>
        </is>
      </c>
      <c r="C65" s="84" t="inlineStr"/>
      <c r="D65" s="75" t="n"/>
      <c r="E65" s="75" t="n"/>
      <c r="F65" s="75" t="n"/>
      <c r="G65" s="75" t="n"/>
      <c r="H65" s="75" t="n"/>
      <c r="I65" s="75" t="n"/>
      <c r="J65" s="75" t="n"/>
      <c r="K65" s="75" t="n"/>
      <c r="L65" s="75" t="n"/>
      <c r="M65" s="75" t="n"/>
      <c r="N65" s="75" t="n"/>
      <c r="O65" s="76" t="n"/>
    </row>
    <row r="66" ht="28" customHeight="1">
      <c r="B66" s="14" t="inlineStr">
        <is>
          <t>Bullet 6</t>
        </is>
      </c>
      <c r="C66" s="84" t="inlineStr"/>
      <c r="D66" s="75" t="n"/>
      <c r="E66" s="75" t="n"/>
      <c r="F66" s="75" t="n"/>
      <c r="G66" s="75" t="n"/>
      <c r="H66" s="75" t="n"/>
      <c r="I66" s="75" t="n"/>
      <c r="J66" s="75" t="n"/>
      <c r="K66" s="75" t="n"/>
      <c r="L66" s="75" t="n"/>
      <c r="M66" s="75" t="n"/>
      <c r="N66" s="75" t="n"/>
      <c r="O66" s="76" t="n"/>
    </row>
    <row r="67"/>
    <row r="68"/>
    <row r="69"/>
    <row r="70">
      <c r="B70" t="inlineStr">
        <is>
          <t>B) Daily drill mode (random drill + score tracker)</t>
        </is>
      </c>
    </row>
    <row r="71" ht="34" customHeight="1">
      <c r="B71" s="69" t="inlineStr">
        <is>
          <t>Use this to train 10 minutes/day. Press F9 (recalc) to re-roll ACTIVE_DRILL if using RANDOM mode.</t>
        </is>
      </c>
      <c r="C71" s="70" t="n"/>
      <c r="D71" s="70" t="n"/>
      <c r="E71" s="70" t="n"/>
      <c r="F71" s="70" t="n"/>
      <c r="G71" s="70" t="n"/>
      <c r="H71" s="71" t="n"/>
    </row>
    <row r="72">
      <c r="B72" s="72" t="n"/>
      <c r="C72" s="73" t="n"/>
      <c r="D72" s="73" t="n"/>
      <c r="E72" s="73" t="n"/>
      <c r="F72" s="73" t="n"/>
      <c r="G72" s="73" t="n"/>
      <c r="H72" s="74" t="n"/>
    </row>
    <row r="73">
      <c r="B73" s="57" t="inlineStr">
        <is>
          <t>ACTIVE_DRILL (1–12)</t>
        </is>
      </c>
      <c r="C73" s="20">
        <f>RANDBETWEEN(1,12)</f>
        <v/>
      </c>
      <c r="E73" s="57" t="inlineStr">
        <is>
          <t>Go to drill</t>
        </is>
      </c>
      <c r="F73" s="94">
        <f>HYPERLINK("#B"&amp;CHOOSE($C$73,43,44,45,46,47,48,49,50,51,52,53,54),"Jump")</f>
        <v/>
      </c>
    </row>
    <row r="74">
      <c r="B74" s="57" t="inlineStr">
        <is>
          <t>Active drill title</t>
        </is>
      </c>
      <c r="C74" s="69">
        <f>INDEX($C$43:$C$54,$C$73)</f>
        <v/>
      </c>
      <c r="D74" s="75" t="n"/>
      <c r="E74" s="75" t="n"/>
      <c r="F74" s="75" t="n"/>
      <c r="G74" s="75" t="n"/>
      <c r="H74" s="76" t="n"/>
    </row>
    <row r="75">
      <c r="B75" s="57" t="inlineStr">
        <is>
          <t>Active drill status</t>
        </is>
      </c>
      <c r="C75" s="82">
        <f>INDEX($F$43:$F$54,$C$73)</f>
        <v/>
      </c>
    </row>
    <row r="76"/>
    <row r="77">
      <c r="B77" t="inlineStr">
        <is>
          <t>Daily log (fill one row per attempt)</t>
        </is>
      </c>
    </row>
    <row r="78" ht="24" customHeight="1">
      <c r="B78" s="65" t="inlineStr">
        <is>
          <t>Date</t>
        </is>
      </c>
      <c r="C78" s="65" t="inlineStr">
        <is>
          <t>Drill #</t>
        </is>
      </c>
      <c r="D78" s="65" t="inlineStr">
        <is>
          <t>Result (PASS/FAIL)</t>
        </is>
      </c>
      <c r="E78" s="65" t="inlineStr">
        <is>
          <t>Notes</t>
        </is>
      </c>
    </row>
    <row r="79" ht="18" customHeight="1">
      <c r="B79" s="62" t="n"/>
      <c r="C79" s="62" t="n"/>
      <c r="D79" s="62" t="n"/>
      <c r="E79" s="62" t="n"/>
    </row>
    <row r="80" ht="18" customHeight="1">
      <c r="B80" s="62" t="n"/>
      <c r="C80" s="62" t="n"/>
      <c r="D80" s="62" t="n"/>
      <c r="E80" s="62" t="n"/>
    </row>
    <row r="81" ht="18" customHeight="1">
      <c r="B81" s="62" t="n"/>
      <c r="C81" s="62" t="n"/>
      <c r="D81" s="62" t="n"/>
      <c r="E81" s="62" t="n"/>
    </row>
    <row r="82" ht="18" customHeight="1">
      <c r="B82" s="62" t="n"/>
      <c r="C82" s="62" t="n"/>
      <c r="D82" s="62" t="n"/>
      <c r="E82" s="62" t="n"/>
    </row>
    <row r="83" ht="18" customHeight="1">
      <c r="B83" s="62" t="n"/>
      <c r="C83" s="62" t="n"/>
      <c r="D83" s="62" t="n"/>
      <c r="E83" s="62" t="n"/>
    </row>
    <row r="84" ht="18" customHeight="1">
      <c r="B84" s="62" t="n"/>
      <c r="C84" s="62" t="n"/>
      <c r="D84" s="62" t="n"/>
      <c r="E84" s="62" t="n"/>
    </row>
    <row r="85" ht="18" customHeight="1">
      <c r="B85" s="62" t="n"/>
      <c r="C85" s="62" t="n"/>
      <c r="D85" s="62" t="n"/>
      <c r="E85" s="62" t="n"/>
    </row>
    <row r="86" ht="18" customHeight="1">
      <c r="B86" s="62" t="n"/>
      <c r="C86" s="62" t="n"/>
      <c r="D86" s="62" t="n"/>
      <c r="E86" s="62" t="n"/>
    </row>
    <row r="87" ht="18" customHeight="1">
      <c r="B87" s="62" t="n"/>
      <c r="C87" s="62" t="n"/>
      <c r="D87" s="62" t="n"/>
      <c r="E87" s="62" t="n"/>
    </row>
    <row r="88" ht="18" customHeight="1">
      <c r="B88" s="62" t="n"/>
      <c r="C88" s="62" t="n"/>
      <c r="D88" s="62" t="n"/>
      <c r="E88" s="62" t="n"/>
    </row>
    <row r="89" ht="18" customHeight="1">
      <c r="B89" s="62" t="n"/>
      <c r="C89" s="62" t="n"/>
      <c r="D89" s="62" t="n"/>
      <c r="E89" s="62" t="n"/>
    </row>
    <row r="90" ht="18" customHeight="1">
      <c r="B90" s="62" t="n"/>
      <c r="C90" s="62" t="n"/>
      <c r="D90" s="62" t="n"/>
      <c r="E90" s="62" t="n"/>
    </row>
    <row r="91" ht="18" customHeight="1">
      <c r="B91" s="62" t="n"/>
      <c r="C91" s="62" t="n"/>
      <c r="D91" s="62" t="n"/>
      <c r="E91" s="62" t="n"/>
    </row>
    <row r="92" ht="18" customHeight="1">
      <c r="B92" s="62" t="n"/>
      <c r="C92" s="62" t="n"/>
      <c r="D92" s="62" t="n"/>
      <c r="E92" s="62" t="n"/>
    </row>
    <row r="93" ht="18" customHeight="1">
      <c r="B93" s="62" t="n"/>
      <c r="C93" s="62" t="n"/>
      <c r="D93" s="62" t="n"/>
      <c r="E93" s="62" t="n"/>
    </row>
    <row r="94" ht="18" customHeight="1">
      <c r="B94" s="62" t="n"/>
      <c r="C94" s="62" t="n"/>
      <c r="D94" s="62" t="n"/>
      <c r="E94" s="62" t="n"/>
    </row>
    <row r="95" ht="18" customHeight="1">
      <c r="B95" s="62" t="n"/>
      <c r="C95" s="62" t="n"/>
      <c r="D95" s="62" t="n"/>
      <c r="E95" s="62" t="n"/>
    </row>
    <row r="96" ht="18" customHeight="1">
      <c r="B96" s="62" t="n"/>
      <c r="C96" s="62" t="n"/>
      <c r="D96" s="62" t="n"/>
      <c r="E96" s="62" t="n"/>
    </row>
    <row r="97" ht="18" customHeight="1">
      <c r="B97" s="62" t="n"/>
      <c r="C97" s="62" t="n"/>
      <c r="D97" s="62" t="n"/>
      <c r="E97" s="62" t="n"/>
    </row>
    <row r="98" ht="18" customHeight="1">
      <c r="B98" s="62" t="n"/>
      <c r="C98" s="62" t="n"/>
      <c r="D98" s="62" t="n"/>
      <c r="E98" s="62" t="n"/>
    </row>
    <row r="99" ht="18" customHeight="1">
      <c r="B99" s="62" t="n"/>
      <c r="C99" s="62" t="n"/>
      <c r="D99" s="62" t="n"/>
      <c r="E99" s="62" t="n"/>
    </row>
    <row r="100" ht="18" customHeight="1">
      <c r="B100" s="62" t="n"/>
      <c r="C100" s="62" t="n"/>
      <c r="D100" s="62" t="n"/>
      <c r="E100" s="62" t="n"/>
    </row>
    <row r="101" ht="18" customHeight="1">
      <c r="B101" s="62" t="n"/>
      <c r="C101" s="62" t="n"/>
      <c r="D101" s="62" t="n"/>
      <c r="E101" s="62" t="n"/>
    </row>
    <row r="102" ht="18" customHeight="1">
      <c r="B102" s="62" t="n"/>
      <c r="C102" s="62" t="n"/>
      <c r="D102" s="62" t="n"/>
      <c r="E102" s="62" t="n"/>
    </row>
    <row r="103" ht="18" customHeight="1">
      <c r="B103" s="62" t="n"/>
      <c r="C103" s="62" t="n"/>
      <c r="D103" s="62" t="n"/>
      <c r="E103" s="62" t="n"/>
    </row>
    <row r="104" ht="18" customHeight="1">
      <c r="B104" s="62" t="n"/>
      <c r="C104" s="62" t="n"/>
      <c r="D104" s="62" t="n"/>
      <c r="E104" s="62" t="n"/>
    </row>
    <row r="105" ht="18" customHeight="1">
      <c r="B105" s="62" t="n"/>
      <c r="C105" s="62" t="n"/>
      <c r="D105" s="62" t="n"/>
      <c r="E105" s="62" t="n"/>
    </row>
    <row r="106" ht="18" customHeight="1">
      <c r="B106" s="62" t="n"/>
      <c r="C106" s="62" t="n"/>
      <c r="D106" s="62" t="n"/>
      <c r="E106" s="62" t="n"/>
    </row>
    <row r="107" ht="18" customHeight="1">
      <c r="B107" s="62" t="n"/>
      <c r="C107" s="62" t="n"/>
      <c r="D107" s="62" t="n"/>
      <c r="E107" s="62" t="n"/>
    </row>
    <row r="108" ht="18" customHeight="1">
      <c r="B108" s="62" t="n"/>
      <c r="C108" s="62" t="n"/>
      <c r="D108" s="62" t="n"/>
      <c r="E108" s="62" t="n"/>
    </row>
    <row r="110">
      <c r="B110" s="58" t="inlineStr">
        <is>
          <t>Attempts</t>
        </is>
      </c>
      <c r="C110" s="95">
        <f>COUNTA(C79:C108)</f>
        <v/>
      </c>
      <c r="E110" s="57" t="inlineStr">
        <is>
          <t>Pass rate</t>
        </is>
      </c>
      <c r="F110" s="85">
        <f>IF(C110=0,"",C111/C110)</f>
        <v/>
      </c>
    </row>
    <row r="111">
      <c r="B111" s="58" t="inlineStr">
        <is>
          <t>Passes</t>
        </is>
      </c>
      <c r="C111" s="95">
        <f>COUNTIF(D79:D108,"PASS")</f>
        <v/>
      </c>
    </row>
  </sheetData>
  <mergeCells count="21">
    <mergeCell ref="B65"/>
    <mergeCell ref="C61:O61"/>
    <mergeCell ref="B71:H72"/>
    <mergeCell ref="B25:F25"/>
    <mergeCell ref="B64"/>
    <mergeCell ref="B63"/>
    <mergeCell ref="C66:O66"/>
    <mergeCell ref="B62"/>
    <mergeCell ref="C41:D41"/>
    <mergeCell ref="F19"/>
    <mergeCell ref="B66"/>
    <mergeCell ref="C62:O62"/>
    <mergeCell ref="D23:F23"/>
    <mergeCell ref="B77:H77"/>
    <mergeCell ref="C64:O64"/>
    <mergeCell ref="B70:H70"/>
    <mergeCell ref="C65:O65"/>
    <mergeCell ref="C63:O63"/>
    <mergeCell ref="B61"/>
    <mergeCell ref="C74:H74"/>
    <mergeCell ref="E41:F4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B2:H44"/>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2.5" customWidth="1" min="1" max="1"/>
    <col width="16" customWidth="1" min="2" max="2"/>
    <col width="28" customWidth="1" min="3" max="3"/>
    <col width="26" customWidth="1" min="4" max="4"/>
    <col width="24" customWidth="1" min="5" max="5"/>
    <col width="22" customWidth="1" min="6" max="6"/>
    <col width="18" customWidth="1" min="7" max="7"/>
    <col width="12" customWidth="1" min="8" max="8"/>
    <col width="2" customWidth="1" min="9" max="9"/>
  </cols>
  <sheetData>
    <row r="2" ht="24" customHeight="1">
      <c r="B2" s="1" t="inlineStr">
        <is>
          <t>IPO Model Learning Layer | 85_IPO_LEARN_MISTAKES (Mistake Library + Training Mode)</t>
        </is>
      </c>
      <c r="C2" s="1" t="n"/>
      <c r="D2" s="1" t="n"/>
      <c r="E2" s="1" t="n"/>
      <c r="F2" s="1" t="n"/>
      <c r="G2" s="1" t="n"/>
      <c r="H2" s="1" t="n"/>
    </row>
    <row r="4" ht="44" customHeight="1">
      <c r="B4" s="57" t="inlineStr">
        <is>
          <t>Purpose: A practical library of common IPO-model mistakes and how to catch/fix them. Optional TRAINING_MODE provides simulated issues + an answer key (safe, no core calculation changes).</t>
        </is>
      </c>
    </row>
    <row r="5"/>
    <row r="7">
      <c r="B7" t="inlineStr">
        <is>
          <t>A) Mistake library (25) | grouped by category</t>
        </is>
      </c>
    </row>
    <row r="8" ht="26" customHeight="1">
      <c r="B8" s="65" t="inlineStr">
        <is>
          <t>Category</t>
        </is>
      </c>
      <c r="C8" s="65" t="inlineStr">
        <is>
          <t>Mistake</t>
        </is>
      </c>
      <c r="D8" s="65" t="inlineStr">
        <is>
          <t>What it breaks (KPI / check)</t>
        </is>
      </c>
      <c r="E8" s="65" t="inlineStr">
        <is>
          <t>How to spot (sanity check)</t>
        </is>
      </c>
      <c r="F8" s="65" t="inlineStr">
        <is>
          <t>Fix (where)</t>
        </is>
      </c>
      <c r="G8" s="65" t="inlineStr">
        <is>
          <t>Link</t>
        </is>
      </c>
    </row>
    <row r="9" ht="60" customHeight="1">
      <c r="B9" s="58" t="inlineStr">
        <is>
          <t>Share mechanics</t>
        </is>
      </c>
      <c r="C9" s="62" t="inlineStr">
        <is>
          <t>Using pre-shares instead of post-shares for market cap</t>
        </is>
      </c>
      <c r="D9" s="62" t="inlineStr">
        <is>
          <t>Market cap, EV, multiples; 80 KPI: Market Cap</t>
        </is>
      </c>
      <c r="E9" s="62" t="inlineStr">
        <is>
          <t>Market cap should equal offer price * post shares (check 13_METRICS)</t>
        </is>
      </c>
      <c r="F9" s="62" t="inlineStr">
        <is>
          <t>Use POST_SHARES (10_CAP_TABLE) not pre shares</t>
        </is>
      </c>
      <c r="G9" s="96">
        <f>HYPERLINK("#'80_IPO_LEARN_MAP'!B14","KPI map")</f>
        <v/>
      </c>
    </row>
    <row r="10" ht="60" customHeight="1">
      <c r="B10" s="58" t="inlineStr">
        <is>
          <t>Share mechanics</t>
        </is>
      </c>
      <c r="C10" s="62" t="inlineStr">
        <is>
          <t>Greenshoe included in float but not in sold shares (or vice versa)</t>
        </is>
      </c>
      <c r="D10" s="62" t="inlineStr">
        <is>
          <t>Free float %, total sold, ownership</t>
        </is>
      </c>
      <c r="E10" s="62" t="inlineStr">
        <is>
          <t>Compare 09_OFFER_STRUCTURE greenshoe shares to cap table free float shares</t>
        </is>
      </c>
      <c r="F10" s="62" t="inlineStr">
        <is>
          <t>Align inclusion: confirm whether float includes greenshoe and document in dashboard cue</t>
        </is>
      </c>
      <c r="G10" s="96">
        <f>HYPERLINK("#'80_IPO_LEARN_MAP'!B14","KPI map")</f>
        <v/>
      </c>
    </row>
    <row r="11" ht="60" customHeight="1">
      <c r="B11" s="58" t="inlineStr">
        <is>
          <t>Share mechanics</t>
        </is>
      </c>
      <c r="C11" s="62" t="inlineStr">
        <is>
          <t>Secondary shares treated as dilution</t>
        </is>
      </c>
      <c r="D11" s="62" t="inlineStr">
        <is>
          <t>Dilution metric overstated; board optics</t>
        </is>
      </c>
      <c r="E11" s="62" t="inlineStr">
        <is>
          <t>Dilution should move only with PRIMARY_SHARES, not with secondary</t>
        </is>
      </c>
      <c r="F11" s="62" t="inlineStr">
        <is>
          <t>Use dilution formula based on new shares / post shares (10_CAP_TABLE)</t>
        </is>
      </c>
      <c r="G11" s="96">
        <f>HYPERLINK("#'80_IPO_LEARN_MAP'!B14","KPI map")</f>
        <v/>
      </c>
    </row>
    <row r="12" ht="60" customHeight="1">
      <c r="B12" s="58" t="inlineStr">
        <is>
          <t>Share mechanics</t>
        </is>
      </c>
      <c r="C12" s="62" t="inlineStr">
        <is>
          <t>Total shares sold != primary + secondary (+ greenshoe)</t>
        </is>
      </c>
      <c r="D12" s="62" t="inlineStr">
        <is>
          <t>Gross proceeds, float, disclosures; 90_CHECKS offer shares tie</t>
        </is>
      </c>
      <c r="E12" s="62" t="inlineStr">
        <is>
          <t>Check 90_CHECKS ‘Offer shares tie’ PASS/FAIL</t>
        </is>
      </c>
      <c r="F12" s="62" t="inlineStr">
        <is>
          <t>Trace inputs in 01_CONTROL (secondary %, greenshoe %) and 09_OFFER_STRUCTURE</t>
        </is>
      </c>
      <c r="G12" s="96">
        <f>HYPERLINK("#'80_IPO_LEARN_MAP'!B14","KPI map")</f>
        <v/>
      </c>
    </row>
    <row r="13" ht="60" customHeight="1">
      <c r="B13" s="58" t="inlineStr">
        <is>
          <t>Share mechanics</t>
        </is>
      </c>
      <c r="C13" s="62" t="inlineStr">
        <is>
          <t>Free float denominator wrong (pre vs post)</t>
        </is>
      </c>
      <c r="D13" s="62" t="inlineStr">
        <is>
          <t>Free float % misreported</t>
        </is>
      </c>
      <c r="E13" s="62" t="inlineStr">
        <is>
          <t>Float % should be free float shares / post shares</t>
        </is>
      </c>
      <c r="F13" s="62" t="inlineStr">
        <is>
          <t>Use POST_SHARES in denominator (10_CAP_TABLE)</t>
        </is>
      </c>
      <c r="G13" s="96">
        <f>HYPERLINK("#'80_IPO_LEARN_MAP'!B14","KPI map")</f>
        <v/>
      </c>
    </row>
    <row r="14" ht="60" customHeight="1">
      <c r="B14" s="58" t="inlineStr">
        <is>
          <t>Proceeds &amp; fees</t>
        </is>
      </c>
      <c r="C14" s="62" t="inlineStr">
        <is>
          <t>Gross proceeds confused with company cash</t>
        </is>
      </c>
      <c r="D14" s="62" t="inlineStr">
        <is>
          <t>Use of proceeds narrative wrong; pro forma cash wrong</t>
        </is>
      </c>
      <c r="E14" s="62" t="inlineStr">
        <is>
          <t>Company cash should equal NET_PROCEEDS_CO, not gross</t>
        </is>
      </c>
      <c r="F14" s="62" t="inlineStr">
        <is>
          <t>Use 09_OFFER_STRUCTURE net proceeds line; link 11_PRO_FORMA_BS to it</t>
        </is>
      </c>
      <c r="G14" s="96">
        <f>HYPERLINK("#'90_CHECKS'!B6","Checks")</f>
        <v/>
      </c>
    </row>
    <row r="15" ht="60" customHeight="1">
      <c r="B15" s="58" t="inlineStr">
        <is>
          <t>Proceeds &amp; fees</t>
        </is>
      </c>
      <c r="C15" s="62" t="inlineStr">
        <is>
          <t>Fees applied to net proceeds instead of gross (or wrong base)</t>
        </is>
      </c>
      <c r="D15" s="62" t="inlineStr">
        <is>
          <t>Net proceeds wrong; 90_CHECKS fees check</t>
        </is>
      </c>
      <c r="E15" s="62" t="inlineStr">
        <is>
          <t>Recompute: fee % * gross proceeds (unless otherwise defined)</t>
        </is>
      </c>
      <c r="F15" s="62" t="inlineStr">
        <is>
          <t>01_CONTROL underwriting fee % and 09 gross-to-net bridge</t>
        </is>
      </c>
      <c r="G15" s="96">
        <f>HYPERLINK("#'90_CHECKS'!B6","Checks")</f>
        <v/>
      </c>
    </row>
    <row r="16" ht="60" customHeight="1">
      <c r="B16" s="58" t="inlineStr">
        <is>
          <t>Proceeds &amp; fees</t>
        </is>
      </c>
      <c r="C16" s="62" t="inlineStr">
        <is>
          <t>Other transaction costs sign wrong (negative)</t>
        </is>
      </c>
      <c r="D16" s="62" t="inlineStr">
        <is>
          <t>Net proceeds inflated; 90_CHECKS fees check</t>
        </is>
      </c>
      <c r="E16" s="62" t="inlineStr">
        <is>
          <t>90_CHECKS ‘Fees / costs non-negative’ should fail if negative</t>
        </is>
      </c>
      <c r="F16" s="62" t="inlineStr">
        <is>
          <t>01_CONTROL other costs must be &gt;=0; confirm units (DKKm)</t>
        </is>
      </c>
      <c r="G16" s="96">
        <f>HYPERLINK("#'90_CHECKS'!B6","Checks")</f>
        <v/>
      </c>
    </row>
    <row r="17" ht="60" customHeight="1">
      <c r="B17" s="58" t="inlineStr">
        <is>
          <t>Proceeds &amp; fees</t>
        </is>
      </c>
      <c r="C17" s="62" t="inlineStr">
        <is>
          <t>Primary/secondary allocation inconsistent across tabs</t>
        </is>
      </c>
      <c r="D17" s="62" t="inlineStr">
        <is>
          <t>Company cash and ownership inconsistent</t>
        </is>
      </c>
      <c r="E17" s="62" t="inlineStr">
        <is>
          <t>Tie 09 primary/secondary to 10 cap table and 11 pro forma</t>
        </is>
      </c>
      <c r="F17" s="62" t="inlineStr">
        <is>
          <t>Use 01_CONTROL secondary % as single source of truth</t>
        </is>
      </c>
      <c r="G17" s="96">
        <f>HYPERLINK("#'90_CHECKS'!B6","Checks")</f>
        <v/>
      </c>
    </row>
    <row r="18" ht="60" customHeight="1">
      <c r="B18" s="58" t="inlineStr">
        <is>
          <t>Definitions</t>
        </is>
      </c>
      <c r="C18" s="62" t="inlineStr">
        <is>
          <t>Net debt sign convention inconsistent (cash minus debt vs debt minus cash)</t>
        </is>
      </c>
      <c r="D18" s="62" t="inlineStr">
        <is>
          <t>EV bridge wrong; multiples wrong</t>
        </is>
      </c>
      <c r="E18" s="62" t="inlineStr">
        <is>
          <t>EV should increase when net debt increases (positive debt)</t>
        </is>
      </c>
      <c r="F18" s="62" t="inlineStr">
        <is>
          <t>Confirm NET_DEBT_POST definition used in 13_METRICS</t>
        </is>
      </c>
      <c r="G18" s="96">
        <f>HYPERLINK("#'90_CHECKS'!B6","Checks")</f>
        <v/>
      </c>
    </row>
    <row r="19" ht="60" customHeight="1">
      <c r="B19" s="58" t="inlineStr">
        <is>
          <t>Definitions</t>
        </is>
      </c>
      <c r="C19" s="62" t="inlineStr">
        <is>
          <t>Net debt definition differs between comps and model (leases/pensions)</t>
        </is>
      </c>
      <c r="D19" s="62" t="inlineStr">
        <is>
          <t>Comps triangulation misleading</t>
        </is>
      </c>
      <c r="E19" s="62" t="inlineStr">
        <is>
          <t>Same metric basis required: LTM/NTM, leases included?</t>
        </is>
      </c>
      <c r="F19" s="62" t="inlineStr">
        <is>
          <t>Document definition in 86 module and adjust definition toggles if present</t>
        </is>
      </c>
      <c r="G19" s="96">
        <f>HYPERLINK("#'90_CHECKS'!B6","Checks")</f>
        <v/>
      </c>
    </row>
    <row r="20" ht="60" customHeight="1">
      <c r="B20" s="58" t="inlineStr">
        <is>
          <t>Definitions</t>
        </is>
      </c>
      <c r="C20" s="62" t="inlineStr">
        <is>
          <t>LTM vs NTM mismatched across peers and issuer</t>
        </is>
      </c>
      <c r="D20" s="62" t="inlineStr">
        <is>
          <t>Multiple selection invalid</t>
        </is>
      </c>
      <c r="E20" s="62" t="inlineStr">
        <is>
          <t>Peer multiples should match issuer metric period</t>
        </is>
      </c>
      <c r="F20" s="62" t="inlineStr">
        <is>
          <t>Ensure NTM EBITDA used with NTM peer multiple; document in comps notes</t>
        </is>
      </c>
      <c r="G20" s="96">
        <f>HYPERLINK("#'90_CHECKS'!B6","Checks")</f>
        <v/>
      </c>
    </row>
    <row r="21" ht="60" customHeight="1">
      <c r="B21" s="58" t="inlineStr">
        <is>
          <t>Valuation (comps)</t>
        </is>
      </c>
      <c r="C21" s="62" t="inlineStr">
        <is>
          <t>Wrong metric mapping (Revenue vs EBITDA) used for implied EV</t>
        </is>
      </c>
      <c r="D21" s="62" t="inlineStr">
        <is>
          <t>Implied price wrong; football field wrong</t>
        </is>
      </c>
      <c r="E21" s="62" t="inlineStr">
        <is>
          <t>Implied EV should equal multiple * selected metric (cell trace)</t>
        </is>
      </c>
      <c r="F21" s="62" t="inlineStr">
        <is>
          <t>Check 06_VALUATION_COMPS implied EV formula and metric cell references</t>
        </is>
      </c>
      <c r="G21" s="96">
        <f>HYPERLINK("#'81_IPO_LEARN_FORMULAS'!B33","Formulas")</f>
        <v/>
      </c>
    </row>
    <row r="22" ht="60" customHeight="1">
      <c r="B22" s="58" t="inlineStr">
        <is>
          <t>Valuation (comps)</t>
        </is>
      </c>
      <c r="C22" s="62" t="inlineStr">
        <is>
          <t>Currency mismatch (peer metrics vs issuer metrics)</t>
        </is>
      </c>
      <c r="D22" s="62" t="inlineStr">
        <is>
          <t>Implied EV wrong by FX factor</t>
        </is>
      </c>
      <c r="E22" s="62" t="inlineStr">
        <is>
          <t>Spot if implied EV is off by ~7.45 or similar FX multiple</t>
        </is>
      </c>
      <c r="F22" s="62" t="inlineStr">
        <is>
          <t>Confirm all values in same currency and unit; add FX conversion if needed</t>
        </is>
      </c>
      <c r="G22" s="96">
        <f>HYPERLINK("#'81_IPO_LEARN_FORMULAS'!B33","Formulas")</f>
        <v/>
      </c>
    </row>
    <row r="23" ht="60" customHeight="1">
      <c r="B23" s="58" t="inlineStr">
        <is>
          <t>Valuation (comps)</t>
        </is>
      </c>
      <c r="C23" s="62" t="inlineStr">
        <is>
          <t>Using mean when distribution skewed (outliers)</t>
        </is>
      </c>
      <c r="D23" s="62" t="inlineStr">
        <is>
          <t>Range too aggressive</t>
        </is>
      </c>
      <c r="E23" s="62" t="inlineStr">
        <is>
          <t>Compare median vs mean; check peer dispersion</t>
        </is>
      </c>
      <c r="F23" s="62" t="inlineStr">
        <is>
          <t>Prefer median / trimmed mean and document outliers; keep range defendable</t>
        </is>
      </c>
      <c r="G23" s="96">
        <f>HYPERLINK("#'81_IPO_LEARN_FORMULAS'!B33","Formulas")</f>
        <v/>
      </c>
    </row>
    <row r="24" ht="60" customHeight="1">
      <c r="B24" s="58" t="inlineStr">
        <is>
          <t>DCF</t>
        </is>
      </c>
      <c r="C24" s="62" t="inlineStr">
        <is>
          <t>WACC / terminal growth inconsistent (g &gt;= WACC)</t>
        </is>
      </c>
      <c r="D24" s="62" t="inlineStr">
        <is>
          <t>Terminal value blows up; range unrealistic</t>
        </is>
      </c>
      <c r="E24" s="62" t="inlineStr">
        <is>
          <t>Sanity: WACC must be &gt; g, typically by several pp</t>
        </is>
      </c>
      <c r="F24" s="62" t="inlineStr">
        <is>
          <t>01_CONTROL WACC and TERM_G; enforce checks in DCF module</t>
        </is>
      </c>
      <c r="G24" s="96">
        <f>HYPERLINK("#'81_IPO_LEARN_FORMULAS'!B33","Formulas")</f>
        <v/>
      </c>
    </row>
    <row r="25" ht="60" customHeight="1">
      <c r="B25" s="58" t="inlineStr">
        <is>
          <t>DCF</t>
        </is>
      </c>
      <c r="C25" s="62" t="inlineStr">
        <is>
          <t>Mid-year convention mismatch (half-year shift not applied)</t>
        </is>
      </c>
      <c r="D25" s="62" t="inlineStr">
        <is>
          <t>DCF EV overstated/understated</t>
        </is>
      </c>
      <c r="E25" s="62" t="inlineStr">
        <is>
          <t>Compare PV factor logic vs timing of cash flows</t>
        </is>
      </c>
      <c r="F25" s="62" t="inlineStr">
        <is>
          <t>Align PV timing; document whether mid-year is used</t>
        </is>
      </c>
      <c r="G25" s="96">
        <f>HYPERLINK("#'81_IPO_LEARN_FORMULAS'!B33","Formulas")</f>
        <v/>
      </c>
    </row>
    <row r="26" ht="60" customHeight="1">
      <c r="B26" s="58" t="inlineStr">
        <is>
          <t>DCF</t>
        </is>
      </c>
      <c r="C26" s="62" t="inlineStr">
        <is>
          <t>Terminal value calculated on wrong year cash flow</t>
        </is>
      </c>
      <c r="D26" s="62" t="inlineStr">
        <is>
          <t>DCF EV wrong</t>
        </is>
      </c>
      <c r="E26" s="62" t="inlineStr">
        <is>
          <t>Terminal base should be final forecast year FCF</t>
        </is>
      </c>
      <c r="F26" s="62" t="inlineStr">
        <is>
          <t>Trace terminal value cell to last-year FCF</t>
        </is>
      </c>
      <c r="G26" s="96">
        <f>HYPERLINK("#'81_IPO_LEARN_FORMULAS'!B33","Formulas")</f>
        <v/>
      </c>
    </row>
    <row r="27" ht="60" customHeight="1">
      <c r="B27" s="58" t="inlineStr">
        <is>
          <t>Presentation</t>
        </is>
      </c>
      <c r="C27" s="62" t="inlineStr">
        <is>
          <t>Range narrative uses inconsistent ‘Low/Base/High’ vs ‘Downside/Base/Upside’</t>
        </is>
      </c>
      <c r="D27" s="62" t="inlineStr">
        <is>
          <t>Confuses readers and clients</t>
        </is>
      </c>
      <c r="E27" s="62" t="inlineStr">
        <is>
          <t>If asked, clarify price-range vs fundamentals scenario</t>
        </is>
      </c>
      <c r="F27" s="62" t="inlineStr">
        <is>
          <t>Keep two axes explicit: Price (Low/Base/High) and Fundamentals (Down/Base/Up)</t>
        </is>
      </c>
      <c r="G27" s="96">
        <f>HYPERLINK("#'90_CHECKS'!B6","Checks")</f>
        <v/>
      </c>
    </row>
    <row r="28" ht="60" customHeight="1">
      <c r="B28" s="58" t="inlineStr">
        <is>
          <t>Presentation</t>
        </is>
      </c>
      <c r="C28" s="62" t="inlineStr">
        <is>
          <t>Dashboard tiles not traceable (no references)</t>
        </is>
      </c>
      <c r="D28" s="62" t="inlineStr">
        <is>
          <t>Model not auditable</t>
        </is>
      </c>
      <c r="E28" s="62" t="inlineStr">
        <is>
          <t>Each tile must tie to a calc block cell</t>
        </is>
      </c>
      <c r="F28" s="62" t="inlineStr">
        <is>
          <t>Use the MAP tab hyperlinks; avoid hardcodes on dashboard</t>
        </is>
      </c>
      <c r="G28" s="96">
        <f>HYPERLINK("#'90_CHECKS'!B6","Checks")</f>
        <v/>
      </c>
    </row>
    <row r="29" ht="60" customHeight="1">
      <c r="B29" s="58" t="inlineStr">
        <is>
          <t>Model hygiene</t>
        </is>
      </c>
      <c r="C29" s="62" t="inlineStr">
        <is>
          <t>Hardcoded numbers inside calc blocks</t>
        </is>
      </c>
      <c r="D29" s="62" t="inlineStr">
        <is>
          <t>Breaks updates; audit risk</t>
        </is>
      </c>
      <c r="E29" s="62" t="inlineStr">
        <is>
          <t>Use Find: constants; sanity with 90_CHECKS</t>
        </is>
      </c>
      <c r="F29" s="62" t="inlineStr">
        <is>
          <t>Replace with links to input cells or named ranges; document</t>
        </is>
      </c>
      <c r="G29" s="96">
        <f>HYPERLINK("#'90_CHECKS'!B6","Checks")</f>
        <v/>
      </c>
    </row>
    <row r="30" ht="60" customHeight="1">
      <c r="B30" s="58" t="inlineStr">
        <is>
          <t>Model hygiene</t>
        </is>
      </c>
      <c r="C30" s="62" t="inlineStr">
        <is>
          <t>Circular references introduced by learning layer or links</t>
        </is>
      </c>
      <c r="D30" s="62" t="inlineStr">
        <is>
          <t>Model unstable</t>
        </is>
      </c>
      <c r="E30" s="62" t="inlineStr">
        <is>
          <t>Excel warns; outputs change unexpectedly</t>
        </is>
      </c>
      <c r="F30" s="62" t="inlineStr">
        <is>
          <t>Keep learning tabs isolated; never reference back into core calcs except read-only</t>
        </is>
      </c>
      <c r="G30" s="96">
        <f>HYPERLINK("#'90_CHECKS'!B6","Checks")</f>
        <v/>
      </c>
    </row>
    <row r="31" ht="60" customHeight="1">
      <c r="B31" s="58" t="inlineStr">
        <is>
          <t>Model hygiene</t>
        </is>
      </c>
      <c r="C31" s="62" t="inlineStr">
        <is>
          <t>Named range points to wrong sheet/cell after edits</t>
        </is>
      </c>
      <c r="D31" s="62" t="inlineStr">
        <is>
          <t>Outputs break silently</t>
        </is>
      </c>
      <c r="E31" s="62" t="inlineStr">
        <is>
          <t>90_CHECKS ‘Dashboard tiles not blank’ may fail</t>
        </is>
      </c>
      <c r="F31" s="62" t="inlineStr">
        <is>
          <t>Keep named ranges stable; run Name Manager audit</t>
        </is>
      </c>
      <c r="G31" s="96">
        <f>HYPERLINK("#'90_CHECKS'!B6","Checks")</f>
        <v/>
      </c>
    </row>
    <row r="32" ht="60" customHeight="1">
      <c r="B32" s="58" t="inlineStr">
        <is>
          <t>Sanity checks</t>
        </is>
      </c>
      <c r="C32" s="62" t="inlineStr">
        <is>
          <t>EV/Revenue and EV/EBITDA move opposite direction vs price</t>
        </is>
      </c>
      <c r="D32" s="62" t="inlineStr">
        <is>
          <t>Sign error or net debt issue</t>
        </is>
      </c>
      <c r="E32" s="62" t="inlineStr">
        <is>
          <t>If price rises, Market Cap and EV should rise (all else equal)</t>
        </is>
      </c>
      <c r="F32" s="62" t="inlineStr">
        <is>
          <t>Check EV bridge sign; net debt definition; 13_METRICS formulas</t>
        </is>
      </c>
      <c r="G32" s="96">
        <f>HYPERLINK("#'90_CHECKS'!B6","Checks")</f>
        <v/>
      </c>
    </row>
    <row r="33" ht="60" customHeight="1">
      <c r="B33" s="58" t="inlineStr">
        <is>
          <t>Sanity checks</t>
        </is>
      </c>
      <c r="C33" s="62" t="inlineStr">
        <is>
          <t>Net proceeds exceed gross proceeds</t>
        </is>
      </c>
      <c r="D33" s="62" t="inlineStr">
        <is>
          <t>Fee sign or base error</t>
        </is>
      </c>
      <c r="E33" s="62" t="inlineStr">
        <is>
          <t>Net &lt;= gross always (unless rebate, unusual)</t>
        </is>
      </c>
      <c r="F33" s="62" t="inlineStr">
        <is>
          <t>Check underwriting fee %, other costs and sign conventions</t>
        </is>
      </c>
      <c r="G33" s="96">
        <f>HYPERLINK("#'90_CHECKS'!B6","Checks")</f>
        <v/>
      </c>
    </row>
    <row r="36">
      <c r="B36" t="inlineStr">
        <is>
          <t>B) TRAINING_MODE (safe) | simulated issues + answer key</t>
        </is>
      </c>
    </row>
    <row r="37">
      <c r="B37" s="57" t="inlineStr">
        <is>
          <t>TRAINING_MODE</t>
        </is>
      </c>
      <c r="C37" s="89" t="inlineStr">
        <is>
          <t>OFF</t>
        </is>
      </c>
      <c r="D37" s="97" t="inlineStr">
        <is>
          <t>(Set to ON to work through the 5 issues below. This does NOT alter core calcs automatically.)</t>
        </is>
      </c>
      <c r="E37" s="75" t="n"/>
      <c r="F37" s="75" t="n"/>
      <c r="G37" s="76" t="n"/>
    </row>
    <row r="39" ht="26" customHeight="1">
      <c r="B39" s="65" t="inlineStr">
        <is>
          <t>Issue</t>
        </is>
      </c>
      <c r="C39" s="65" t="inlineStr">
        <is>
          <t>How to reproduce (allowed inputs only)</t>
        </is>
      </c>
      <c r="D39" s="65" t="inlineStr">
        <is>
          <t>Expected check to flag</t>
        </is>
      </c>
      <c r="E39" s="65" t="inlineStr">
        <is>
          <t>Answer key (fix)</t>
        </is>
      </c>
    </row>
    <row r="40" ht="72" customHeight="1">
      <c r="B40" s="58" t="inlineStr">
        <is>
          <t>Invalid scenario selector</t>
        </is>
      </c>
      <c r="C40" s="62" t="inlineStr">
        <is>
          <t>Set 01_CONTROL!C14 to 4 (anything not 1–3).</t>
        </is>
      </c>
      <c r="D40" s="62" t="inlineStr">
        <is>
          <t>90_CHECKS ‘Scenario toggle valid’ should FAIL.</t>
        </is>
      </c>
      <c r="E40" s="62" t="inlineStr">
        <is>
          <t>Set 01_CONTROL!C14 back to 1 (Base), 2 (Upside) or 3 (Downside).</t>
        </is>
      </c>
    </row>
    <row r="41" ht="72" customHeight="1">
      <c r="B41" s="58" t="inlineStr">
        <is>
          <t>Use of proceeds not 100%</t>
        </is>
      </c>
      <c r="C41" s="62" t="inlineStr">
        <is>
          <t>Change one of: 01_CONTROL!C37:C39 so they do NOT sum to 1.00 (e.g., set Growth investment to 0.25).</t>
        </is>
      </c>
      <c r="D41" s="62" t="inlineStr">
        <is>
          <t>90_CHECKS ‘Use of proceeds sums to 100%’ should FAIL.</t>
        </is>
      </c>
      <c r="E41" s="62" t="inlineStr">
        <is>
          <t>Rebalance 01_CONTROL!C37:C39 to sum to 1.00 and match narrative.</t>
        </is>
      </c>
    </row>
    <row r="42" ht="72" customHeight="1">
      <c r="B42" s="58" t="inlineStr">
        <is>
          <t>Negative fees/costs</t>
        </is>
      </c>
      <c r="C42" s="62" t="inlineStr">
        <is>
          <t>Set 01_CONTROL!C31 to -0.01 or 01_CONTROL!C32 to -10.</t>
        </is>
      </c>
      <c r="D42" s="62" t="inlineStr">
        <is>
          <t>90_CHECKS ‘Fees / costs non-negative’ should FAIL.</t>
        </is>
      </c>
      <c r="E42" s="62" t="inlineStr">
        <is>
          <t>Set underwriting fee % and other costs back to non-negative values; confirm units.</t>
        </is>
      </c>
    </row>
    <row r="43" ht="72" customHeight="1">
      <c r="B43" s="58" t="inlineStr">
        <is>
          <t>Definition mismatch (EV bridge)</t>
        </is>
      </c>
      <c r="C43" s="62" t="inlineStr">
        <is>
          <t>Temporarily flip net debt sign by entering negative cash/debt inputs if exposed (or document mismatch as simulated).</t>
        </is>
      </c>
      <c r="D43" s="62" t="inlineStr">
        <is>
          <t>90_CHECKS may not catch automatically. Use 13_METRICS EV bridge sanity (price up -&gt; EV up).</t>
        </is>
      </c>
      <c r="E43" s="62" t="inlineStr">
        <is>
          <t>Ensure NET_DEBT_POST definition uses Debt - Cash consistently and matches comps definition.</t>
        </is>
      </c>
    </row>
    <row r="44" ht="72" customHeight="1">
      <c r="B44" s="58" t="inlineStr">
        <is>
          <t>Broken link placeholder / blank tile</t>
        </is>
      </c>
      <c r="C44" s="62" t="inlineStr">
        <is>
          <t>Clear a dashboard input cell that feeds a tile (only if model is a copy).</t>
        </is>
      </c>
      <c r="D44" s="62" t="inlineStr">
        <is>
          <t>90_CHECKS ‘Dashboard tiles not blank’ should FAIL.</t>
        </is>
      </c>
      <c r="E44" s="62" t="inlineStr">
        <is>
          <t>Restore link or re-enter the input; use 80_MAP to trace the tile to its source.</t>
        </is>
      </c>
    </row>
  </sheetData>
  <mergeCells count="4">
    <mergeCell ref="B36:G36"/>
    <mergeCell ref="D37:G37"/>
    <mergeCell ref="B7:G7"/>
    <mergeCell ref="B4:G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119"/>
  <sheetViews>
    <sheetView showGridLines="0" workbookViewId="0">
      <pane xSplit="5" ySplit="7" topLeftCell="F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8" customWidth="1" min="3" max="3"/>
    <col width="22" customWidth="1" min="4" max="4"/>
    <col width="18" customWidth="1" min="5" max="5"/>
    <col width="18" customWidth="1" min="6" max="6"/>
    <col width="34" customWidth="1" min="7" max="7"/>
    <col width="2" customWidth="1" min="8" max="8"/>
  </cols>
  <sheetData>
    <row r="1"/>
    <row r="2" ht="24" customHeight="1">
      <c r="B2" s="1" t="inlineStr">
        <is>
          <t>IPO Model Learning Layer | 86_IPO_SPECIAL_MODULE (IPO Specific Learning)</t>
        </is>
      </c>
      <c r="C2" s="1" t="n"/>
      <c r="D2" s="1" t="n"/>
      <c r="E2" s="1" t="n"/>
      <c r="F2" s="1" t="n"/>
      <c r="G2" s="1" t="n"/>
      <c r="H2" s="1" t="n"/>
      <c r="I2" s="1" t="n"/>
      <c r="J2" s="1" t="n"/>
      <c r="K2" s="1" t="n"/>
      <c r="L2" s="1" t="n"/>
      <c r="M2" s="1" t="n"/>
      <c r="N2" s="1" t="n"/>
      <c r="O2" s="1" t="n"/>
    </row>
    <row r="3"/>
    <row r="4" ht="54" customHeight="1">
      <c r="B4" s="57" t="inlineStr">
        <is>
          <t>Purpose: IPO specific mini modules. Use this tab to understand dilution and ownership tradeoffs, pro forma balance sheet mechanics, and how to defend the valuation range in meetings.</t>
        </is>
      </c>
    </row>
    <row r="5"/>
    <row r="6" ht="20" customHeight="1">
      <c r="B6" s="1" t="inlineStr">
        <is>
          <t>1) DILUTION AND OWNERSHIP SIMULATOR (PRACTICAL)</t>
        </is>
      </c>
      <c r="C6" s="1" t="n"/>
      <c r="D6" s="1" t="n"/>
      <c r="E6" s="1" t="n"/>
      <c r="F6" s="1" t="n"/>
      <c r="G6" s="1" t="n"/>
      <c r="H6" s="1" t="n"/>
      <c r="I6" s="1" t="n"/>
      <c r="J6" s="1" t="n"/>
      <c r="K6" s="1" t="n"/>
      <c r="L6" s="1" t="n"/>
      <c r="M6" s="1" t="n"/>
      <c r="N6" s="1" t="n"/>
      <c r="O6" s="1" t="n"/>
    </row>
    <row r="7"/>
    <row r="8" ht="18" customHeight="1">
      <c r="B8" s="81" t="inlineStr">
        <is>
          <t>Input</t>
        </is>
      </c>
      <c r="C8" s="81" t="inlineStr">
        <is>
          <t>Value</t>
        </is>
      </c>
      <c r="D8" s="81" t="inlineStr">
        <is>
          <t>Source</t>
        </is>
      </c>
    </row>
    <row r="9" ht="24" customHeight="1">
      <c r="B9" s="57" t="inlineStr">
        <is>
          <t>Offer price (DKK/share)</t>
        </is>
      </c>
      <c r="C9" s="83">
        <f>IPO_PX_SEL</f>
        <v/>
      </c>
      <c r="D9" s="84" t="inlineStr">
        <is>
          <t>01_CONTROL / 09_OFFER_STRUCTURE</t>
        </is>
      </c>
    </row>
    <row r="10" ht="24" customHeight="1">
      <c r="B10" s="57" t="inlineStr">
        <is>
          <t>Gross proceeds target (DKKm)</t>
        </is>
      </c>
      <c r="C10" s="83">
        <f>'01_CONTROL'!$C$27</f>
        <v/>
      </c>
      <c r="D10" s="84" t="inlineStr">
        <is>
          <t>01_CONTROL</t>
        </is>
      </c>
    </row>
    <row r="11" ht="24" customHeight="1">
      <c r="B11" s="57" t="inlineStr">
        <is>
          <t>Primary %</t>
        </is>
      </c>
      <c r="C11" s="83">
        <f>'01_CONTROL'!$C$28</f>
        <v/>
      </c>
      <c r="D11" s="84" t="inlineStr">
        <is>
          <t>01_CONTROL</t>
        </is>
      </c>
    </row>
    <row r="12" ht="24" customHeight="1">
      <c r="B12" s="57" t="inlineStr">
        <is>
          <t>Secondary %</t>
        </is>
      </c>
      <c r="C12" s="83">
        <f>'01_CONTROL'!$C$29</f>
        <v/>
      </c>
      <c r="D12" s="84" t="inlineStr">
        <is>
          <t>01_CONTROL</t>
        </is>
      </c>
    </row>
    <row r="13" ht="24" customHeight="1">
      <c r="B13" s="57" t="inlineStr">
        <is>
          <t>Greenshoe % of base sold</t>
        </is>
      </c>
      <c r="C13" s="83">
        <f>'01_CONTROL'!$C$30</f>
        <v/>
      </c>
      <c r="D13" s="84" t="inlineStr">
        <is>
          <t>01_CONTROL</t>
        </is>
      </c>
    </row>
    <row r="14"/>
    <row r="15" ht="20" customHeight="1">
      <c r="B15" s="1" t="inlineStr">
        <is>
          <t>Outputs (computed from base model)</t>
        </is>
      </c>
      <c r="C15" s="1" t="n"/>
      <c r="D15" s="1" t="n"/>
      <c r="E15" s="1" t="n"/>
      <c r="F15" s="1" t="n"/>
      <c r="G15" s="1" t="n"/>
      <c r="H15" s="1" t="n"/>
      <c r="I15" s="1" t="n"/>
      <c r="J15" s="1" t="n"/>
      <c r="K15" s="1" t="n"/>
      <c r="L15" s="1" t="n"/>
      <c r="M15" s="1" t="n"/>
      <c r="N15" s="1" t="n"/>
      <c r="O15" s="1" t="n"/>
    </row>
    <row r="16"/>
    <row r="17" ht="18" customHeight="1">
      <c r="B17" s="81" t="inlineStr">
        <is>
          <t>Output</t>
        </is>
      </c>
      <c r="C17" s="81" t="inlineStr">
        <is>
          <t>Value</t>
        </is>
      </c>
      <c r="D17" s="81" t="inlineStr">
        <is>
          <t>Interpretation cue</t>
        </is>
      </c>
      <c r="E17" s="81" t="inlineStr">
        <is>
          <t>Link</t>
        </is>
      </c>
    </row>
    <row r="18" ht="42" customHeight="1">
      <c r="B18" s="57" t="inlineStr">
        <is>
          <t>Total shares sold incl greenshoe (m)</t>
        </is>
      </c>
      <c r="C18" s="83">
        <f>SHARES_SOLD_PUBLIC*(1+'01_CONTROL'!$C$30)</f>
        <v/>
      </c>
      <c r="D18" s="84" t="inlineStr">
        <is>
          <t>Greenshoe increases sold shares and float; primary dilution is driven by new primary shares only.</t>
        </is>
      </c>
      <c r="E18" s="98">
        <f>HYPERLINK("#'09_OFFER_STRUCTURE'!B18","Go")</f>
        <v/>
      </c>
    </row>
    <row r="19" ht="42" customHeight="1">
      <c r="B19" s="57" t="inlineStr">
        <is>
          <t>Primary shares issued (m)</t>
        </is>
      </c>
      <c r="C19" s="83">
        <f>NEW_PRIMARY_SHARES</f>
        <v/>
      </c>
      <c r="D19" s="84" t="inlineStr">
        <is>
          <t>Drives cash to company and dilution.</t>
        </is>
      </c>
      <c r="E19" s="98">
        <f>HYPERLINK("#'09_OFFER_STRUCTURE'!B16","Go")</f>
        <v/>
      </c>
    </row>
    <row r="20" ht="42" customHeight="1">
      <c r="B20" s="57" t="inlineStr">
        <is>
          <t>Secondary shares sold (m)</t>
        </is>
      </c>
      <c r="C20" s="83">
        <f>SHARES_SOLD_PUBLIC-NEW_PRIMARY_SHARES</f>
        <v/>
      </c>
      <c r="D20" s="84" t="inlineStr">
        <is>
          <t>Drives float without raising cash for company.</t>
        </is>
      </c>
      <c r="E20" s="98">
        <f>HYPERLINK("#'09_OFFER_STRUCTURE'!B17","Go")</f>
        <v/>
      </c>
    </row>
    <row r="21" ht="42" customHeight="1">
      <c r="B21" s="57" t="inlineStr">
        <is>
          <t>Free float % post</t>
        </is>
      </c>
      <c r="C21" s="83">
        <f>FREE_FLOAT_PCT</f>
        <v/>
      </c>
      <c r="D21" s="84" t="inlineStr">
        <is>
          <t>Key marketability metric (liquidity).</t>
        </is>
      </c>
      <c r="E21" s="98">
        <f>HYPERLINK("#'10_CAP_TABLE'!B17","Go")</f>
        <v/>
      </c>
    </row>
    <row r="22" ht="42" customHeight="1">
      <c r="B22" s="57" t="inlineStr">
        <is>
          <t>Primary dilution %</t>
        </is>
      </c>
      <c r="C22" s="83">
        <f>PRIMARY_DILUTION</f>
        <v/>
      </c>
      <c r="D22" s="84" t="inlineStr">
        <is>
          <t>Board sensitive metric; new issuance effect on existing holders.</t>
        </is>
      </c>
      <c r="E22" s="98">
        <f>HYPERLINK("#'10_CAP_TABLE'!B18","Go")</f>
        <v/>
      </c>
    </row>
    <row r="23" ht="42" customHeight="1">
      <c r="B23" s="57" t="inlineStr">
        <is>
          <t>Gross proceeds total (DKKm)</t>
        </is>
      </c>
      <c r="C23" s="83">
        <f>GROSS_TOTAL</f>
        <v/>
      </c>
      <c r="D23" s="84" t="inlineStr">
        <is>
          <t>Total cash paid by investors (primary + secondary).</t>
        </is>
      </c>
      <c r="E23" s="98">
        <f>HYPERLINK("#'09_OFFER_STRUCTURE'!B25","Go")</f>
        <v/>
      </c>
    </row>
    <row r="24" ht="42" customHeight="1">
      <c r="B24" s="57" t="inlineStr">
        <is>
          <t>Net proceeds to company (DKKm)</t>
        </is>
      </c>
      <c r="C24" s="83">
        <f>NET_PROCEEDS_CO</f>
        <v/>
      </c>
      <c r="D24" s="84" t="inlineStr">
        <is>
          <t>Cash the company receives after allocated transaction costs.</t>
        </is>
      </c>
      <c r="E24" s="98">
        <f>HYPERLINK("#'09_OFFER_STRUCTURE'!B30","Go")</f>
        <v/>
      </c>
    </row>
    <row r="25"/>
    <row r="26" ht="20" customHeight="1">
      <c r="B26" s="1" t="inlineStr">
        <is>
          <t>What to say (tradeoffs)</t>
        </is>
      </c>
      <c r="C26" s="1" t="n"/>
      <c r="D26" s="1" t="n"/>
      <c r="E26" s="1" t="n"/>
      <c r="F26" s="1" t="n"/>
      <c r="G26" s="1" t="n"/>
      <c r="H26" s="1" t="n"/>
      <c r="I26" s="1" t="n"/>
      <c r="J26" s="1" t="n"/>
      <c r="K26" s="1" t="n"/>
      <c r="L26" s="1" t="n"/>
      <c r="M26" s="1" t="n"/>
      <c r="N26" s="1" t="n"/>
      <c r="O26" s="1" t="n"/>
    </row>
    <row r="27"/>
    <row r="28" ht="60" customHeight="1">
      <c r="B28" s="84" t="inlineStr">
        <is>
          <t>More primary increases cash to company but increases dilution. More secondary increases float without adding cash, but is a sell-down by existing holders. Greenshoe supports demand management and stabilisation and can modestly increase float.</t>
        </is>
      </c>
      <c r="C28" s="70" t="n"/>
      <c r="D28" s="70" t="n"/>
      <c r="E28" s="70" t="n"/>
      <c r="F28" s="71" t="n"/>
    </row>
    <row r="29">
      <c r="B29" s="79" t="n"/>
      <c r="F29" s="80" t="n"/>
    </row>
    <row r="30">
      <c r="B30" s="72" t="n"/>
      <c r="C30" s="73" t="n"/>
      <c r="D30" s="73" t="n"/>
      <c r="E30" s="73" t="n"/>
      <c r="F30" s="74" t="n"/>
    </row>
    <row r="31"/>
    <row r="32" ht="20" customHeight="1">
      <c r="B32" s="1" t="inlineStr">
        <is>
          <t>2) PRO FORMA BALANCE SHEET EXPLAINER</t>
        </is>
      </c>
      <c r="C32" s="1" t="n"/>
      <c r="D32" s="1" t="n"/>
      <c r="E32" s="1" t="n"/>
      <c r="F32" s="1" t="n"/>
      <c r="G32" s="1" t="n"/>
      <c r="H32" s="1" t="n"/>
      <c r="I32" s="1" t="n"/>
      <c r="J32" s="1" t="n"/>
      <c r="K32" s="1" t="n"/>
      <c r="L32" s="1" t="n"/>
      <c r="M32" s="1" t="n"/>
      <c r="N32" s="1" t="n"/>
      <c r="O32" s="1" t="n"/>
    </row>
    <row r="33"/>
    <row r="34" ht="18" customHeight="1">
      <c r="B34" s="81" t="inlineStr">
        <is>
          <t>Step</t>
        </is>
      </c>
      <c r="C34" s="81" t="inlineStr">
        <is>
          <t>Cell / formula</t>
        </is>
      </c>
      <c r="D34" s="81" t="inlineStr">
        <is>
          <t>Why it matters</t>
        </is>
      </c>
    </row>
    <row r="35" ht="42" customHeight="1">
      <c r="B35" s="57" t="inlineStr">
        <is>
          <t>Net proceeds to company</t>
        </is>
      </c>
      <c r="C35" s="83">
        <f>NET_PROCEEDS_CO</f>
        <v/>
      </c>
      <c r="D35" s="84" t="inlineStr">
        <is>
          <t>This is the cash increase on the pro forma balance sheet.</t>
        </is>
      </c>
    </row>
    <row r="36" ht="42" customHeight="1">
      <c r="B36" s="57" t="inlineStr">
        <is>
          <t>Debt paydown (DKKm)</t>
        </is>
      </c>
      <c r="C36" s="83">
        <f>DEBT_PAYDOWN</f>
        <v/>
      </c>
      <c r="D36" s="84" t="inlineStr">
        <is>
          <t>If proceeds are used for debt paydown, net debt drops and leverage improves.</t>
        </is>
      </c>
    </row>
    <row r="37" ht="42" customHeight="1">
      <c r="B37" s="57" t="inlineStr">
        <is>
          <t>Cash post (DKKm)</t>
        </is>
      </c>
      <c r="C37" s="83">
        <f>'11_PRO_FORMA_BS'!C22</f>
        <v/>
      </c>
      <c r="D37" s="84" t="inlineStr">
        <is>
          <t>Cash after applying net proceeds and allocations.</t>
        </is>
      </c>
    </row>
    <row r="38" ht="42" customHeight="1">
      <c r="B38" s="57" t="inlineStr">
        <is>
          <t>Debt post (DKKm)</t>
        </is>
      </c>
      <c r="C38" s="83">
        <f>'11_PRO_FORMA_BS'!C23</f>
        <v/>
      </c>
      <c r="D38" s="84" t="inlineStr">
        <is>
          <t>Debt after paydown.</t>
        </is>
      </c>
    </row>
    <row r="39" ht="42" customHeight="1">
      <c r="B39" s="57" t="inlineStr">
        <is>
          <t>Net debt post (DKKm)</t>
        </is>
      </c>
      <c r="C39" s="83">
        <f>NETDEBT_POST</f>
        <v/>
      </c>
      <c r="D39" s="84" t="inlineStr">
        <is>
          <t>Feeds EV bridge and leverage; definition must be consistent.</t>
        </is>
      </c>
    </row>
    <row r="40" ht="42" customHeight="1">
      <c r="B40" s="57" t="inlineStr">
        <is>
          <t>Net leverage post (x)</t>
        </is>
      </c>
      <c r="C40" s="83">
        <f>LEVERAGE_POST</f>
        <v/>
      </c>
      <c r="D40" s="84" t="inlineStr">
        <is>
          <t>Key credit and equity story metric post IPO.</t>
        </is>
      </c>
    </row>
    <row r="41"/>
    <row r="42">
      <c r="B42" s="14" t="inlineStr">
        <is>
          <t>Sanity checks</t>
        </is>
      </c>
    </row>
    <row r="43" ht="60" customHeight="1">
      <c r="B43" s="84" t="inlineStr">
        <is>
          <t>Net proceeds to company must be &lt;= gross primary proceeds. Debt paydown must be &lt;= debt. Cash post should not go negative. Leverage should move in the direction implied by the allocation and net debt definition.</t>
        </is>
      </c>
      <c r="C43" s="70" t="n"/>
      <c r="D43" s="70" t="n"/>
      <c r="E43" s="70" t="n"/>
      <c r="F43" s="71" t="n"/>
    </row>
    <row r="44">
      <c r="B44" s="79" t="n"/>
      <c r="F44" s="80" t="n"/>
    </row>
    <row r="45">
      <c r="B45" s="72" t="n"/>
      <c r="C45" s="73" t="n"/>
      <c r="D45" s="73" t="n"/>
      <c r="E45" s="73" t="n"/>
      <c r="F45" s="74" t="n"/>
    </row>
    <row r="46"/>
    <row r="47" ht="20" customHeight="1">
      <c r="B47" s="1" t="inlineStr">
        <is>
          <t>3) VALUATION RANGE DEFENSE PACK (ONE PAGE)</t>
        </is>
      </c>
      <c r="C47" s="1" t="n"/>
      <c r="D47" s="1" t="n"/>
      <c r="E47" s="1" t="n"/>
      <c r="F47" s="1" t="n"/>
      <c r="G47" s="1" t="n"/>
      <c r="H47" s="1" t="n"/>
      <c r="I47" s="1" t="n"/>
      <c r="J47" s="1" t="n"/>
      <c r="K47" s="1" t="n"/>
      <c r="L47" s="1" t="n"/>
      <c r="M47" s="1" t="n"/>
      <c r="N47" s="1" t="n"/>
      <c r="O47" s="1" t="n"/>
    </row>
    <row r="48"/>
    <row r="49" ht="18" customHeight="1">
      <c r="B49" s="81" t="inlineStr">
        <is>
          <t>Topic</t>
        </is>
      </c>
      <c r="C49" s="81" t="inlineStr">
        <is>
          <t>Meeting ready points</t>
        </is>
      </c>
    </row>
    <row r="50" ht="54" customHeight="1">
      <c r="B50" s="57" t="inlineStr">
        <is>
          <t>Peer selection rationale</t>
        </is>
      </c>
      <c r="C50" s="84" t="inlineStr">
        <is>
          <t>Peers match business model, growth and margin, listing venue and liquidity. Exclude outliers with different accounting or capital structure.</t>
        </is>
      </c>
      <c r="D50" s="75" t="n"/>
      <c r="E50" s="75" t="n"/>
      <c r="F50" s="76" t="n"/>
    </row>
    <row r="51" ht="54" customHeight="1">
      <c r="B51" s="57" t="inlineStr">
        <is>
          <t>Multiple selection</t>
        </is>
      </c>
      <c r="C51" s="84" t="inlineStr">
        <is>
          <t>Selected multiple is within peer distribution and supported by relative growth and profitability. Show P25, median and P75 in comps tab.</t>
        </is>
      </c>
      <c r="D51" s="75" t="n"/>
      <c r="E51" s="75" t="n"/>
      <c r="F51" s="76" t="n"/>
    </row>
    <row r="52" ht="54" customHeight="1">
      <c r="B52" s="57" t="inlineStr">
        <is>
          <t>Normalisation notes</t>
        </is>
      </c>
      <c r="C52" s="84" t="inlineStr">
        <is>
          <t>Document adjustments (one offs, leases, IFRS differences). Ensure LTM or NTM basis is consistent across issuer and peers.</t>
        </is>
      </c>
      <c r="D52" s="75" t="n"/>
      <c r="E52" s="75" t="n"/>
      <c r="F52" s="76" t="n"/>
    </row>
    <row r="53" ht="54" customHeight="1">
      <c r="B53" s="57" t="inlineStr">
        <is>
          <t>What moves the range</t>
        </is>
      </c>
      <c r="C53" s="84" t="inlineStr">
        <is>
          <t>NTM EBITDA and selected multiple drive most of the range. EV to equity bridge makes net debt definition and paydown key for price per share.</t>
        </is>
      </c>
      <c r="D53" s="75" t="n"/>
      <c r="E53" s="75" t="n"/>
      <c r="F53" s="76" t="n"/>
    </row>
    <row r="54" ht="54" customHeight="1">
      <c r="B54" s="57" t="inlineStr">
        <is>
          <t>Top 3 proof points</t>
        </is>
      </c>
      <c r="C54" s="84" t="inlineStr">
        <is>
          <t>1) Peer distribution, 2) Triangulation cross check, 3) Post deal balance sheet and leverage consistency with use of proceeds.</t>
        </is>
      </c>
      <c r="D54" s="75" t="n"/>
      <c r="E54" s="75" t="n"/>
      <c r="F54" s="76" t="n"/>
    </row>
    <row r="55"/>
    <row r="56"/>
    <row r="57" ht="20" customHeight="1">
      <c r="B57" s="1" t="inlineStr">
        <is>
          <t>DEFINITION CONTROLS SIMULATOR (FOR DRILLS)</t>
        </is>
      </c>
      <c r="C57" s="1" t="n"/>
      <c r="D57" s="1" t="n"/>
      <c r="E57" s="1" t="n"/>
      <c r="F57" s="1" t="n"/>
      <c r="G57" s="1" t="n"/>
      <c r="H57" s="1" t="n"/>
      <c r="I57" s="1" t="n"/>
      <c r="J57" s="1" t="n"/>
      <c r="K57" s="1" t="n"/>
      <c r="L57" s="1" t="n"/>
      <c r="M57" s="1" t="n"/>
      <c r="N57" s="1" t="n"/>
      <c r="O57" s="1" t="n"/>
    </row>
    <row r="58"/>
    <row r="59" ht="18" customHeight="1">
      <c r="B59" s="81" t="inlineStr">
        <is>
          <t>Input / Output</t>
        </is>
      </c>
      <c r="C59" s="81" t="inlineStr">
        <is>
          <t>Value</t>
        </is>
      </c>
      <c r="D59" s="81" t="inlineStr">
        <is>
          <t>Notes</t>
        </is>
      </c>
    </row>
    <row r="60" ht="42" customHeight="1">
      <c r="B60" s="57" t="inlineStr">
        <is>
          <t>Cash equivalents adjustment (DKKm)</t>
        </is>
      </c>
      <c r="C60" s="99" t="inlineStr">
        <is>
          <t>50</t>
        </is>
      </c>
      <c r="D60" s="84" t="inlineStr">
        <is>
          <t>Used when toggles are ON.</t>
        </is>
      </c>
      <c r="E60" s="75" t="n"/>
      <c r="F60" s="76" t="n"/>
    </row>
    <row r="61" ht="42" customHeight="1">
      <c r="B61" s="57" t="inlineStr">
        <is>
          <t>Valuation net debt includes cash equivalents (ON/OFF)</t>
        </is>
      </c>
      <c r="C61" s="89" t="inlineStr">
        <is>
          <t>OFF</t>
        </is>
      </c>
      <c r="D61" s="84" t="inlineStr">
        <is>
          <t>Toggle drives Net debt B and Equity B.</t>
        </is>
      </c>
      <c r="E61" s="75" t="n"/>
      <c r="F61" s="76" t="n"/>
    </row>
    <row r="62" ht="42" customHeight="1">
      <c r="B62" s="57" t="inlineStr">
        <is>
          <t>Leverage net debt includes cash equivalents (ON/OFF)</t>
        </is>
      </c>
      <c r="C62" s="89" t="inlineStr">
        <is>
          <t>OFF</t>
        </is>
      </c>
      <c r="D62" s="84" t="inlineStr">
        <is>
          <t>Used for mismatch status only.</t>
        </is>
      </c>
      <c r="E62" s="75" t="n"/>
      <c r="F62" s="76" t="n"/>
    </row>
    <row r="63" ht="42" customHeight="1">
      <c r="B63" s="57" t="inlineStr">
        <is>
          <t>EV target (A) (DKKm)</t>
        </is>
      </c>
      <c r="C63" s="99">
        <f>EV_OFFER</f>
        <v/>
      </c>
      <c r="D63" s="84" t="inlineStr">
        <is>
          <t>Hold EV constant for drill 4.</t>
        </is>
      </c>
      <c r="E63" s="75" t="n"/>
      <c r="F63" s="76" t="n"/>
    </row>
    <row r="64" ht="42" customHeight="1">
      <c r="B64" s="57" t="inlineStr">
        <is>
          <t>EV target (B) (DKKm)</t>
        </is>
      </c>
      <c r="C64" s="99">
        <f>EV_OFFER</f>
        <v/>
      </c>
      <c r="D64" s="84" t="inlineStr">
        <is>
          <t>Same EV target; equity changes via net debt.</t>
        </is>
      </c>
      <c r="E64" s="75" t="n"/>
      <c r="F64" s="76" t="n"/>
    </row>
    <row r="65" ht="42" customHeight="1">
      <c r="B65" s="57" t="inlineStr">
        <is>
          <t>Net debt A (base) (DKKm)</t>
        </is>
      </c>
      <c r="C65" s="99">
        <f>NETDEBT_POST</f>
        <v/>
      </c>
      <c r="D65" s="84" t="inlineStr">
        <is>
          <t>Base model net debt.</t>
        </is>
      </c>
      <c r="E65" s="75" t="n"/>
      <c r="F65" s="76" t="n"/>
    </row>
    <row r="66" ht="42" customHeight="1">
      <c r="B66" s="57" t="inlineStr">
        <is>
          <t>Net debt B (incl cash eq) (DKKm)</t>
        </is>
      </c>
      <c r="C66" s="99">
        <f>NETDEBT_POST-IF(C60=0,0,IF(C61="ON",C60,0))</f>
        <v/>
      </c>
      <c r="D66" s="84" t="inlineStr">
        <is>
          <t>Net debt decreases when cash eq included.</t>
        </is>
      </c>
      <c r="E66" s="75" t="n"/>
      <c r="F66" s="76" t="n"/>
    </row>
    <row r="67" ht="42" customHeight="1">
      <c r="B67" s="57" t="inlineStr">
        <is>
          <t>Equity value A (DKKm)</t>
        </is>
      </c>
      <c r="C67" s="99">
        <f>C63-C65</f>
        <v/>
      </c>
      <c r="D67" s="84" t="inlineStr">
        <is>
          <t>EV - net debt.</t>
        </is>
      </c>
      <c r="E67" s="75" t="n"/>
      <c r="F67" s="76" t="n"/>
    </row>
    <row r="68" ht="42" customHeight="1">
      <c r="B68" s="57" t="inlineStr">
        <is>
          <t>Equity value B (DKKm)</t>
        </is>
      </c>
      <c r="C68" s="99">
        <f>C64-C66</f>
        <v/>
      </c>
      <c r="D68" s="84" t="inlineStr">
        <is>
          <t>EV - net debt (with def).</t>
        </is>
      </c>
      <c r="E68" s="75" t="n"/>
      <c r="F68" s="76" t="n"/>
    </row>
    <row r="69" ht="42" customHeight="1">
      <c r="B69" s="57" t="inlineStr">
        <is>
          <t>Definition status (for Drill 11)</t>
        </is>
      </c>
      <c r="C69" s="89">
        <f>IF(C61=C62,"RESOLVED","MISMATCH")</f>
        <v/>
      </c>
      <c r="D69" s="84" t="inlineStr">
        <is>
          <t>Align the two toggles to resolve.</t>
        </is>
      </c>
      <c r="E69" s="75" t="n"/>
      <c r="F69" s="76" t="n"/>
    </row>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sheetData>
  <mergeCells count="18">
    <mergeCell ref="C52:F52"/>
    <mergeCell ref="D64:F64"/>
    <mergeCell ref="C53:F53"/>
    <mergeCell ref="D67:F67"/>
    <mergeCell ref="B43:F45"/>
    <mergeCell ref="B42:F42"/>
    <mergeCell ref="D61:F61"/>
    <mergeCell ref="D62:F62"/>
    <mergeCell ref="D65:F65"/>
    <mergeCell ref="B28:F30"/>
    <mergeCell ref="C54:F54"/>
    <mergeCell ref="D66:F66"/>
    <mergeCell ref="D60:F60"/>
    <mergeCell ref="C51:F51"/>
    <mergeCell ref="D68:F68"/>
    <mergeCell ref="D69:F69"/>
    <mergeCell ref="C50:F50"/>
    <mergeCell ref="D63:F63"/>
  </mergeCells>
  <dataValidations count="1">
    <dataValidation sqref="C61 C62" showDropDown="0" showInputMessage="0" showErrorMessage="0" allowBlank="0" type="list">
      <formula1>"ON,OFF"</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6"/>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CHECKS HUB (MUST PASS)</t>
        </is>
      </c>
      <c r="C2" s="2" t="n"/>
      <c r="D2" s="2" t="n"/>
      <c r="E2" s="2" t="n"/>
      <c r="F2" s="2" t="n"/>
      <c r="G2" s="2" t="n"/>
      <c r="H2" s="2" t="n"/>
      <c r="I2" s="2" t="n"/>
      <c r="J2" s="2" t="n"/>
      <c r="K2" s="2" t="n"/>
      <c r="L2" s="2" t="n"/>
      <c r="M2" s="2" t="n"/>
      <c r="N2" s="2" t="n"/>
      <c r="O2" s="2" t="n"/>
      <c r="P2" s="2" t="n"/>
      <c r="Q2" s="2" t="n"/>
      <c r="R2" s="2" t="n"/>
      <c r="S2" s="2" t="n"/>
      <c r="T2" s="2" t="n"/>
    </row>
    <row r="3"/>
    <row r="4"/>
    <row r="5"/>
    <row r="6">
      <c r="B6" s="6" t="inlineStr">
        <is>
          <t>Check</t>
        </is>
      </c>
      <c r="C6" s="6" t="inlineStr">
        <is>
          <t>Status</t>
        </is>
      </c>
      <c r="D6" s="6" t="inlineStr">
        <is>
          <t>Severity</t>
        </is>
      </c>
      <c r="E6" s="6" t="inlineStr">
        <is>
          <t>Fix pointer</t>
        </is>
      </c>
    </row>
    <row r="7">
      <c r="B7" s="14" t="inlineStr">
        <is>
          <t>Scenario toggle valid</t>
        </is>
      </c>
      <c r="C7" s="42">
        <f>IF(OR(CTRL_SCEN=1;CTRL_SCEN=2;CTRL_SCEN=3);"PASS";"FAIL")</f>
        <v/>
      </c>
      <c r="D7" s="43" t="n">
        <v>1</v>
      </c>
      <c r="E7" s="44" t="inlineStr">
        <is>
          <t>01_CONTROL</t>
        </is>
      </c>
    </row>
    <row r="8">
      <c r="B8" s="14" t="inlineStr">
        <is>
          <t>Use of proceeds sums to 100%</t>
        </is>
      </c>
      <c r="C8" s="42">
        <f>'01_CONTROL'!$C$57</f>
        <v/>
      </c>
      <c r="D8" s="43" t="n">
        <v>1</v>
      </c>
      <c r="E8" s="44" t="inlineStr">
        <is>
          <t>01_CONTROL</t>
        </is>
      </c>
    </row>
    <row r="9">
      <c r="B9" s="14" t="inlineStr">
        <is>
          <t>Cap table ties (pre + new = post)</t>
        </is>
      </c>
      <c r="C9" s="42">
        <f>IF(ABS(POST_SHARES-(PRE_SHARES+NEW_PRIMARY_SHARES))&lt;0,0001;"PASS";"FAIL")</f>
        <v/>
      </c>
      <c r="D9" s="43" t="n">
        <v>1</v>
      </c>
      <c r="E9" s="44" t="inlineStr">
        <is>
          <t>10_CAP_TABLE / 09_OFFER_STRUCTURE</t>
        </is>
      </c>
    </row>
    <row r="10">
      <c r="B10" s="14" t="inlineStr">
        <is>
          <t>Offer shares tie (primary+secondary+GS=total sold)</t>
        </is>
      </c>
      <c r="C10" s="42">
        <f>IF(ABS(TOTAL_SOLD_SHARES-(NEW_PRIMARY_SHARES+SECONDARY_SHARES+GS_SHARES))&lt;0,0001;"PASS";"FAIL")</f>
        <v/>
      </c>
      <c r="D10" s="43" t="n">
        <v>2</v>
      </c>
      <c r="E10" s="44" t="inlineStr">
        <is>
          <t>09_OFFER_STRUCTURE</t>
        </is>
      </c>
    </row>
    <row r="11">
      <c r="B11" s="14" t="inlineStr">
        <is>
          <t>Fees and costs non-negative</t>
        </is>
      </c>
      <c r="C11" s="42">
        <f>IF(AND(TXN_COSTS&gt;=0;NET_PROCEEDS_CO&gt;=0);"PASS";"FAIL")</f>
        <v/>
      </c>
      <c r="D11" s="43" t="n">
        <v>2</v>
      </c>
      <c r="E11" s="44" t="inlineStr">
        <is>
          <t>09_OFFER_STRUCTURE</t>
        </is>
      </c>
    </row>
    <row r="12">
      <c r="B12" s="14" t="inlineStr">
        <is>
          <t>Pro forma cash bridge ties</t>
        </is>
      </c>
      <c r="C12" s="42">
        <f>IF(ABS('11_PRO_FORMA_BS'!$C$22-('11_PRO_FORMA_BS'!$C$8+'11_PRO_FORMA_BS'!$C$15-'11_PRO_FORMA_BS'!$C$16-'11_PRO_FORMA_BS'!$C$17))&lt;0,1;"PASS";"FAIL")</f>
        <v/>
      </c>
      <c r="D12" s="43" t="n">
        <v>1</v>
      </c>
      <c r="E12" s="44" t="inlineStr">
        <is>
          <t>11_PRO_FORMA_BS</t>
        </is>
      </c>
    </row>
    <row r="13">
      <c r="B13" s="14" t="inlineStr">
        <is>
          <t>Dashboard trace sanity (no blanks in key tiles)</t>
        </is>
      </c>
      <c r="C13" s="42">
        <f>IF(COUNTA('00_DASHBOARD'!$B$8:$E$14)=0;"FAIL";"PASS")</f>
        <v/>
      </c>
      <c r="D13" s="43" t="n">
        <v>3</v>
      </c>
      <c r="E13" s="44" t="inlineStr">
        <is>
          <t>00_DASHBOARD</t>
        </is>
      </c>
    </row>
    <row r="14" ht="20" customHeight="1">
      <c r="B14" s="1" t="inlineStr">
        <is>
          <t>OVERALL</t>
        </is>
      </c>
      <c r="C14" s="2" t="n"/>
      <c r="D14" s="2" t="n"/>
      <c r="E14" s="2" t="n"/>
      <c r="F14" s="2" t="n"/>
      <c r="G14" s="2" t="n"/>
      <c r="H14" s="2" t="n"/>
      <c r="I14" s="2" t="n"/>
      <c r="J14" s="2" t="n"/>
      <c r="K14" s="2" t="n"/>
      <c r="L14" s="2" t="n"/>
      <c r="M14" s="2" t="n"/>
      <c r="N14" s="2" t="n"/>
      <c r="O14" s="2" t="n"/>
      <c r="P14" s="2" t="n"/>
      <c r="Q14" s="2" t="n"/>
      <c r="R14" s="2" t="n"/>
      <c r="S14" s="2" t="n"/>
      <c r="T14" s="2" t="n"/>
    </row>
    <row r="15"/>
    <row r="16">
      <c r="B16" s="3" t="inlineStr">
        <is>
          <t>Overall status</t>
        </is>
      </c>
      <c r="C16" s="25">
        <f>IF(COUNTIF(C7:C13;"FAIL")&gt;0;"FAIL";"PASS")</f>
        <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2"/>
  <sheetViews>
    <sheetView showGridLines="0" workbookViewId="0">
      <pane xSplit="5" ySplit="7" topLeftCell="F8"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4" customWidth="1" min="2" max="2"/>
    <col width="26" customWidth="1" min="3" max="3"/>
    <col width="12" customWidth="1" min="4" max="4"/>
    <col width="1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row r="2" ht="24" customHeight="1">
      <c r="B2" s="1" t="inlineStr">
        <is>
          <t>APPENDIX (OPTIONAL) - NARRATIVE CELLS, DATA SCRATCH</t>
        </is>
      </c>
      <c r="C2" s="2" t="n"/>
      <c r="D2" s="2" t="n"/>
      <c r="E2" s="2" t="n"/>
      <c r="F2" s="2" t="n"/>
      <c r="G2" s="2" t="n"/>
      <c r="H2" s="2" t="n"/>
      <c r="I2" s="2" t="n"/>
      <c r="J2" s="2" t="n"/>
      <c r="K2" s="2" t="n"/>
      <c r="L2" s="2" t="n"/>
      <c r="M2" s="2" t="n"/>
      <c r="N2" s="2" t="n"/>
      <c r="O2" s="2" t="n"/>
      <c r="P2" s="2" t="n"/>
      <c r="Q2" s="2" t="n"/>
      <c r="R2" s="2" t="n"/>
      <c r="S2" s="2" t="n"/>
      <c r="T2" s="2" t="n"/>
    </row>
    <row r="3"/>
    <row r="4"/>
    <row r="5"/>
    <row r="6" ht="20" customHeight="1">
      <c r="B6" s="1" t="inlineStr">
        <is>
          <t>DASHBOARD NARRATIVE (LINKED)</t>
        </is>
      </c>
      <c r="C6" s="2" t="n"/>
      <c r="D6" s="2" t="n"/>
      <c r="E6" s="2" t="n"/>
      <c r="F6" s="2" t="n"/>
      <c r="G6" s="2" t="n"/>
      <c r="H6" s="2" t="n"/>
      <c r="I6" s="2" t="n"/>
      <c r="J6" s="2" t="n"/>
      <c r="K6" s="2" t="n"/>
      <c r="L6" s="2" t="n"/>
      <c r="M6" s="2" t="n"/>
      <c r="N6" s="2" t="n"/>
      <c r="O6" s="2" t="n"/>
      <c r="P6" s="2" t="n"/>
      <c r="Q6" s="2" t="n"/>
      <c r="R6" s="2" t="n"/>
      <c r="S6" s="2" t="n"/>
      <c r="T6" s="2" t="n"/>
    </row>
    <row r="7"/>
    <row r="8" ht="34" customHeight="1">
      <c r="B8" s="38" t="inlineStr">
        <is>
          <t>Bullet 1</t>
        </is>
      </c>
      <c r="C8" s="15">
        <f> "Valuation range implies equity value of " &amp; TEXT(EQ_BASE;"#,##0") &amp; " DKKm (Base), with EV/NTM EBITDA at offer price of " &amp; TEXT(EV_EBITDA_OFFER;"0.0x") &amp; "."</f>
        <v/>
      </c>
    </row>
    <row r="9" ht="34" customHeight="1">
      <c r="B9" s="38" t="inlineStr">
        <is>
          <t>Bullet 2</t>
        </is>
      </c>
      <c r="C9" s="15">
        <f> "Free float post-IPO is " &amp; TEXT(FREE_FLOAT_PCT;"0.0%") &amp; " of basic shares; primary dilution is " &amp; TEXT(PRIMARY_DILUTION;"0.0%") &amp; "."</f>
        <v/>
      </c>
    </row>
    <row r="10" ht="34" customHeight="1">
      <c r="B10" s="38" t="inlineStr">
        <is>
          <t>Bullet 3</t>
        </is>
      </c>
      <c r="C10" s="15">
        <f> "Net primary proceeds to company are " &amp; TEXT(NET_PROCEEDS_CO;"#,##0") &amp; " DKKm; allocated " &amp; TEXT(UOP_DEBT_PCT;"0%") &amp; " to debt paydown and " &amp; TEXT(UOP_GROWTH_PCT;"0%") &amp; " to growth investment."</f>
        <v/>
      </c>
    </row>
    <row r="11" ht="34" customHeight="1">
      <c r="B11" s="38" t="inlineStr">
        <is>
          <t>Bullet 4</t>
        </is>
      </c>
      <c r="C11" s="15">
        <f> "Post-IPO net debt is " &amp; TEXT(NETDEBT_POST;"#,##0") &amp; " DKKm, implying leverage of " &amp; TEXT('11_PRO_FORMA_BS'!$C$30;"0.0x") &amp; " (Net debt/NTM EBITDA)."</f>
        <v/>
      </c>
    </row>
    <row r="12" ht="34" customHeight="1">
      <c r="B12" s="38" t="inlineStr">
        <is>
          <t>Bullet 5</t>
        </is>
      </c>
      <c r="C12" s="15">
        <f>IF(CHECKS_OVERALL="PASS";"Checks are green. Model is internally consistent.";"One or more checks failed. Review 90_CHECKS for fix pointers.")</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2026-02-16T08:25:04Z</dcterms:created>
  <dcterms:modified xmlns:dcterms="http://purl.org/dc/terms/" xmlns:xsi="http://www.w3.org/2001/XMLSchema-instance" xsi:type="dcterms:W3CDTF">2026-02-16T13:34:56Z</dcterms:modified>
</cp:coreProperties>
</file>