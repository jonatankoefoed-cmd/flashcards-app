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natanlarsenkoefoed/Documents/3.1 Investment banking prep/FM/"/>
    </mc:Choice>
  </mc:AlternateContent>
  <xr:revisionPtr revIDLastSave="0" documentId="13_ncr:1_{AD30B150-1D9F-A34E-81E2-0B47EBA9DF1B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00_Guide_Framework" sheetId="11" r:id="rId1"/>
    <sheet name="01_Control" sheetId="1" r:id="rId2"/>
    <sheet name="02_Peer_Screen" sheetId="2" r:id="rId3"/>
    <sheet name="03_Market_Data" sheetId="3" r:id="rId4"/>
    <sheet name="04_Consensus" sheetId="4" r:id="rId5"/>
    <sheet name="05_Multiples" sheetId="5" r:id="rId6"/>
    <sheet name="06_Stats" sheetId="6" r:id="rId7"/>
    <sheet name="07_Novo_Valuation" sheetId="7" r:id="rId8"/>
    <sheet name="08_Football_Field" sheetId="8" r:id="rId9"/>
    <sheet name="09_QC" sheetId="9" r:id="rId10"/>
    <sheet name="Peer Rationale" sheetId="10" r:id="rId1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C19" i="6"/>
  <c r="C7" i="9"/>
  <c r="B7" i="9"/>
  <c r="C6" i="9"/>
  <c r="B6" i="9"/>
  <c r="C5" i="9"/>
  <c r="B5" i="9"/>
  <c r="B10" i="8"/>
  <c r="B9" i="8"/>
  <c r="G7" i="8"/>
  <c r="F7" i="8"/>
  <c r="E20" i="7"/>
  <c r="C20" i="7"/>
  <c r="E19" i="7"/>
  <c r="C19" i="7"/>
  <c r="E18" i="7"/>
  <c r="C18" i="7"/>
  <c r="F38" i="6"/>
  <c r="C38" i="6"/>
  <c r="F37" i="6"/>
  <c r="E14" i="7" s="1"/>
  <c r="H14" i="7" s="1"/>
  <c r="C6" i="8" s="1"/>
  <c r="C37" i="6"/>
  <c r="C14" i="7" s="1"/>
  <c r="F14" i="7" s="1"/>
  <c r="B6" i="8" s="1"/>
  <c r="F6" i="8" s="1"/>
  <c r="F36" i="6"/>
  <c r="C36" i="6"/>
  <c r="F35" i="6"/>
  <c r="C35" i="6"/>
  <c r="F30" i="6"/>
  <c r="C30" i="6"/>
  <c r="F29" i="6"/>
  <c r="E12" i="7" s="1"/>
  <c r="H12" i="7" s="1"/>
  <c r="B20" i="7" s="1"/>
  <c r="D20" i="7" s="1"/>
  <c r="C29" i="6"/>
  <c r="C12" i="7" s="1"/>
  <c r="F12" i="7" s="1"/>
  <c r="B18" i="7" s="1"/>
  <c r="D18" i="7" s="1"/>
  <c r="F28" i="6"/>
  <c r="C28" i="6"/>
  <c r="F27" i="6"/>
  <c r="E13" i="7" s="1"/>
  <c r="H13" i="7" s="1"/>
  <c r="C5" i="8" s="1"/>
  <c r="C27" i="6"/>
  <c r="C13" i="7" s="1"/>
  <c r="F13" i="7" s="1"/>
  <c r="B5" i="8" s="1"/>
  <c r="F5" i="8" s="1"/>
  <c r="F22" i="6"/>
  <c r="C22" i="6"/>
  <c r="F21" i="6"/>
  <c r="C21" i="6"/>
  <c r="F20" i="6"/>
  <c r="F19" i="6"/>
  <c r="N13" i="5"/>
  <c r="J13" i="5"/>
  <c r="O13" i="5" s="1"/>
  <c r="I13" i="5"/>
  <c r="H13" i="5"/>
  <c r="G13" i="5"/>
  <c r="F13" i="5"/>
  <c r="D13" i="5"/>
  <c r="D14" i="6" s="1"/>
  <c r="C13" i="5"/>
  <c r="C14" i="6" s="1"/>
  <c r="B13" i="5"/>
  <c r="B14" i="6" s="1"/>
  <c r="J12" i="5"/>
  <c r="O12" i="5" s="1"/>
  <c r="I12" i="5"/>
  <c r="H12" i="5"/>
  <c r="G12" i="5"/>
  <c r="M12" i="5" s="1"/>
  <c r="F12" i="5"/>
  <c r="D12" i="5"/>
  <c r="D13" i="6" s="1"/>
  <c r="C12" i="5"/>
  <c r="C13" i="6" s="1"/>
  <c r="B12" i="5"/>
  <c r="B13" i="6" s="1"/>
  <c r="A12" i="5"/>
  <c r="A13" i="6" s="1"/>
  <c r="J11" i="5"/>
  <c r="O11" i="5" s="1"/>
  <c r="I11" i="5"/>
  <c r="H11" i="5"/>
  <c r="G11" i="5"/>
  <c r="F11" i="5"/>
  <c r="D11" i="5"/>
  <c r="D12" i="6" s="1"/>
  <c r="C11" i="5"/>
  <c r="C12" i="6" s="1"/>
  <c r="B11" i="5"/>
  <c r="B12" i="6" s="1"/>
  <c r="O10" i="5"/>
  <c r="J10" i="5"/>
  <c r="I10" i="5"/>
  <c r="H10" i="5"/>
  <c r="G10" i="5"/>
  <c r="F10" i="5"/>
  <c r="D10" i="5"/>
  <c r="D11" i="6" s="1"/>
  <c r="C10" i="5"/>
  <c r="C11" i="6" s="1"/>
  <c r="B10" i="5"/>
  <c r="B11" i="6" s="1"/>
  <c r="J9" i="5"/>
  <c r="O9" i="5" s="1"/>
  <c r="I9" i="5"/>
  <c r="H9" i="5"/>
  <c r="G9" i="5"/>
  <c r="F9" i="5"/>
  <c r="D9" i="5"/>
  <c r="D10" i="6" s="1"/>
  <c r="C9" i="5"/>
  <c r="C10" i="6" s="1"/>
  <c r="B9" i="5"/>
  <c r="B10" i="6" s="1"/>
  <c r="J8" i="5"/>
  <c r="O8" i="5" s="1"/>
  <c r="I8" i="5"/>
  <c r="H8" i="5"/>
  <c r="G8" i="5"/>
  <c r="F8" i="5"/>
  <c r="D8" i="5"/>
  <c r="D9" i="6" s="1"/>
  <c r="C8" i="5"/>
  <c r="C9" i="6" s="1"/>
  <c r="B8" i="5"/>
  <c r="B9" i="6" s="1"/>
  <c r="A8" i="5"/>
  <c r="A9" i="6" s="1"/>
  <c r="J7" i="5"/>
  <c r="O7" i="5" s="1"/>
  <c r="I7" i="5"/>
  <c r="H7" i="5"/>
  <c r="G7" i="5"/>
  <c r="M7" i="5" s="1"/>
  <c r="F7" i="5"/>
  <c r="D7" i="5"/>
  <c r="D8" i="6" s="1"/>
  <c r="C7" i="5"/>
  <c r="C8" i="6" s="1"/>
  <c r="B7" i="5"/>
  <c r="B8" i="6" s="1"/>
  <c r="O6" i="5"/>
  <c r="J6" i="5"/>
  <c r="I6" i="5"/>
  <c r="H6" i="5"/>
  <c r="G6" i="5"/>
  <c r="F6" i="5"/>
  <c r="D6" i="5"/>
  <c r="D7" i="6" s="1"/>
  <c r="C6" i="5"/>
  <c r="C7" i="6" s="1"/>
  <c r="B6" i="5"/>
  <c r="B7" i="6" s="1"/>
  <c r="O5" i="5"/>
  <c r="J5" i="5"/>
  <c r="I5" i="5"/>
  <c r="H5" i="5"/>
  <c r="G5" i="5"/>
  <c r="F5" i="5"/>
  <c r="L5" i="5" s="1"/>
  <c r="D5" i="5"/>
  <c r="D6" i="6" s="1"/>
  <c r="C5" i="5"/>
  <c r="C6" i="6" s="1"/>
  <c r="B5" i="5"/>
  <c r="B6" i="6" s="1"/>
  <c r="J4" i="5"/>
  <c r="O4" i="5" s="1"/>
  <c r="I4" i="5"/>
  <c r="H4" i="5"/>
  <c r="G4" i="5"/>
  <c r="F4" i="5"/>
  <c r="D4" i="5"/>
  <c r="D5" i="6" s="1"/>
  <c r="C4" i="5"/>
  <c r="C5" i="6" s="1"/>
  <c r="B4" i="5"/>
  <c r="B5" i="6" s="1"/>
  <c r="A4" i="5"/>
  <c r="A5" i="6" s="1"/>
  <c r="G13" i="4"/>
  <c r="G12" i="4"/>
  <c r="A12" i="4"/>
  <c r="G11" i="4"/>
  <c r="G10" i="4"/>
  <c r="G9" i="4"/>
  <c r="G8" i="4"/>
  <c r="A8" i="4"/>
  <c r="G7" i="4"/>
  <c r="G6" i="4"/>
  <c r="A6" i="4"/>
  <c r="G5" i="4"/>
  <c r="G4" i="4"/>
  <c r="A4" i="4"/>
  <c r="G13" i="3"/>
  <c r="H13" i="3" s="1"/>
  <c r="K13" i="3" s="1"/>
  <c r="E13" i="5" s="1"/>
  <c r="L13" i="5" s="1"/>
  <c r="B13" i="3"/>
  <c r="A13" i="3"/>
  <c r="A13" i="5" s="1"/>
  <c r="A14" i="6" s="1"/>
  <c r="H12" i="3"/>
  <c r="K12" i="3" s="1"/>
  <c r="E12" i="5" s="1"/>
  <c r="G12" i="3"/>
  <c r="B12" i="3"/>
  <c r="A12" i="3"/>
  <c r="G11" i="3"/>
  <c r="H11" i="3" s="1"/>
  <c r="K11" i="3" s="1"/>
  <c r="E11" i="5" s="1"/>
  <c r="L11" i="5" s="1"/>
  <c r="B11" i="3"/>
  <c r="A11" i="3"/>
  <c r="A11" i="5" s="1"/>
  <c r="A12" i="6" s="1"/>
  <c r="H10" i="3"/>
  <c r="K10" i="3" s="1"/>
  <c r="E10" i="5" s="1"/>
  <c r="M10" i="5" s="1"/>
  <c r="G10" i="3"/>
  <c r="B10" i="3"/>
  <c r="A10" i="3"/>
  <c r="A10" i="4" s="1"/>
  <c r="G9" i="3"/>
  <c r="H9" i="3" s="1"/>
  <c r="K9" i="3" s="1"/>
  <c r="E9" i="5" s="1"/>
  <c r="M9" i="5" s="1"/>
  <c r="B9" i="3"/>
  <c r="A9" i="3"/>
  <c r="A9" i="5" s="1"/>
  <c r="A10" i="6" s="1"/>
  <c r="H8" i="3"/>
  <c r="K8" i="3" s="1"/>
  <c r="E8" i="5" s="1"/>
  <c r="M8" i="5" s="1"/>
  <c r="G8" i="3"/>
  <c r="B8" i="3"/>
  <c r="A8" i="3"/>
  <c r="G7" i="3"/>
  <c r="H7" i="3" s="1"/>
  <c r="K7" i="3" s="1"/>
  <c r="E7" i="5" s="1"/>
  <c r="B7" i="3"/>
  <c r="A7" i="3"/>
  <c r="A7" i="5" s="1"/>
  <c r="A8" i="6" s="1"/>
  <c r="H6" i="3"/>
  <c r="K6" i="3" s="1"/>
  <c r="E6" i="5" s="1"/>
  <c r="M6" i="5" s="1"/>
  <c r="G6" i="3"/>
  <c r="B6" i="3"/>
  <c r="A6" i="3"/>
  <c r="A6" i="5" s="1"/>
  <c r="A7" i="6" s="1"/>
  <c r="G5" i="3"/>
  <c r="H5" i="3" s="1"/>
  <c r="K5" i="3" s="1"/>
  <c r="E5" i="5" s="1"/>
  <c r="M5" i="5" s="1"/>
  <c r="B5" i="3"/>
  <c r="A5" i="3"/>
  <c r="A5" i="5" s="1"/>
  <c r="A6" i="6" s="1"/>
  <c r="H4" i="3"/>
  <c r="K4" i="3" s="1"/>
  <c r="G4" i="3"/>
  <c r="B4" i="3"/>
  <c r="A4" i="3"/>
  <c r="N6" i="5" l="1"/>
  <c r="L8" i="5"/>
  <c r="L9" i="5"/>
  <c r="L10" i="5"/>
  <c r="N7" i="5"/>
  <c r="O8" i="6" s="1"/>
  <c r="G5" i="8"/>
  <c r="F18" i="7"/>
  <c r="B4" i="8" s="1"/>
  <c r="F4" i="8" s="1"/>
  <c r="T5" i="6"/>
  <c r="X5" i="6"/>
  <c r="P5" i="6"/>
  <c r="U6" i="6"/>
  <c r="M6" i="6"/>
  <c r="T6" i="6"/>
  <c r="R6" i="6"/>
  <c r="Q6" i="6"/>
  <c r="X6" i="6"/>
  <c r="P6" i="6"/>
  <c r="W6" i="6"/>
  <c r="V6" i="6"/>
  <c r="N6" i="6"/>
  <c r="N8" i="5"/>
  <c r="N9" i="5"/>
  <c r="N10" i="5"/>
  <c r="M11" i="5"/>
  <c r="T7" i="6"/>
  <c r="S7" i="6"/>
  <c r="R7" i="6"/>
  <c r="X7" i="6"/>
  <c r="P7" i="6"/>
  <c r="W7" i="6"/>
  <c r="O7" i="6"/>
  <c r="V7" i="6"/>
  <c r="N7" i="6"/>
  <c r="N11" i="5"/>
  <c r="W12" i="6" s="1"/>
  <c r="M13" i="5"/>
  <c r="U8" i="6"/>
  <c r="M8" i="6"/>
  <c r="T8" i="6"/>
  <c r="S8" i="6"/>
  <c r="R8" i="6"/>
  <c r="Q8" i="6"/>
  <c r="X8" i="6"/>
  <c r="P8" i="6"/>
  <c r="W8" i="6"/>
  <c r="V8" i="6"/>
  <c r="N8" i="6"/>
  <c r="U9" i="6"/>
  <c r="M9" i="6"/>
  <c r="T9" i="6"/>
  <c r="S9" i="6"/>
  <c r="R9" i="6"/>
  <c r="Q9" i="6"/>
  <c r="X9" i="6"/>
  <c r="P9" i="6"/>
  <c r="W9" i="6"/>
  <c r="O9" i="6"/>
  <c r="V9" i="6"/>
  <c r="N9" i="6"/>
  <c r="U10" i="6"/>
  <c r="M10" i="6"/>
  <c r="T10" i="6"/>
  <c r="S10" i="6"/>
  <c r="R10" i="6"/>
  <c r="Q10" i="6"/>
  <c r="X10" i="6"/>
  <c r="P10" i="6"/>
  <c r="W10" i="6"/>
  <c r="O10" i="6"/>
  <c r="V10" i="6"/>
  <c r="N10" i="6"/>
  <c r="U11" i="6"/>
  <c r="M11" i="6"/>
  <c r="T11" i="6"/>
  <c r="S11" i="6"/>
  <c r="R11" i="6"/>
  <c r="Q11" i="6"/>
  <c r="X11" i="6"/>
  <c r="P11" i="6"/>
  <c r="W11" i="6"/>
  <c r="O11" i="6"/>
  <c r="V11" i="6"/>
  <c r="N11" i="6"/>
  <c r="F20" i="7"/>
  <c r="C4" i="8" s="1"/>
  <c r="E4" i="5"/>
  <c r="M4" i="5" s="1"/>
  <c r="R5" i="6" s="1"/>
  <c r="C4" i="9"/>
  <c r="B4" i="9"/>
  <c r="G6" i="8"/>
  <c r="L6" i="5"/>
  <c r="Q7" i="6" s="1"/>
  <c r="U12" i="6"/>
  <c r="M12" i="6"/>
  <c r="T12" i="6"/>
  <c r="S12" i="6"/>
  <c r="R12" i="6"/>
  <c r="Q12" i="6"/>
  <c r="X12" i="6"/>
  <c r="P12" i="6"/>
  <c r="V12" i="6"/>
  <c r="N12" i="6"/>
  <c r="N12" i="5"/>
  <c r="O13" i="6" s="1"/>
  <c r="L12" i="5"/>
  <c r="M13" i="6" s="1"/>
  <c r="N5" i="5"/>
  <c r="O6" i="6" s="1"/>
  <c r="L7" i="5"/>
  <c r="U13" i="6"/>
  <c r="T13" i="6"/>
  <c r="S13" i="6"/>
  <c r="R13" i="6"/>
  <c r="Q13" i="6"/>
  <c r="X13" i="6"/>
  <c r="P13" i="6"/>
  <c r="W13" i="6"/>
  <c r="V13" i="6"/>
  <c r="N13" i="6"/>
  <c r="U14" i="6"/>
  <c r="M14" i="6"/>
  <c r="T14" i="6"/>
  <c r="S14" i="6"/>
  <c r="R14" i="6"/>
  <c r="Q14" i="6"/>
  <c r="X14" i="6"/>
  <c r="P14" i="6"/>
  <c r="W14" i="6"/>
  <c r="O14" i="6"/>
  <c r="V14" i="6"/>
  <c r="N14" i="6"/>
  <c r="A7" i="4"/>
  <c r="A11" i="4"/>
  <c r="A10" i="5"/>
  <c r="A11" i="6" s="1"/>
  <c r="A5" i="4"/>
  <c r="A9" i="4"/>
  <c r="A13" i="4"/>
  <c r="B28" i="6" l="1"/>
  <c r="H28" i="6"/>
  <c r="G28" i="6"/>
  <c r="E28" i="6"/>
  <c r="D28" i="6"/>
  <c r="N4" i="5"/>
  <c r="S6" i="6"/>
  <c r="H22" i="6"/>
  <c r="G22" i="6"/>
  <c r="E22" i="6"/>
  <c r="D22" i="6"/>
  <c r="B22" i="6"/>
  <c r="L4" i="5"/>
  <c r="H38" i="6"/>
  <c r="G38" i="6"/>
  <c r="E38" i="6"/>
  <c r="D38" i="6"/>
  <c r="B38" i="6"/>
  <c r="M7" i="6"/>
  <c r="N5" i="6"/>
  <c r="O12" i="6"/>
  <c r="V5" i="6"/>
  <c r="E30" i="6"/>
  <c r="D30" i="6"/>
  <c r="B30" i="6"/>
  <c r="H30" i="6"/>
  <c r="G30" i="6"/>
  <c r="U7" i="6"/>
  <c r="G4" i="8"/>
  <c r="G36" i="6" l="1"/>
  <c r="E36" i="6"/>
  <c r="D36" i="6"/>
  <c r="B36" i="6"/>
  <c r="H36" i="6"/>
  <c r="O5" i="6"/>
  <c r="S5" i="6"/>
  <c r="W5" i="6"/>
  <c r="M5" i="6"/>
  <c r="Q5" i="6"/>
  <c r="U5" i="6"/>
  <c r="G20" i="6"/>
  <c r="E20" i="6"/>
  <c r="D20" i="6"/>
  <c r="B20" i="6"/>
  <c r="H20" i="6"/>
  <c r="H37" i="6" l="1"/>
  <c r="G37" i="6"/>
  <c r="E37" i="6"/>
  <c r="D37" i="6"/>
  <c r="D14" i="7" s="1"/>
  <c r="G14" i="7" s="1"/>
  <c r="B37" i="6"/>
  <c r="D29" i="6"/>
  <c r="D12" i="7" s="1"/>
  <c r="G12" i="7" s="1"/>
  <c r="B19" i="7" s="1"/>
  <c r="D19" i="7" s="1"/>
  <c r="F19" i="7" s="1"/>
  <c r="B29" i="6"/>
  <c r="H29" i="6"/>
  <c r="G29" i="6"/>
  <c r="E29" i="6"/>
  <c r="H21" i="6"/>
  <c r="G21" i="6"/>
  <c r="E21" i="6"/>
  <c r="D21" i="6"/>
  <c r="B21" i="6"/>
  <c r="E35" i="6"/>
  <c r="D35" i="6"/>
  <c r="B35" i="6"/>
  <c r="H35" i="6"/>
  <c r="G35" i="6"/>
  <c r="B27" i="6"/>
  <c r="H27" i="6"/>
  <c r="G27" i="6"/>
  <c r="E27" i="6"/>
  <c r="D27" i="6"/>
  <c r="D13" i="7" s="1"/>
  <c r="G13" i="7" s="1"/>
  <c r="E19" i="6"/>
  <c r="D19" i="6"/>
  <c r="B19" i="6"/>
  <c r="H19" i="6"/>
  <c r="G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9" authorId="0" shapeId="0" xr:uid="{00000000-0006-0000-0000-000001000000}">
      <text>
        <r>
          <rPr>
            <sz val="11"/>
            <color rgb="FF000000"/>
            <rFont val="Calibri"/>
            <family val="2"/>
          </rPr>
          <t>Illustrative template. Populate with sourced inputs (Capital IQ, FactSet, Bloomberg).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E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Illustrative placeholders. Replace with Bloomberg/CAPIQ as-of market data.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Illustrative consensus. Replace with sourced consensus estimates.</t>
        </r>
      </text>
    </comment>
  </commentList>
</comments>
</file>

<file path=xl/sharedStrings.xml><?xml version="1.0" encoding="utf-8"?>
<sst xmlns="http://schemas.openxmlformats.org/spreadsheetml/2006/main" count="447" uniqueCount="312">
  <si>
    <t>CONTROL PANEL (Trading Comps | Novo Nordisk | Illustrative template)</t>
  </si>
  <si>
    <t>Model status</t>
  </si>
  <si>
    <t>Illustrative only</t>
  </si>
  <si>
    <t>As-of date</t>
  </si>
  <si>
    <t>2026-02-20</t>
  </si>
  <si>
    <t>Common currency</t>
  </si>
  <si>
    <t>EUR</t>
  </si>
  <si>
    <t>Units</t>
  </si>
  <si>
    <t>EUR m (unless stated)</t>
  </si>
  <si>
    <t>Notes</t>
  </si>
  <si>
    <t>Replace blue inputs with Bloomberg / Capital IQ market data + consensus. Model forces full calc on open.</t>
  </si>
  <si>
    <t>PEER SCREEN (Selection flags)</t>
  </si>
  <si>
    <t>Company</t>
  </si>
  <si>
    <t>Ticker</t>
  </si>
  <si>
    <t>Country</t>
  </si>
  <si>
    <t>Sector</t>
  </si>
  <si>
    <t>Metabolic Exposure</t>
  </si>
  <si>
    <t>Mkt Cap Bucket</t>
  </si>
  <si>
    <t>Include</t>
  </si>
  <si>
    <t>Primary</t>
  </si>
  <si>
    <t>Eli Lilly</t>
  </si>
  <si>
    <t>LLY</t>
  </si>
  <si>
    <t>US</t>
  </si>
  <si>
    <t>Pharma</t>
  </si>
  <si>
    <t>High</t>
  </si>
  <si>
    <t>Mega</t>
  </si>
  <si>
    <t>Direct obesity/diabetes peer</t>
  </si>
  <si>
    <t>Sanofi</t>
  </si>
  <si>
    <t>SAN</t>
  </si>
  <si>
    <t>FR</t>
  </si>
  <si>
    <t>Medium</t>
  </si>
  <si>
    <t>Diabetes exposure, broader mix</t>
  </si>
  <si>
    <t>AstraZeneca</t>
  </si>
  <si>
    <t>AZN</t>
  </si>
  <si>
    <t>UK</t>
  </si>
  <si>
    <t>Broad pharma, cardiometabolic exposure</t>
  </si>
  <si>
    <t>Roche</t>
  </si>
  <si>
    <t>ROG</t>
  </si>
  <si>
    <t>CH</t>
  </si>
  <si>
    <t>Low</t>
  </si>
  <si>
    <t>Broad pharma anchor</t>
  </si>
  <si>
    <t>Novartis</t>
  </si>
  <si>
    <t>NVS</t>
  </si>
  <si>
    <t>Merck &amp; Co.</t>
  </si>
  <si>
    <t>MRK</t>
  </si>
  <si>
    <t>AbbVie</t>
  </si>
  <si>
    <t>ABBV</t>
  </si>
  <si>
    <t>Patent/LOE sensitivity, cross-check only</t>
  </si>
  <si>
    <t>Amgen</t>
  </si>
  <si>
    <t>AMGN</t>
  </si>
  <si>
    <t>Large</t>
  </si>
  <si>
    <t>Pipeline relevance, metabolic optionality</t>
  </si>
  <si>
    <t>Bristol Myers Squibb</t>
  </si>
  <si>
    <t>BMY</t>
  </si>
  <si>
    <t>Zealand Pharma</t>
  </si>
  <si>
    <t>ZEAL</t>
  </si>
  <si>
    <t>DK</t>
  </si>
  <si>
    <t>Biotech</t>
  </si>
  <si>
    <t>Small/Mid</t>
  </si>
  <si>
    <t>Thematic only, often excluded from headline stats</t>
  </si>
  <si>
    <t>MARKET DATA (As-of | Equity value and Enterprise value)</t>
  </si>
  <si>
    <t>CCY</t>
  </si>
  <si>
    <t>FX (CCY/EUR)</t>
  </si>
  <si>
    <t>Price (CCY)</t>
  </si>
  <si>
    <t>Shares (m)</t>
  </si>
  <si>
    <t>Equity Value (CCY m)</t>
  </si>
  <si>
    <t>Equity Value (EUR m)</t>
  </si>
  <si>
    <t>Net Debt (EUR m)</t>
  </si>
  <si>
    <t>Minorities (EUR m)</t>
  </si>
  <si>
    <t>Enterprise Value (EUR m)</t>
  </si>
  <si>
    <t>USD</t>
  </si>
  <si>
    <t>GBP</t>
  </si>
  <si>
    <t>CHF</t>
  </si>
  <si>
    <t>DKK</t>
  </si>
  <si>
    <t>CONSENSUS (NTM estimates | EUR m unless stated)</t>
  </si>
  <si>
    <t>NTM Revenue (EUR m)</t>
  </si>
  <si>
    <t>NTM EBITDA (EUR m)</t>
  </si>
  <si>
    <t>NTM EBIT (EUR m)</t>
  </si>
  <si>
    <t>NTM EPS (EUR)</t>
  </si>
  <si>
    <t>2Y Rev CAGR</t>
  </si>
  <si>
    <t>NTM EBIT Margin</t>
  </si>
  <si>
    <t>MULTIPLES (Trading comps | auto-calculated)</t>
  </si>
  <si>
    <t>Inc</t>
  </si>
  <si>
    <t>Prim</t>
  </si>
  <si>
    <t>Metab</t>
  </si>
  <si>
    <t>EV (EUR m)</t>
  </si>
  <si>
    <t>NTM Rev</t>
  </si>
  <si>
    <t>NTM EBITDA</t>
  </si>
  <si>
    <t>NTM EBIT</t>
  </si>
  <si>
    <t>Price (EUR)</t>
  </si>
  <si>
    <t>EPS (EUR)</t>
  </si>
  <si>
    <t>EV/Sales</t>
  </si>
  <si>
    <t>EV/EBITDA</t>
  </si>
  <si>
    <t>EV/EBIT</t>
  </si>
  <si>
    <t>P/E</t>
  </si>
  <si>
    <t>STATS (Auto | Include / Primary / Metabolic flags)</t>
  </si>
  <si>
    <t>INPUT FLAGS (linked)</t>
  </si>
  <si>
    <t>Metabolic</t>
  </si>
  <si>
    <t>All EV/Sales</t>
  </si>
  <si>
    <t>All EV/EBITDA</t>
  </si>
  <si>
    <t>All EV/EBIT</t>
  </si>
  <si>
    <t>All P/E</t>
  </si>
  <si>
    <t>Primary EV/Sales</t>
  </si>
  <si>
    <t>Primary EV/EBITDA</t>
  </si>
  <si>
    <t>Primary EV/EBIT</t>
  </si>
  <si>
    <t>Primary P/E</t>
  </si>
  <si>
    <t>Metabolic EV/Sales</t>
  </si>
  <si>
    <t>Metabolic EV/EBITDA</t>
  </si>
  <si>
    <t>Metabolic EV/EBIT</t>
  </si>
  <si>
    <t>Metabolic P/E</t>
  </si>
  <si>
    <t>STATS: All Included</t>
  </si>
  <si>
    <t>Metric</t>
  </si>
  <si>
    <t>Min</t>
  </si>
  <si>
    <t>25th</t>
  </si>
  <si>
    <t>Median</t>
  </si>
  <si>
    <t>Mean</t>
  </si>
  <si>
    <t>75th</t>
  </si>
  <si>
    <t>Max</t>
  </si>
  <si>
    <t>Count</t>
  </si>
  <si>
    <t>STATS: Primary Only</t>
  </si>
  <si>
    <t>STATS: Metabolic Only</t>
  </si>
  <si>
    <t>NOVO VALUATION (Trading comps | EUR m / EUR per share)</t>
  </si>
  <si>
    <t>NOVO INPUTS (Blue = input)</t>
  </si>
  <si>
    <t>Novo NTM Revenue (EUR m)</t>
  </si>
  <si>
    <t>Novo NTM EBIT (EUR m)</t>
  </si>
  <si>
    <t>Novo NTM EPS (EUR)</t>
  </si>
  <si>
    <t>Novo Net Debt (EUR m)</t>
  </si>
  <si>
    <t>Novo Shares (m)</t>
  </si>
  <si>
    <t>VALUATION RANGES (25th / Median / 75th)</t>
  </si>
  <si>
    <t>Method</t>
  </si>
  <si>
    <t>Multiple</t>
  </si>
  <si>
    <t>Mid</t>
  </si>
  <si>
    <t>Implied EV (Low)</t>
  </si>
  <si>
    <t>Implied EV (Mid)</t>
  </si>
  <si>
    <t>Implied EV (High)</t>
  </si>
  <si>
    <t>Primary | EV/EBIT</t>
  </si>
  <si>
    <t>Primary | EV/Sales</t>
  </si>
  <si>
    <t>Metabolic | EV/EBIT</t>
  </si>
  <si>
    <t>HEADLINE OUTPUT (based on Primary EV/EBIT)</t>
  </si>
  <si>
    <t>Case</t>
  </si>
  <si>
    <t>Less: Net Debt (EUR m)</t>
  </si>
  <si>
    <t>Value / Share (EUR)</t>
  </si>
  <si>
    <t>FOOTBALL FIELD (Auto | Value per share, EUR)</t>
  </si>
  <si>
    <t>Show</t>
  </si>
  <si>
    <t>Start (hidden)</t>
  </si>
  <si>
    <t>Range</t>
  </si>
  <si>
    <t>Trading Comps (Primary EV/EBIT)</t>
  </si>
  <si>
    <t>Trading Comps (Primary EV/Sales)</t>
  </si>
  <si>
    <t>Metabolic Overlay (EV/EBIT)</t>
  </si>
  <si>
    <t>DCF (placeholder)</t>
  </si>
  <si>
    <t>QC CHECKS (Flag issues before using in deck)</t>
  </si>
  <si>
    <t>Check</t>
  </si>
  <si>
    <t>Status</t>
  </si>
  <si>
    <t>Detail</t>
  </si>
  <si>
    <t>Missing EV values?</t>
  </si>
  <si>
    <t>Missing consensus revenue/EBIT?</t>
  </si>
  <si>
    <t>Included peers &gt;= 5?</t>
  </si>
  <si>
    <t>Primary peers &gt;= 3?</t>
  </si>
  <si>
    <t>PRIMARY — Keytruda growth profile has some analogy to Ozempic ramp. Strong R&amp;D pipeline comp.</t>
  </si>
  <si>
    <t>Large Cap</t>
  </si>
  <si>
    <t>36% EBITDA</t>
  </si>
  <si>
    <t>Medium (6% NTM)</t>
  </si>
  <si>
    <t>Oncology / Vaccines (Keytruda)</t>
  </si>
  <si>
    <t>Merck</t>
  </si>
  <si>
    <t>PRIMARY — High-margin, branded pharma with strong FCF. Useful multiple anchor despite Humira headwinds.</t>
  </si>
  <si>
    <t>40% EBITDA</t>
  </si>
  <si>
    <t>Medium (5% NTM)</t>
  </si>
  <si>
    <t>Immunology / Oncology / Neuro</t>
  </si>
  <si>
    <t>SECONDARY — EU pharma, lower growth. Useful as valuation floor reference. Different end-markets.</t>
  </si>
  <si>
    <t>Europe (US-listed)</t>
  </si>
  <si>
    <t>28% EBITDA</t>
  </si>
  <si>
    <t>Low-Medium (6% NTM)</t>
  </si>
  <si>
    <t>Immunology / Vaccines / CHC</t>
  </si>
  <si>
    <t>SNY</t>
  </si>
  <si>
    <t>PRIMARY — Premier EU pharma, strong IP moat, high margins. Slightly lower growth; useful as anchor peer.</t>
  </si>
  <si>
    <t>Europe</t>
  </si>
  <si>
    <t>38% EBITDA</t>
  </si>
  <si>
    <t>Medium (4% NTM)</t>
  </si>
  <si>
    <t>Diagnostics / Oncology</t>
  </si>
  <si>
    <t>PRIMARY — Large-cap EU pharma, similar R&amp;D model, comparable margin structure. Useful geography comp.</t>
  </si>
  <si>
    <t>31% EBITDA</t>
  </si>
  <si>
    <t>Medium (8% NTM)</t>
  </si>
  <si>
    <t>Oncology / BioPharmaceuticals</t>
  </si>
  <si>
    <t>PRIMARY — Closest GLP-1 peer; Mounjaro/Zepbound direct competitor. Same high-growth, high-multiple regime.</t>
  </si>
  <si>
    <t>Mega Cap</t>
  </si>
  <si>
    <t>42% EBITDA</t>
  </si>
  <si>
    <t>High (34%+ NTM)</t>
  </si>
  <si>
    <t>GLP-1 / Oncology / Diabetes</t>
  </si>
  <si>
    <t>TARGET</t>
  </si>
  <si>
    <t>49% EBITDA</t>
  </si>
  <si>
    <t>High (24%+ NTM)</t>
  </si>
  <si>
    <t>GLP-1 / Diabetes / Obesity</t>
  </si>
  <si>
    <t>NVO</t>
  </si>
  <si>
    <t>Novo Nordisk</t>
  </si>
  <si>
    <t>Inclusion Rationale</t>
  </si>
  <si>
    <t>Geography</t>
  </si>
  <si>
    <t>Size</t>
  </si>
  <si>
    <t>Margin Profile</t>
  </si>
  <si>
    <t>Growth Profile</t>
  </si>
  <si>
    <t>Business Model</t>
  </si>
  <si>
    <t>Six-dimension framework: Business Model | Growth | Margin | Size | Geography | Risk/Cyclicality</t>
  </si>
  <si>
    <t>PEER SELECTION RATIONALE — Novo Nordisk Comparable Company Analysis</t>
  </si>
  <si>
    <t xml:space="preserve">Bør også have LTM </t>
  </si>
  <si>
    <t>TRADING COMPARABLES  —  IB Guide &amp; Framework</t>
  </si>
  <si>
    <t xml:space="preserve">  A.  WHAT IS TRADING COMPS?</t>
  </si>
  <si>
    <t>Trading comps is a relative valuation method based on the principle that similar companies should trade at similar multiples.
The objective is not to determine intrinsic value, but to benchmark a company's valuation relative to how the market prices comparable peers.
Peer selection is more important than the Excel model itself.</t>
  </si>
  <si>
    <t xml:space="preserve">  B.  PEER SELECTION FRAMEWORK</t>
  </si>
  <si>
    <t xml:space="preserve">  C.  MULTIPLE SELECTION FRAMEWORK</t>
  </si>
  <si>
    <t>Dimension</t>
  </si>
  <si>
    <t>Why It Matters</t>
  </si>
  <si>
    <t>Risk if Ignored</t>
  </si>
  <si>
    <t>Primary Multiple</t>
  </si>
  <si>
    <t>Rationale</t>
  </si>
  <si>
    <t>Determines the valuation regime</t>
  </si>
  <si>
    <t>Misleading benchmark</t>
  </si>
  <si>
    <t>Industrials</t>
  </si>
  <si>
    <t>EV / EBIT</t>
  </si>
  <si>
    <t>Capital-intensive; depreciation meaningful</t>
  </si>
  <si>
    <t>Drives multiple expansion</t>
  </si>
  <si>
    <t>Under- or overvaluation</t>
  </si>
  <si>
    <t>SaaS</t>
  </si>
  <si>
    <t>EV / Revenue</t>
  </si>
  <si>
    <t>Negative EBITDA; growth valued on top-line</t>
  </si>
  <si>
    <t>Reflects quality of earnings</t>
  </si>
  <si>
    <t>Skewed comparison</t>
  </si>
  <si>
    <t>EV / EBITDA</t>
  </si>
  <si>
    <t>Stable cash flow; R&amp;D capitalized</t>
  </si>
  <si>
    <t>Liquidity &amp; size premium</t>
  </si>
  <si>
    <t>Wrong peer level</t>
  </si>
  <si>
    <t>Energy</t>
  </si>
  <si>
    <t>Asset-driven; capex drives value</t>
  </si>
  <si>
    <t>Market premium differences</t>
  </si>
  <si>
    <t>Regional bias</t>
  </si>
  <si>
    <t>Banks</t>
  </si>
  <si>
    <t>P / BV</t>
  </si>
  <si>
    <t>Debt is raw material; equity-focused</t>
  </si>
  <si>
    <t>Cyclicality</t>
  </si>
  <si>
    <t>Risk pricing &amp; earnings volatility</t>
  </si>
  <si>
    <t>Volatility mismatch</t>
  </si>
  <si>
    <t>Retail</t>
  </si>
  <si>
    <t>Working capital intensive; store comps</t>
  </si>
  <si>
    <t>Priority Order:  Business Model  ›  Growth  ›  Margin  ›  Size  ›  Geography</t>
  </si>
  <si>
    <t>Forward (NTM) multiples preferred; use LTM when visibility is limited or cyclicality is high.</t>
  </si>
  <si>
    <t xml:space="preserve">  D.  PEER SELECTION — DECISION TREE</t>
  </si>
  <si>
    <t xml:space="preserve">  E.  WORKFLOW — STEP BY STEP</t>
  </si>
  <si>
    <t>START: Potential Peer Identified</t>
  </si>
  <si>
    <t>Step</t>
  </si>
  <si>
    <t>Action</t>
  </si>
  <si>
    <t>Guidance</t>
  </si>
  <si>
    <t>▼</t>
  </si>
  <si>
    <t>01</t>
  </si>
  <si>
    <t>Define objective</t>
  </si>
  <si>
    <t>M&amp;A target, IPO benchmark, strategic review</t>
  </si>
  <si>
    <t>①  Same Business Model?</t>
  </si>
  <si>
    <t>02</t>
  </si>
  <si>
    <t>Broad screening</t>
  </si>
  <si>
    <t>Sector, sub-sector, size range, geography</t>
  </si>
  <si>
    <t>Same revenue model (subscription / transactional / product)  ·  Same end-market &amp; customer type  ·  Similar capex intensity</t>
  </si>
  <si>
    <t>03</t>
  </si>
  <si>
    <t>Qualitative peer review</t>
  </si>
  <si>
    <t>Value drivers, customers, pricing power</t>
  </si>
  <si>
    <t>YES  ▼                                   NO  →  EXCLUDE</t>
  </si>
  <si>
    <t>04</t>
  </si>
  <si>
    <t>Split Primary / Secondary</t>
  </si>
  <si>
    <t>Primary → median; Secondary → sanity check</t>
  </si>
  <si>
    <t>②  Similar Growth Profile?</t>
  </si>
  <si>
    <t>05</t>
  </si>
  <si>
    <t>Collect market data</t>
  </si>
  <si>
    <t>Equity value, debt, cash, minorities, leases</t>
  </si>
  <si>
    <t>Revenue CAGR within ±10 pp  ·  EBITDA growth within ±15 pp  ·  Same growth stage (early growth vs. mature / declining)</t>
  </si>
  <si>
    <t>06</t>
  </si>
  <si>
    <t>Calculate Enterprise Value</t>
  </si>
  <si>
    <t>EV = Equity + Net Debt + Minorities</t>
  </si>
  <si>
    <t>07</t>
  </si>
  <si>
    <t>Calculate multiples</t>
  </si>
  <si>
    <t>EV/EBITDA, EV/EBIT, EV/Rev, P/E — NTM preferred</t>
  </si>
  <si>
    <t>③  Similar Margin Profile?</t>
  </si>
  <si>
    <t>08</t>
  </si>
  <si>
    <t>Remove outliers</t>
  </si>
  <si>
    <t>Flag &amp; explain; document, don't silently drop</t>
  </si>
  <si>
    <t>EBITDA margin within ±8 pp  ·  Gross margin within ±10 pp  ·  Similar R&amp;D / SG&amp;A cost structure</t>
  </si>
  <si>
    <t>09</t>
  </si>
  <si>
    <t>Compute statistics</t>
  </si>
  <si>
    <t>Median + 25th–75th percentile range</t>
  </si>
  <si>
    <t>YES  ▼                                   NO  →  SECONDARY</t>
  </si>
  <si>
    <t>10</t>
  </si>
  <si>
    <t>Apply to target &amp; sanity</t>
  </si>
  <si>
    <t>Cross-check vs DCF and precedent transactions</t>
  </si>
  <si>
    <t>④  Comparable Size?</t>
  </si>
  <si>
    <t>Market cap: 0.3x–3x of target  ·  Revenue: 0.5x–2x of target  ·  Large-cap vs. small-cap distinction matters (size premium ~1–2x turn)</t>
  </si>
  <si>
    <t>⑤  Same Geography / Market?</t>
  </si>
  <si>
    <t>US typically trades at 1–3x EV/EBITDA premium to Europe  ·  EM discount: ~2–4x vs. DM  ·  Local comps preferred for domestic targets</t>
  </si>
  <si>
    <t>✓   PRIMARY PEER</t>
  </si>
  <si>
    <t xml:space="preserve">  F.  COMMON PITFALLS</t>
  </si>
  <si>
    <t xml:space="preserve">  G.  QC CHECKLIST</t>
  </si>
  <si>
    <t>❌</t>
  </si>
  <si>
    <t>Peer group too broad or too narrow</t>
  </si>
  <si>
    <t>☐</t>
  </si>
  <si>
    <t>EV = Equity Value + Net Debt + Minorities?</t>
  </si>
  <si>
    <t>Ignoring growth differences between peers</t>
  </si>
  <si>
    <t>All multiples on same time basis (NTM/LTM)?</t>
  </si>
  <si>
    <t>Mixing LTM and NTM multiples</t>
  </si>
  <si>
    <t>Negative EBITDA peers excluded or flagged?</t>
  </si>
  <si>
    <t>Including peers with negative EBITDA</t>
  </si>
  <si>
    <t>Outliers identified and explained?</t>
  </si>
  <si>
    <t>Ignoring cyclicality in peer selection</t>
  </si>
  <si>
    <t>Is the target actually comparable to peers?</t>
  </si>
  <si>
    <t>Incorrect EV calculation (missing minorities/leases)</t>
  </si>
  <si>
    <t>Primary vs Secondary split documented?</t>
  </si>
  <si>
    <t>Dropping outliers without explanation</t>
  </si>
  <si>
    <t>Median and 25–75th percentile computed?</t>
  </si>
  <si>
    <t>Comps is not a mathematical truth — it is a structured way to use the market's own pricing as a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</si>
</sst>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\x"/>
  </numFmts>
  <fonts count="2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666666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sz val="11"/>
      <color theme="1"/>
      <name val="Calibri"/>
      <family val="2"/>
      <charset val="1"/>
    </font>
    <font>
      <sz val="8.5"/>
      <color rgb="FF4A4A4A"/>
      <name val="Arial"/>
      <family val="2"/>
    </font>
    <font>
      <sz val="9"/>
      <color rgb="FF4A4A4A"/>
      <name val="Arial"/>
      <family val="2"/>
    </font>
    <font>
      <b/>
      <sz val="9"/>
      <color rgb="FF4A4A4A"/>
      <name val="Arial"/>
      <family val="2"/>
    </font>
    <font>
      <b/>
      <sz val="8.5"/>
      <color rgb="FF1F3864"/>
      <name val="Arial"/>
      <family val="2"/>
    </font>
    <font>
      <b/>
      <sz val="9"/>
      <color rgb="FF1F3864"/>
      <name val="Arial"/>
      <family val="2"/>
    </font>
    <font>
      <b/>
      <sz val="9"/>
      <color rgb="FFFFFFFF"/>
      <name val="Arial"/>
      <family val="2"/>
    </font>
    <font>
      <i/>
      <sz val="8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sz val="10"/>
      <color rgb="FF1A1A1A"/>
      <name val="Calibri"/>
      <family val="2"/>
    </font>
    <font>
      <b/>
      <sz val="10"/>
      <color rgb="FFFFFFFF"/>
      <name val="Calibri"/>
      <family val="2"/>
    </font>
    <font>
      <i/>
      <sz val="9"/>
      <color rgb="FF1A1A1A"/>
      <name val="Calibri"/>
      <family val="2"/>
    </font>
    <font>
      <sz val="11"/>
      <color rgb="FF1A1A1A"/>
      <name val="Calibri"/>
      <family val="2"/>
    </font>
    <font>
      <b/>
      <sz val="10"/>
      <color rgb="FF1A1A1A"/>
      <name val="Calibri"/>
      <family val="2"/>
    </font>
    <font>
      <i/>
      <sz val="9"/>
      <color rgb="FF7B5C00"/>
      <name val="Calibri"/>
      <family val="2"/>
    </font>
    <font>
      <sz val="9"/>
      <color rgb="FF1A1A1A"/>
      <name val="Calibri"/>
      <family val="2"/>
    </font>
    <font>
      <sz val="10"/>
      <name val="Calibri"/>
      <family val="2"/>
    </font>
    <font>
      <b/>
      <sz val="10"/>
      <color rgb="FFC0392B"/>
      <name val="Calibri"/>
      <family val="2"/>
    </font>
    <font>
      <b/>
      <sz val="10"/>
      <color rgb="FF1E3A6E"/>
      <name val="Calibri"/>
      <family val="2"/>
    </font>
    <font>
      <b/>
      <i/>
      <sz val="11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2C5282"/>
      </patternFill>
    </fill>
    <fill>
      <patternFill patternType="solid">
        <fgColor rgb="FF2E5984"/>
        <bgColor rgb="FF2C5282"/>
      </patternFill>
    </fill>
    <fill>
      <patternFill patternType="solid">
        <fgColor rgb="FF14285A"/>
        <bgColor rgb="FF1E3A6E"/>
      </patternFill>
    </fill>
    <fill>
      <patternFill patternType="solid">
        <fgColor rgb="FF1E3A6E"/>
        <bgColor rgb="FF14285A"/>
      </patternFill>
    </fill>
    <fill>
      <patternFill patternType="solid">
        <fgColor rgb="FF14285A"/>
      </patternFill>
    </fill>
    <fill>
      <patternFill patternType="solid">
        <fgColor rgb="FFFFFFFF"/>
      </patternFill>
    </fill>
    <fill>
      <patternFill patternType="solid">
        <fgColor rgb="FF1E3A6E"/>
      </patternFill>
    </fill>
    <fill>
      <patternFill patternType="solid">
        <fgColor rgb="FF1A7A4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82">
    <xf numFmtId="0" fontId="0" fillId="0" borderId="0" xfId="0"/>
    <xf numFmtId="0" fontId="4" fillId="3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4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/>
    <xf numFmtId="166" fontId="0" fillId="0" borderId="0" xfId="0" applyNumberFormat="1" applyAlignment="1">
      <alignment horizontal="right" vertical="center"/>
    </xf>
    <xf numFmtId="0" fontId="4" fillId="0" borderId="1" xfId="0" applyFont="1" applyBorder="1"/>
    <xf numFmtId="3" fontId="2" fillId="3" borderId="1" xfId="0" applyNumberFormat="1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0" fillId="0" borderId="1" xfId="0" applyBorder="1"/>
    <xf numFmtId="166" fontId="5" fillId="0" borderId="1" xfId="0" applyNumberFormat="1" applyFon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/>
    <xf numFmtId="3" fontId="5" fillId="0" borderId="0" xfId="0" applyNumberFormat="1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6" fillId="0" borderId="0" xfId="1"/>
    <xf numFmtId="0" fontId="7" fillId="5" borderId="2" xfId="1" applyFont="1" applyFill="1" applyBorder="1" applyAlignment="1">
      <alignment horizontal="left" vertical="center" wrapText="1"/>
    </xf>
    <xf numFmtId="0" fontId="8" fillId="5" borderId="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left" vertical="center"/>
    </xf>
    <xf numFmtId="0" fontId="7" fillId="6" borderId="2" xfId="1" applyFont="1" applyFill="1" applyBorder="1" applyAlignment="1">
      <alignment horizontal="left" vertical="center" wrapText="1"/>
    </xf>
    <xf numFmtId="0" fontId="8" fillId="6" borderId="2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left" vertical="center"/>
    </xf>
    <xf numFmtId="0" fontId="10" fillId="7" borderId="2" xfId="1" applyFont="1" applyFill="1" applyBorder="1" applyAlignment="1">
      <alignment horizontal="left" vertical="center" wrapText="1"/>
    </xf>
    <xf numFmtId="0" fontId="9" fillId="7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left" vertical="center"/>
    </xf>
    <xf numFmtId="0" fontId="12" fillId="8" borderId="0" xfId="1" applyFont="1" applyFill="1" applyAlignment="1">
      <alignment horizontal="center" vertical="center" wrapText="1"/>
    </xf>
    <xf numFmtId="0" fontId="13" fillId="9" borderId="0" xfId="1" applyFont="1" applyFill="1" applyAlignment="1">
      <alignment horizontal="left" vertical="center"/>
    </xf>
    <xf numFmtId="0" fontId="14" fillId="8" borderId="0" xfId="1" applyFont="1" applyFill="1" applyAlignment="1">
      <alignment horizontal="left" vertical="center"/>
    </xf>
    <xf numFmtId="0" fontId="16" fillId="10" borderId="0" xfId="1" applyFont="1" applyFill="1" applyAlignment="1">
      <alignment horizontal="left" vertical="center"/>
    </xf>
    <xf numFmtId="0" fontId="6" fillId="0" borderId="0" xfId="1"/>
    <xf numFmtId="0" fontId="17" fillId="10" borderId="0" xfId="1" applyFont="1" applyFill="1" applyAlignment="1">
      <alignment horizontal="left" vertical="center"/>
    </xf>
    <xf numFmtId="0" fontId="18" fillId="6" borderId="0" xfId="1" applyFont="1" applyFill="1" applyAlignment="1">
      <alignment horizontal="left" vertical="center" wrapText="1"/>
    </xf>
    <xf numFmtId="0" fontId="19" fillId="10" borderId="0" xfId="1" applyFont="1" applyFill="1" applyAlignment="1">
      <alignment horizontal="center" vertical="center" wrapText="1"/>
    </xf>
    <xf numFmtId="0" fontId="18" fillId="5" borderId="0" xfId="1" applyFont="1" applyFill="1" applyAlignment="1">
      <alignment horizontal="left" vertical="center" wrapText="1"/>
    </xf>
    <xf numFmtId="0" fontId="18" fillId="6" borderId="0" xfId="1" applyFont="1" applyFill="1" applyAlignment="1">
      <alignment horizontal="left" vertical="center" wrapText="1"/>
    </xf>
    <xf numFmtId="0" fontId="19" fillId="11" borderId="0" xfId="1" applyFont="1" applyFill="1" applyAlignment="1">
      <alignment horizontal="center" vertical="center"/>
    </xf>
    <xf numFmtId="0" fontId="20" fillId="6" borderId="0" xfId="1" applyFont="1" applyFill="1" applyAlignment="1">
      <alignment horizontal="left" vertical="center" wrapText="1"/>
    </xf>
    <xf numFmtId="0" fontId="17" fillId="12" borderId="0" xfId="1" applyFont="1" applyFill="1" applyAlignment="1">
      <alignment horizontal="left" vertical="center" wrapText="1"/>
    </xf>
    <xf numFmtId="0" fontId="19" fillId="12" borderId="0" xfId="1" applyFont="1" applyFill="1" applyAlignment="1">
      <alignment horizontal="center" vertical="center" wrapText="1"/>
    </xf>
    <xf numFmtId="0" fontId="19" fillId="12" borderId="0" xfId="1" applyFont="1" applyFill="1" applyAlignment="1">
      <alignment horizontal="center" vertical="center"/>
    </xf>
    <xf numFmtId="0" fontId="21" fillId="13" borderId="0" xfId="1" applyFont="1" applyFill="1" applyAlignment="1">
      <alignment horizontal="center" vertical="center" wrapText="1"/>
    </xf>
    <xf numFmtId="0" fontId="22" fillId="13" borderId="0" xfId="1" applyFont="1" applyFill="1" applyAlignment="1">
      <alignment horizontal="center" vertical="center" wrapText="1"/>
    </xf>
    <xf numFmtId="0" fontId="18" fillId="13" borderId="0" xfId="1" applyFont="1" applyFill="1" applyAlignment="1">
      <alignment horizontal="left" vertical="center" wrapText="1"/>
    </xf>
    <xf numFmtId="0" fontId="19" fillId="14" borderId="0" xfId="1" applyFont="1" applyFill="1" applyAlignment="1">
      <alignment horizontal="center" vertical="center" wrapText="1"/>
    </xf>
    <xf numFmtId="0" fontId="22" fillId="4" borderId="0" xfId="1" applyFont="1" applyFill="1" applyAlignment="1">
      <alignment horizontal="center" vertical="center" wrapText="1"/>
    </xf>
    <xf numFmtId="0" fontId="18" fillId="4" borderId="0" xfId="1" applyFont="1" applyFill="1" applyAlignment="1">
      <alignment horizontal="left" vertical="center" wrapText="1"/>
    </xf>
    <xf numFmtId="0" fontId="23" fillId="4" borderId="0" xfId="1" applyFont="1" applyFill="1" applyAlignment="1">
      <alignment horizontal="center" vertical="center" wrapText="1"/>
    </xf>
    <xf numFmtId="0" fontId="24" fillId="13" borderId="0" xfId="1" applyFont="1" applyFill="1" applyAlignment="1">
      <alignment horizontal="center" vertical="center" wrapText="1"/>
    </xf>
    <xf numFmtId="0" fontId="25" fillId="13" borderId="0" xfId="1" applyFont="1" applyFill="1"/>
    <xf numFmtId="0" fontId="25" fillId="13" borderId="0" xfId="1" applyFont="1" applyFill="1" applyAlignment="1">
      <alignment horizontal="left" vertical="center"/>
    </xf>
    <xf numFmtId="0" fontId="25" fillId="13" borderId="0" xfId="1" applyFont="1" applyFill="1" applyAlignment="1">
      <alignment horizontal="center" vertical="center"/>
    </xf>
    <xf numFmtId="0" fontId="25" fillId="13" borderId="0" xfId="1" applyFont="1" applyFill="1" applyAlignment="1">
      <alignment horizontal="left" vertical="center" wrapText="1"/>
    </xf>
    <xf numFmtId="0" fontId="1" fillId="15" borderId="0" xfId="1" applyFont="1" applyFill="1" applyAlignment="1">
      <alignment horizontal="center" vertical="center" wrapText="1"/>
    </xf>
    <xf numFmtId="0" fontId="26" fillId="13" borderId="0" xfId="1" applyFont="1" applyFill="1" applyAlignment="1">
      <alignment horizontal="center" vertical="center"/>
    </xf>
    <xf numFmtId="0" fontId="18" fillId="13" borderId="0" xfId="1" applyFont="1" applyFill="1" applyAlignment="1">
      <alignment horizontal="left" vertical="center" wrapText="1"/>
    </xf>
    <xf numFmtId="0" fontId="27" fillId="13" borderId="0" xfId="1" applyFont="1" applyFill="1" applyAlignment="1">
      <alignment horizontal="center" vertical="center"/>
    </xf>
    <xf numFmtId="0" fontId="26" fillId="4" borderId="0" xfId="1" applyFont="1" applyFill="1" applyAlignment="1">
      <alignment horizontal="center" vertical="center"/>
    </xf>
    <xf numFmtId="0" fontId="18" fillId="4" borderId="0" xfId="1" applyFont="1" applyFill="1" applyAlignment="1">
      <alignment horizontal="left" vertical="center" wrapText="1"/>
    </xf>
    <xf numFmtId="0" fontId="27" fillId="4" borderId="0" xfId="1" applyFont="1" applyFill="1" applyAlignment="1">
      <alignment horizontal="center" vertical="center"/>
    </xf>
    <xf numFmtId="0" fontId="28" fillId="1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9C24C078-1F9C-B14E-8F6F-723EA27D2BA3}"/>
  </cellStyles>
  <dxfs count="2"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Valuation Summary (EUR / share)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'08_Football_Field'!$F$3</c:f>
              <c:strCache>
                <c:ptCount val="1"/>
                <c:pt idx="0">
                  <c:v>Start (hidden)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'08_Football_Field'!$A$4:$A$7</c:f>
              <c:strCache>
                <c:ptCount val="4"/>
                <c:pt idx="0">
                  <c:v>Trading Comps (Primary EV/EBIT)</c:v>
                </c:pt>
                <c:pt idx="1">
                  <c:v>Trading Comps (Primary EV/Sales)</c:v>
                </c:pt>
                <c:pt idx="2">
                  <c:v>Metabolic Overlay (EV/EBIT)</c:v>
                </c:pt>
                <c:pt idx="3">
                  <c:v>DCF (placeholder)</c:v>
                </c:pt>
              </c:strCache>
            </c:strRef>
          </c:cat>
          <c:val>
            <c:numRef>
              <c:f>'08_Football_Field'!$F$4:$F$7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2-8640-8DB2-88670DD59AFF}"/>
            </c:ext>
          </c:extLst>
        </c:ser>
        <c:ser>
          <c:idx val="1"/>
          <c:order val="1"/>
          <c:tx>
            <c:strRef>
              <c:f>'08_Football_Field'!$G$3</c:f>
              <c:strCache>
                <c:ptCount val="1"/>
                <c:pt idx="0">
                  <c:v>Range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'08_Football_Field'!$A$4:$A$7</c:f>
              <c:strCache>
                <c:ptCount val="4"/>
                <c:pt idx="0">
                  <c:v>Trading Comps (Primary EV/EBIT)</c:v>
                </c:pt>
                <c:pt idx="1">
                  <c:v>Trading Comps (Primary EV/Sales)</c:v>
                </c:pt>
                <c:pt idx="2">
                  <c:v>Metabolic Overlay (EV/EBIT)</c:v>
                </c:pt>
                <c:pt idx="3">
                  <c:v>DCF (placeholder)</c:v>
                </c:pt>
              </c:strCache>
            </c:strRef>
          </c:cat>
          <c:val>
            <c:numRef>
              <c:f>'08_Football_Field'!$G$4:$G$7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2-8640-8DB2-88670DD59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76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1B64-B484-BB43-83F8-597EE42284D6}">
  <dimension ref="B1:H50"/>
  <sheetViews>
    <sheetView showGridLines="0" tabSelected="1" zoomScale="125" zoomScaleNormal="100" workbookViewId="0">
      <selection activeCell="B2" sqref="B2:H2"/>
    </sheetView>
  </sheetViews>
  <sheetFormatPr baseColWidth="10" defaultColWidth="8.6640625" defaultRowHeight="15" x14ac:dyDescent="0.2"/>
  <cols>
    <col min="1" max="1" width="2" style="37" customWidth="1"/>
    <col min="2" max="2" width="22" style="37" customWidth="1"/>
    <col min="3" max="3" width="30" style="37" customWidth="1"/>
    <col min="4" max="4" width="28" style="37" customWidth="1"/>
    <col min="5" max="5" width="2" style="37" customWidth="1"/>
    <col min="6" max="6" width="18" style="37" customWidth="1"/>
    <col min="7" max="7" width="22" style="37" customWidth="1"/>
    <col min="8" max="8" width="28" style="37" customWidth="1"/>
    <col min="9" max="9" width="2" style="37" customWidth="1"/>
    <col min="10" max="16384" width="8.6640625" style="37"/>
  </cols>
  <sheetData>
    <row r="1" spans="2:8" ht="7.5" customHeight="1" x14ac:dyDescent="0.2"/>
    <row r="2" spans="2:8" ht="37.5" customHeight="1" x14ac:dyDescent="0.2">
      <c r="B2" s="50" t="s">
        <v>203</v>
      </c>
      <c r="C2" s="51"/>
      <c r="D2" s="51"/>
      <c r="E2" s="51"/>
      <c r="F2" s="51"/>
      <c r="G2" s="51"/>
      <c r="H2" s="51"/>
    </row>
    <row r="3" spans="2:8" ht="6" customHeight="1" x14ac:dyDescent="0.2"/>
    <row r="4" spans="2:8" ht="21.75" customHeight="1" x14ac:dyDescent="0.2">
      <c r="B4" s="52" t="s">
        <v>204</v>
      </c>
      <c r="C4" s="51"/>
      <c r="D4" s="51"/>
      <c r="E4" s="51"/>
      <c r="F4" s="51"/>
      <c r="G4" s="51"/>
      <c r="H4" s="51"/>
    </row>
    <row r="5" spans="2:8" ht="79.5" customHeight="1" x14ac:dyDescent="0.2">
      <c r="B5" s="53" t="s">
        <v>205</v>
      </c>
      <c r="C5" s="51"/>
      <c r="D5" s="51"/>
      <c r="E5" s="51"/>
      <c r="F5" s="51"/>
      <c r="G5" s="51"/>
      <c r="H5" s="51"/>
    </row>
    <row r="6" spans="2:8" ht="7.5" customHeight="1" x14ac:dyDescent="0.2"/>
    <row r="7" spans="2:8" ht="21.75" customHeight="1" x14ac:dyDescent="0.2">
      <c r="B7" s="52" t="s">
        <v>206</v>
      </c>
      <c r="C7" s="51"/>
      <c r="D7" s="51"/>
      <c r="F7" s="52" t="s">
        <v>207</v>
      </c>
      <c r="G7" s="51"/>
      <c r="H7" s="51"/>
    </row>
    <row r="8" spans="2:8" ht="19.5" customHeight="1" x14ac:dyDescent="0.2">
      <c r="B8" s="54" t="s">
        <v>208</v>
      </c>
      <c r="C8" s="54" t="s">
        <v>209</v>
      </c>
      <c r="D8" s="54" t="s">
        <v>210</v>
      </c>
      <c r="F8" s="54" t="s">
        <v>15</v>
      </c>
      <c r="G8" s="54" t="s">
        <v>211</v>
      </c>
      <c r="H8" s="54" t="s">
        <v>212</v>
      </c>
    </row>
    <row r="9" spans="2:8" ht="30" customHeight="1" x14ac:dyDescent="0.2">
      <c r="B9" s="55" t="s">
        <v>199</v>
      </c>
      <c r="C9" s="55" t="s">
        <v>213</v>
      </c>
      <c r="D9" s="55" t="s">
        <v>214</v>
      </c>
      <c r="F9" s="55" t="s">
        <v>215</v>
      </c>
      <c r="G9" s="55" t="s">
        <v>216</v>
      </c>
      <c r="H9" s="55" t="s">
        <v>217</v>
      </c>
    </row>
    <row r="10" spans="2:8" ht="30" customHeight="1" x14ac:dyDescent="0.2">
      <c r="B10" s="56" t="s">
        <v>198</v>
      </c>
      <c r="C10" s="56" t="s">
        <v>218</v>
      </c>
      <c r="D10" s="56" t="s">
        <v>219</v>
      </c>
      <c r="F10" s="56" t="s">
        <v>220</v>
      </c>
      <c r="G10" s="56" t="s">
        <v>221</v>
      </c>
      <c r="H10" s="56" t="s">
        <v>222</v>
      </c>
    </row>
    <row r="11" spans="2:8" ht="30" customHeight="1" x14ac:dyDescent="0.2">
      <c r="B11" s="55" t="s">
        <v>197</v>
      </c>
      <c r="C11" s="55" t="s">
        <v>223</v>
      </c>
      <c r="D11" s="55" t="s">
        <v>224</v>
      </c>
      <c r="F11" s="55" t="s">
        <v>23</v>
      </c>
      <c r="G11" s="55" t="s">
        <v>225</v>
      </c>
      <c r="H11" s="55" t="s">
        <v>226</v>
      </c>
    </row>
    <row r="12" spans="2:8" ht="30" customHeight="1" x14ac:dyDescent="0.2">
      <c r="B12" s="56" t="s">
        <v>196</v>
      </c>
      <c r="C12" s="56" t="s">
        <v>227</v>
      </c>
      <c r="D12" s="56" t="s">
        <v>228</v>
      </c>
      <c r="F12" s="56" t="s">
        <v>229</v>
      </c>
      <c r="G12" s="56" t="s">
        <v>225</v>
      </c>
      <c r="H12" s="56" t="s">
        <v>230</v>
      </c>
    </row>
    <row r="13" spans="2:8" ht="30" customHeight="1" x14ac:dyDescent="0.2">
      <c r="B13" s="55" t="s">
        <v>195</v>
      </c>
      <c r="C13" s="55" t="s">
        <v>231</v>
      </c>
      <c r="D13" s="55" t="s">
        <v>232</v>
      </c>
      <c r="F13" s="55" t="s">
        <v>233</v>
      </c>
      <c r="G13" s="55" t="s">
        <v>234</v>
      </c>
      <c r="H13" s="55" t="s">
        <v>235</v>
      </c>
    </row>
    <row r="14" spans="2:8" ht="30" customHeight="1" x14ac:dyDescent="0.2">
      <c r="B14" s="56" t="s">
        <v>236</v>
      </c>
      <c r="C14" s="56" t="s">
        <v>237</v>
      </c>
      <c r="D14" s="56" t="s">
        <v>238</v>
      </c>
      <c r="F14" s="56" t="s">
        <v>239</v>
      </c>
      <c r="G14" s="56" t="s">
        <v>225</v>
      </c>
      <c r="H14" s="56" t="s">
        <v>240</v>
      </c>
    </row>
    <row r="15" spans="2:8" ht="7.5" customHeight="1" x14ac:dyDescent="0.2"/>
    <row r="16" spans="2:8" ht="21.75" customHeight="1" x14ac:dyDescent="0.2">
      <c r="B16" s="57" t="s">
        <v>241</v>
      </c>
      <c r="C16" s="51"/>
      <c r="D16" s="51"/>
      <c r="F16" s="58" t="s">
        <v>242</v>
      </c>
      <c r="G16" s="51"/>
      <c r="H16" s="51"/>
    </row>
    <row r="17" spans="2:8" ht="7.5" customHeight="1" x14ac:dyDescent="0.2"/>
    <row r="18" spans="2:8" ht="22" customHeight="1" x14ac:dyDescent="0.2">
      <c r="B18" s="59" t="s">
        <v>243</v>
      </c>
      <c r="C18" s="51"/>
      <c r="D18" s="51"/>
      <c r="F18" s="59" t="s">
        <v>244</v>
      </c>
      <c r="G18" s="51"/>
      <c r="H18" s="51"/>
    </row>
    <row r="19" spans="2:8" ht="20" customHeight="1" x14ac:dyDescent="0.2">
      <c r="B19" s="60" t="s">
        <v>245</v>
      </c>
      <c r="C19" s="51"/>
      <c r="D19" s="51"/>
      <c r="F19" s="61" t="s">
        <v>246</v>
      </c>
      <c r="G19" s="61" t="s">
        <v>247</v>
      </c>
      <c r="H19" s="61" t="s">
        <v>248</v>
      </c>
    </row>
    <row r="20" spans="2:8" ht="24" customHeight="1" x14ac:dyDescent="0.2">
      <c r="B20" s="62" t="s">
        <v>249</v>
      </c>
      <c r="C20" s="51"/>
      <c r="D20" s="51"/>
      <c r="F20" s="63" t="s">
        <v>250</v>
      </c>
      <c r="G20" s="64" t="s">
        <v>251</v>
      </c>
      <c r="H20" s="64" t="s">
        <v>252</v>
      </c>
    </row>
    <row r="21" spans="2:8" ht="24" customHeight="1" x14ac:dyDescent="0.2">
      <c r="B21" s="65" t="s">
        <v>253</v>
      </c>
      <c r="C21" s="51"/>
      <c r="D21" s="51"/>
      <c r="F21" s="66" t="s">
        <v>254</v>
      </c>
      <c r="G21" s="67" t="s">
        <v>255</v>
      </c>
      <c r="H21" s="67" t="s">
        <v>256</v>
      </c>
    </row>
    <row r="22" spans="2:8" ht="24" customHeight="1" x14ac:dyDescent="0.2">
      <c r="B22" s="68" t="s">
        <v>257</v>
      </c>
      <c r="C22" s="51"/>
      <c r="D22" s="51"/>
      <c r="F22" s="63" t="s">
        <v>258</v>
      </c>
      <c r="G22" s="64" t="s">
        <v>259</v>
      </c>
      <c r="H22" s="64" t="s">
        <v>260</v>
      </c>
    </row>
    <row r="23" spans="2:8" ht="24" customHeight="1" x14ac:dyDescent="0.2">
      <c r="B23" s="69" t="s">
        <v>261</v>
      </c>
      <c r="C23" s="51"/>
      <c r="D23" s="51"/>
      <c r="F23" s="66" t="s">
        <v>262</v>
      </c>
      <c r="G23" s="67" t="s">
        <v>263</v>
      </c>
      <c r="H23" s="67" t="s">
        <v>264</v>
      </c>
    </row>
    <row r="24" spans="2:8" ht="24" customHeight="1" x14ac:dyDescent="0.2">
      <c r="B24" s="65" t="s">
        <v>265</v>
      </c>
      <c r="C24" s="51"/>
      <c r="D24" s="51"/>
      <c r="F24" s="63" t="s">
        <v>266</v>
      </c>
      <c r="G24" s="64" t="s">
        <v>267</v>
      </c>
      <c r="H24" s="64" t="s">
        <v>268</v>
      </c>
    </row>
    <row r="25" spans="2:8" ht="24" customHeight="1" x14ac:dyDescent="0.2">
      <c r="B25" s="68" t="s">
        <v>269</v>
      </c>
      <c r="C25" s="51"/>
      <c r="D25" s="51"/>
      <c r="F25" s="66" t="s">
        <v>270</v>
      </c>
      <c r="G25" s="67" t="s">
        <v>271</v>
      </c>
      <c r="H25" s="67" t="s">
        <v>272</v>
      </c>
    </row>
    <row r="26" spans="2:8" ht="24" customHeight="1" x14ac:dyDescent="0.2">
      <c r="B26" s="69" t="s">
        <v>261</v>
      </c>
      <c r="C26" s="51"/>
      <c r="D26" s="51"/>
      <c r="F26" s="63" t="s">
        <v>273</v>
      </c>
      <c r="G26" s="64" t="s">
        <v>274</v>
      </c>
      <c r="H26" s="64" t="s">
        <v>275</v>
      </c>
    </row>
    <row r="27" spans="2:8" ht="24" customHeight="1" x14ac:dyDescent="0.2">
      <c r="B27" s="65" t="s">
        <v>276</v>
      </c>
      <c r="C27" s="51"/>
      <c r="D27" s="51"/>
      <c r="F27" s="66" t="s">
        <v>277</v>
      </c>
      <c r="G27" s="67" t="s">
        <v>278</v>
      </c>
      <c r="H27" s="67" t="s">
        <v>279</v>
      </c>
    </row>
    <row r="28" spans="2:8" ht="24" customHeight="1" x14ac:dyDescent="0.2">
      <c r="B28" s="68" t="s">
        <v>280</v>
      </c>
      <c r="C28" s="51"/>
      <c r="D28" s="51"/>
      <c r="F28" s="63" t="s">
        <v>281</v>
      </c>
      <c r="G28" s="64" t="s">
        <v>282</v>
      </c>
      <c r="H28" s="64" t="s">
        <v>283</v>
      </c>
    </row>
    <row r="29" spans="2:8" ht="24" customHeight="1" x14ac:dyDescent="0.2">
      <c r="B29" s="69" t="s">
        <v>284</v>
      </c>
      <c r="C29" s="51"/>
      <c r="D29" s="51"/>
      <c r="F29" s="66" t="s">
        <v>285</v>
      </c>
      <c r="G29" s="67" t="s">
        <v>286</v>
      </c>
      <c r="H29" s="67" t="s">
        <v>287</v>
      </c>
    </row>
    <row r="30" spans="2:8" ht="21" customHeight="1" x14ac:dyDescent="0.2">
      <c r="B30" s="65" t="s">
        <v>288</v>
      </c>
      <c r="C30" s="51"/>
      <c r="D30" s="51"/>
      <c r="F30" s="70"/>
      <c r="G30" s="70"/>
      <c r="H30" s="70"/>
    </row>
    <row r="31" spans="2:8" ht="28" customHeight="1" x14ac:dyDescent="0.2">
      <c r="B31" s="68" t="s">
        <v>289</v>
      </c>
      <c r="C31" s="51"/>
      <c r="D31" s="51"/>
      <c r="F31" s="71"/>
      <c r="G31" s="70"/>
      <c r="H31" s="70"/>
    </row>
    <row r="32" spans="2:8" ht="14" customHeight="1" x14ac:dyDescent="0.2">
      <c r="B32" s="69" t="s">
        <v>284</v>
      </c>
      <c r="C32" s="51"/>
      <c r="D32" s="51"/>
      <c r="F32" s="72"/>
      <c r="G32" s="73"/>
      <c r="H32" s="70"/>
    </row>
    <row r="33" spans="2:8" ht="20" customHeight="1" x14ac:dyDescent="0.2">
      <c r="B33" s="65" t="s">
        <v>290</v>
      </c>
      <c r="C33" s="51"/>
      <c r="D33" s="51"/>
      <c r="F33" s="72"/>
      <c r="G33" s="73"/>
      <c r="H33" s="70"/>
    </row>
    <row r="34" spans="2:8" ht="28" customHeight="1" x14ac:dyDescent="0.2">
      <c r="B34" s="68" t="s">
        <v>291</v>
      </c>
      <c r="C34" s="51"/>
      <c r="D34" s="51"/>
      <c r="F34" s="72"/>
      <c r="G34" s="73"/>
      <c r="H34" s="70"/>
    </row>
    <row r="35" spans="2:8" ht="14" customHeight="1" x14ac:dyDescent="0.2">
      <c r="B35" s="69" t="s">
        <v>284</v>
      </c>
      <c r="C35" s="51"/>
      <c r="D35" s="51"/>
      <c r="F35" s="72"/>
      <c r="G35" s="73"/>
      <c r="H35" s="70"/>
    </row>
    <row r="36" spans="2:8" ht="26" customHeight="1" x14ac:dyDescent="0.2">
      <c r="B36" s="74" t="s">
        <v>292</v>
      </c>
      <c r="C36" s="51"/>
      <c r="D36" s="51"/>
      <c r="F36" s="72"/>
      <c r="G36" s="73"/>
      <c r="H36" s="70"/>
    </row>
    <row r="37" spans="2:8" ht="8" customHeight="1" x14ac:dyDescent="0.2">
      <c r="B37" s="72"/>
      <c r="C37" s="73"/>
      <c r="D37" s="70"/>
      <c r="F37" s="72"/>
      <c r="G37" s="73"/>
      <c r="H37" s="70"/>
    </row>
    <row r="38" spans="2:8" ht="22" customHeight="1" x14ac:dyDescent="0.2">
      <c r="B38" s="59" t="s">
        <v>293</v>
      </c>
      <c r="C38" s="51"/>
      <c r="D38" s="51"/>
      <c r="F38" s="59" t="s">
        <v>294</v>
      </c>
      <c r="G38" s="51"/>
      <c r="H38" s="51"/>
    </row>
    <row r="39" spans="2:8" ht="20" customHeight="1" x14ac:dyDescent="0.2">
      <c r="B39" s="75" t="s">
        <v>295</v>
      </c>
      <c r="C39" s="76" t="s">
        <v>296</v>
      </c>
      <c r="D39" s="51"/>
      <c r="F39" s="77" t="s">
        <v>297</v>
      </c>
      <c r="G39" s="76" t="s">
        <v>298</v>
      </c>
      <c r="H39" s="51"/>
    </row>
    <row r="40" spans="2:8" ht="20" customHeight="1" x14ac:dyDescent="0.2">
      <c r="B40" s="78" t="s">
        <v>295</v>
      </c>
      <c r="C40" s="79" t="s">
        <v>299</v>
      </c>
      <c r="D40" s="51"/>
      <c r="F40" s="80" t="s">
        <v>297</v>
      </c>
      <c r="G40" s="79" t="s">
        <v>300</v>
      </c>
      <c r="H40" s="51"/>
    </row>
    <row r="41" spans="2:8" ht="20" customHeight="1" x14ac:dyDescent="0.2">
      <c r="B41" s="75" t="s">
        <v>295</v>
      </c>
      <c r="C41" s="76" t="s">
        <v>301</v>
      </c>
      <c r="D41" s="51"/>
      <c r="F41" s="77" t="s">
        <v>297</v>
      </c>
      <c r="G41" s="76" t="s">
        <v>302</v>
      </c>
      <c r="H41" s="51"/>
    </row>
    <row r="42" spans="2:8" ht="20" customHeight="1" x14ac:dyDescent="0.2">
      <c r="B42" s="78" t="s">
        <v>295</v>
      </c>
      <c r="C42" s="79" t="s">
        <v>303</v>
      </c>
      <c r="D42" s="51"/>
      <c r="F42" s="80" t="s">
        <v>297</v>
      </c>
      <c r="G42" s="79" t="s">
        <v>304</v>
      </c>
      <c r="H42" s="51"/>
    </row>
    <row r="43" spans="2:8" ht="20" customHeight="1" x14ac:dyDescent="0.2">
      <c r="B43" s="75" t="s">
        <v>295</v>
      </c>
      <c r="C43" s="76" t="s">
        <v>305</v>
      </c>
      <c r="D43" s="51"/>
      <c r="F43" s="77" t="s">
        <v>297</v>
      </c>
      <c r="G43" s="76" t="s">
        <v>306</v>
      </c>
      <c r="H43" s="51"/>
    </row>
    <row r="44" spans="2:8" ht="20" customHeight="1" x14ac:dyDescent="0.2">
      <c r="B44" s="78" t="s">
        <v>295</v>
      </c>
      <c r="C44" s="79" t="s">
        <v>307</v>
      </c>
      <c r="D44" s="51"/>
      <c r="F44" s="80" t="s">
        <v>297</v>
      </c>
      <c r="G44" s="79" t="s">
        <v>308</v>
      </c>
      <c r="H44" s="51"/>
    </row>
    <row r="45" spans="2:8" ht="20" customHeight="1" x14ac:dyDescent="0.2">
      <c r="B45" s="75" t="s">
        <v>295</v>
      </c>
      <c r="C45" s="76" t="s">
        <v>309</v>
      </c>
      <c r="D45" s="51"/>
      <c r="F45" s="77" t="s">
        <v>297</v>
      </c>
      <c r="G45" s="76" t="s">
        <v>310</v>
      </c>
      <c r="H45" s="51"/>
    </row>
    <row r="46" spans="2:8" ht="8" customHeight="1" x14ac:dyDescent="0.2">
      <c r="B46" s="70"/>
      <c r="C46" s="70"/>
      <c r="D46" s="70"/>
      <c r="F46" s="70"/>
      <c r="G46" s="70"/>
      <c r="H46" s="70"/>
    </row>
    <row r="47" spans="2:8" ht="8" customHeight="1" x14ac:dyDescent="0.2">
      <c r="B47" s="70"/>
      <c r="C47" s="70"/>
      <c r="D47" s="70"/>
      <c r="F47" s="70"/>
      <c r="G47" s="70"/>
      <c r="H47" s="70"/>
    </row>
    <row r="48" spans="2:8" ht="26" customHeight="1" x14ac:dyDescent="0.2">
      <c r="B48" s="81" t="s">
        <v>311</v>
      </c>
      <c r="C48" s="51"/>
      <c r="D48" s="51"/>
      <c r="E48" s="51"/>
      <c r="F48" s="51"/>
      <c r="G48" s="51"/>
      <c r="H48" s="51"/>
    </row>
    <row r="49" spans="2:8" ht="8" customHeight="1" x14ac:dyDescent="0.2">
      <c r="B49" s="70"/>
      <c r="C49" s="70"/>
      <c r="D49" s="70"/>
      <c r="F49" s="70"/>
      <c r="G49" s="70"/>
      <c r="H49" s="70"/>
    </row>
    <row r="50" spans="2:8" ht="8" customHeight="1" x14ac:dyDescent="0.2">
      <c r="B50" s="70"/>
      <c r="C50" s="70"/>
      <c r="D50" s="70"/>
      <c r="F50" s="70"/>
      <c r="G50" s="70"/>
      <c r="H50" s="70"/>
    </row>
  </sheetData>
  <mergeCells count="44">
    <mergeCell ref="B48:H48"/>
    <mergeCell ref="C43:D43"/>
    <mergeCell ref="G43:H43"/>
    <mergeCell ref="C44:D44"/>
    <mergeCell ref="G44:H44"/>
    <mergeCell ref="C45:D45"/>
    <mergeCell ref="G45:H45"/>
    <mergeCell ref="C40:D40"/>
    <mergeCell ref="G40:H40"/>
    <mergeCell ref="C41:D41"/>
    <mergeCell ref="G41:H41"/>
    <mergeCell ref="C42:D42"/>
    <mergeCell ref="G42:H42"/>
    <mergeCell ref="B35:D35"/>
    <mergeCell ref="B36:D36"/>
    <mergeCell ref="B38:D38"/>
    <mergeCell ref="F38:H38"/>
    <mergeCell ref="C39:D39"/>
    <mergeCell ref="G39:H39"/>
    <mergeCell ref="B29:D29"/>
    <mergeCell ref="B30:D30"/>
    <mergeCell ref="B31:D31"/>
    <mergeCell ref="B32:D32"/>
    <mergeCell ref="B33:D33"/>
    <mergeCell ref="B34:D34"/>
    <mergeCell ref="B23:D23"/>
    <mergeCell ref="B24:D24"/>
    <mergeCell ref="B25:D25"/>
    <mergeCell ref="B26:D26"/>
    <mergeCell ref="B27:D27"/>
    <mergeCell ref="B28:D28"/>
    <mergeCell ref="B18:D18"/>
    <mergeCell ref="F18:H18"/>
    <mergeCell ref="B19:D19"/>
    <mergeCell ref="B20:D20"/>
    <mergeCell ref="B21:D21"/>
    <mergeCell ref="B22:D22"/>
    <mergeCell ref="B2:H2"/>
    <mergeCell ref="B4:H4"/>
    <mergeCell ref="B5:H5"/>
    <mergeCell ref="B7:D7"/>
    <mergeCell ref="F7:H7"/>
    <mergeCell ref="B16:D16"/>
    <mergeCell ref="F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activeCell="B10" sqref="B10"/>
    </sheetView>
  </sheetViews>
  <sheetFormatPr baseColWidth="10" defaultColWidth="8.83203125" defaultRowHeight="15" x14ac:dyDescent="0.2"/>
  <cols>
    <col min="1" max="1" width="28" customWidth="1"/>
    <col min="2" max="2" width="60" customWidth="1"/>
    <col min="3" max="8" width="14" customWidth="1"/>
  </cols>
  <sheetData>
    <row r="1" spans="1:8" ht="20" customHeight="1" x14ac:dyDescent="0.2">
      <c r="A1" s="35" t="s">
        <v>0</v>
      </c>
      <c r="B1" s="36"/>
      <c r="C1" s="36"/>
      <c r="D1" s="36"/>
      <c r="E1" s="36"/>
      <c r="F1" s="36"/>
      <c r="G1" s="36"/>
      <c r="H1" s="36"/>
    </row>
    <row r="3" spans="1:8" x14ac:dyDescent="0.2">
      <c r="A3" s="1" t="s">
        <v>1</v>
      </c>
      <c r="B3" s="2" t="s">
        <v>2</v>
      </c>
    </row>
    <row r="4" spans="1:8" x14ac:dyDescent="0.2">
      <c r="A4" s="1" t="s">
        <v>3</v>
      </c>
      <c r="B4" s="2" t="s">
        <v>4</v>
      </c>
    </row>
    <row r="5" spans="1:8" x14ac:dyDescent="0.2">
      <c r="A5" s="3"/>
      <c r="B5" s="3"/>
    </row>
    <row r="6" spans="1:8" x14ac:dyDescent="0.2">
      <c r="A6" s="1" t="s">
        <v>5</v>
      </c>
      <c r="B6" s="2" t="s">
        <v>6</v>
      </c>
    </row>
    <row r="7" spans="1:8" x14ac:dyDescent="0.2">
      <c r="A7" s="1" t="s">
        <v>7</v>
      </c>
      <c r="B7" s="2" t="s">
        <v>8</v>
      </c>
    </row>
    <row r="9" spans="1:8" ht="32" x14ac:dyDescent="0.2">
      <c r="A9" s="4" t="s">
        <v>9</v>
      </c>
      <c r="B9" s="5" t="s">
        <v>10</v>
      </c>
    </row>
  </sheetData>
  <mergeCells count="1">
    <mergeCell ref="A1:H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showGridLines="0" zoomScale="17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8.83203125" defaultRowHeight="15" x14ac:dyDescent="0.2"/>
  <cols>
    <col min="1" max="1" width="28" customWidth="1"/>
    <col min="2" max="3" width="10" customWidth="1"/>
    <col min="4" max="4" width="16" customWidth="1"/>
    <col min="5" max="5" width="18" customWidth="1"/>
    <col min="6" max="6" width="16" customWidth="1"/>
    <col min="7" max="8" width="10" customWidth="1"/>
    <col min="9" max="9" width="34" customWidth="1"/>
  </cols>
  <sheetData>
    <row r="1" spans="1:9" ht="20" customHeight="1" x14ac:dyDescent="0.2">
      <c r="A1" s="35" t="s">
        <v>11</v>
      </c>
      <c r="B1" s="36"/>
      <c r="C1" s="36"/>
      <c r="D1" s="36"/>
      <c r="E1" s="36"/>
      <c r="F1" s="36"/>
      <c r="G1" s="36"/>
      <c r="H1" s="36"/>
      <c r="I1" s="36"/>
    </row>
    <row r="3" spans="1:9" ht="18" customHeight="1" x14ac:dyDescent="0.2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9</v>
      </c>
    </row>
    <row r="4" spans="1:9" ht="28" customHeight="1" x14ac:dyDescent="0.2">
      <c r="A4" s="7" t="s">
        <v>20</v>
      </c>
      <c r="B4" s="8" t="s">
        <v>21</v>
      </c>
      <c r="C4" s="8" t="s">
        <v>22</v>
      </c>
      <c r="D4" s="7" t="s">
        <v>23</v>
      </c>
      <c r="E4" s="7" t="s">
        <v>24</v>
      </c>
      <c r="F4" s="7" t="s">
        <v>25</v>
      </c>
      <c r="G4" s="9">
        <v>1</v>
      </c>
      <c r="H4" s="9">
        <v>1</v>
      </c>
      <c r="I4" s="10" t="s">
        <v>26</v>
      </c>
    </row>
    <row r="5" spans="1:9" ht="28" customHeight="1" x14ac:dyDescent="0.2">
      <c r="A5" s="7" t="s">
        <v>27</v>
      </c>
      <c r="B5" s="8" t="s">
        <v>28</v>
      </c>
      <c r="C5" s="8" t="s">
        <v>29</v>
      </c>
      <c r="D5" s="7" t="s">
        <v>23</v>
      </c>
      <c r="E5" s="7" t="s">
        <v>30</v>
      </c>
      <c r="F5" s="7" t="s">
        <v>25</v>
      </c>
      <c r="G5" s="9">
        <v>1</v>
      </c>
      <c r="H5" s="9">
        <v>1</v>
      </c>
      <c r="I5" s="10" t="s">
        <v>31</v>
      </c>
    </row>
    <row r="6" spans="1:9" ht="28" customHeight="1" x14ac:dyDescent="0.2">
      <c r="A6" s="7" t="s">
        <v>32</v>
      </c>
      <c r="B6" s="8" t="s">
        <v>33</v>
      </c>
      <c r="C6" s="8" t="s">
        <v>34</v>
      </c>
      <c r="D6" s="7" t="s">
        <v>23</v>
      </c>
      <c r="E6" s="7" t="s">
        <v>30</v>
      </c>
      <c r="F6" s="7" t="s">
        <v>25</v>
      </c>
      <c r="G6" s="9">
        <v>1</v>
      </c>
      <c r="H6" s="9">
        <v>1</v>
      </c>
      <c r="I6" s="10" t="s">
        <v>35</v>
      </c>
    </row>
    <row r="7" spans="1:9" ht="28" customHeight="1" x14ac:dyDescent="0.2">
      <c r="A7" s="7" t="s">
        <v>36</v>
      </c>
      <c r="B7" s="8" t="s">
        <v>37</v>
      </c>
      <c r="C7" s="8" t="s">
        <v>38</v>
      </c>
      <c r="D7" s="7" t="s">
        <v>23</v>
      </c>
      <c r="E7" s="7" t="s">
        <v>39</v>
      </c>
      <c r="F7" s="7" t="s">
        <v>25</v>
      </c>
      <c r="G7" s="9">
        <v>1</v>
      </c>
      <c r="H7" s="9">
        <v>0</v>
      </c>
      <c r="I7" s="10" t="s">
        <v>40</v>
      </c>
    </row>
    <row r="8" spans="1:9" ht="28" customHeight="1" x14ac:dyDescent="0.2">
      <c r="A8" s="7" t="s">
        <v>41</v>
      </c>
      <c r="B8" s="8" t="s">
        <v>42</v>
      </c>
      <c r="C8" s="8" t="s">
        <v>38</v>
      </c>
      <c r="D8" s="7" t="s">
        <v>23</v>
      </c>
      <c r="E8" s="7" t="s">
        <v>39</v>
      </c>
      <c r="F8" s="7" t="s">
        <v>25</v>
      </c>
      <c r="G8" s="9">
        <v>1</v>
      </c>
      <c r="H8" s="9">
        <v>0</v>
      </c>
      <c r="I8" s="10" t="s">
        <v>40</v>
      </c>
    </row>
    <row r="9" spans="1:9" ht="28" customHeight="1" x14ac:dyDescent="0.2">
      <c r="A9" s="7" t="s">
        <v>43</v>
      </c>
      <c r="B9" s="8" t="s">
        <v>44</v>
      </c>
      <c r="C9" s="8" t="s">
        <v>22</v>
      </c>
      <c r="D9" s="7" t="s">
        <v>23</v>
      </c>
      <c r="E9" s="7" t="s">
        <v>39</v>
      </c>
      <c r="F9" s="7" t="s">
        <v>25</v>
      </c>
      <c r="G9" s="9">
        <v>1</v>
      </c>
      <c r="H9" s="9">
        <v>0</v>
      </c>
      <c r="I9" s="10" t="s">
        <v>40</v>
      </c>
    </row>
    <row r="10" spans="1:9" ht="28" customHeight="1" x14ac:dyDescent="0.2">
      <c r="A10" s="7" t="s">
        <v>45</v>
      </c>
      <c r="B10" s="8" t="s">
        <v>46</v>
      </c>
      <c r="C10" s="8" t="s">
        <v>22</v>
      </c>
      <c r="D10" s="7" t="s">
        <v>23</v>
      </c>
      <c r="E10" s="7" t="s">
        <v>39</v>
      </c>
      <c r="F10" s="7" t="s">
        <v>25</v>
      </c>
      <c r="G10" s="9">
        <v>1</v>
      </c>
      <c r="H10" s="9">
        <v>0</v>
      </c>
      <c r="I10" s="10" t="s">
        <v>47</v>
      </c>
    </row>
    <row r="11" spans="1:9" ht="28" customHeight="1" x14ac:dyDescent="0.2">
      <c r="A11" s="7" t="s">
        <v>48</v>
      </c>
      <c r="B11" s="8" t="s">
        <v>49</v>
      </c>
      <c r="C11" s="8" t="s">
        <v>22</v>
      </c>
      <c r="D11" s="7" t="s">
        <v>23</v>
      </c>
      <c r="E11" s="7" t="s">
        <v>30</v>
      </c>
      <c r="F11" s="7" t="s">
        <v>50</v>
      </c>
      <c r="G11" s="9">
        <v>1</v>
      </c>
      <c r="H11" s="9">
        <v>0</v>
      </c>
      <c r="I11" s="10" t="s">
        <v>51</v>
      </c>
    </row>
    <row r="12" spans="1:9" ht="28" customHeight="1" x14ac:dyDescent="0.2">
      <c r="A12" s="7" t="s">
        <v>52</v>
      </c>
      <c r="B12" s="8" t="s">
        <v>53</v>
      </c>
      <c r="C12" s="8" t="s">
        <v>22</v>
      </c>
      <c r="D12" s="7" t="s">
        <v>23</v>
      </c>
      <c r="E12" s="7" t="s">
        <v>39</v>
      </c>
      <c r="F12" s="7" t="s">
        <v>50</v>
      </c>
      <c r="G12" s="9">
        <v>1</v>
      </c>
      <c r="H12" s="9">
        <v>0</v>
      </c>
      <c r="I12" s="10" t="s">
        <v>40</v>
      </c>
    </row>
    <row r="13" spans="1:9" ht="28" customHeight="1" x14ac:dyDescent="0.2">
      <c r="A13" s="7" t="s">
        <v>54</v>
      </c>
      <c r="B13" s="8" t="s">
        <v>55</v>
      </c>
      <c r="C13" s="8" t="s">
        <v>56</v>
      </c>
      <c r="D13" s="7" t="s">
        <v>57</v>
      </c>
      <c r="E13" s="7" t="s">
        <v>24</v>
      </c>
      <c r="F13" s="7" t="s">
        <v>58</v>
      </c>
      <c r="G13" s="9">
        <v>0</v>
      </c>
      <c r="H13" s="9">
        <v>0</v>
      </c>
      <c r="I13" s="10" t="s">
        <v>59</v>
      </c>
    </row>
  </sheetData>
  <mergeCells count="1">
    <mergeCell ref="A1:I1"/>
  </mergeCells>
  <dataValidations count="1">
    <dataValidation type="list" sqref="G4:G13 H4:H13" xr:uid="{00000000-0002-0000-0100-000000000000}">
      <formula1>"0,1"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showGridLines="0" zoomScale="150" workbookViewId="0">
      <pane ySplit="3" topLeftCell="A4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28" customWidth="1"/>
    <col min="2" max="3" width="10" customWidth="1"/>
    <col min="4" max="6" width="12" customWidth="1"/>
    <col min="7" max="8" width="16" customWidth="1"/>
    <col min="9" max="10" width="14" customWidth="1"/>
    <col min="11" max="11" width="16" customWidth="1"/>
  </cols>
  <sheetData>
    <row r="1" spans="1:11" ht="20" customHeight="1" x14ac:dyDescent="0.2">
      <c r="A1" s="35" t="s">
        <v>60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11" ht="20" customHeight="1" x14ac:dyDescent="0.2">
      <c r="A3" s="6" t="s">
        <v>12</v>
      </c>
      <c r="B3" s="6" t="s">
        <v>13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  <c r="K3" s="6" t="s">
        <v>69</v>
      </c>
    </row>
    <row r="4" spans="1:11" ht="18" customHeight="1" x14ac:dyDescent="0.2">
      <c r="A4" s="11" t="str">
        <f>'02_Peer_Screen'!A4</f>
        <v>Eli Lilly</v>
      </c>
      <c r="B4" s="12" t="str">
        <f>'02_Peer_Screen'!B4</f>
        <v>LLY</v>
      </c>
      <c r="C4" s="9" t="s">
        <v>70</v>
      </c>
      <c r="D4" s="13">
        <v>1.1000000000000001</v>
      </c>
      <c r="E4" s="13">
        <v>780</v>
      </c>
      <c r="F4" s="14">
        <v>950</v>
      </c>
      <c r="G4" s="15">
        <f t="shared" ref="G4:G13" si="0">E4*F4</f>
        <v>741000</v>
      </c>
      <c r="H4" s="15">
        <f t="shared" ref="H4:H13" si="1">IF(D4=0,"",G4/D4)</f>
        <v>673636.36363636353</v>
      </c>
      <c r="I4" s="16">
        <v>10000</v>
      </c>
      <c r="J4" s="16">
        <v>0</v>
      </c>
      <c r="K4" s="15">
        <f t="shared" ref="K4:K13" si="2">H4+I4+J4</f>
        <v>683636.36363636353</v>
      </c>
    </row>
    <row r="5" spans="1:11" ht="18" customHeight="1" x14ac:dyDescent="0.2">
      <c r="A5" s="11" t="str">
        <f>'02_Peer_Screen'!A5</f>
        <v>Sanofi</v>
      </c>
      <c r="B5" s="12" t="str">
        <f>'02_Peer_Screen'!B5</f>
        <v>SAN</v>
      </c>
      <c r="C5" s="9" t="s">
        <v>6</v>
      </c>
      <c r="D5" s="13">
        <v>1</v>
      </c>
      <c r="E5" s="13">
        <v>90</v>
      </c>
      <c r="F5" s="14">
        <v>1250</v>
      </c>
      <c r="G5" s="15">
        <f t="shared" si="0"/>
        <v>112500</v>
      </c>
      <c r="H5" s="15">
        <f t="shared" si="1"/>
        <v>112500</v>
      </c>
      <c r="I5" s="16">
        <v>12000</v>
      </c>
      <c r="J5" s="16">
        <v>0</v>
      </c>
      <c r="K5" s="15">
        <f t="shared" si="2"/>
        <v>124500</v>
      </c>
    </row>
    <row r="6" spans="1:11" ht="18" customHeight="1" x14ac:dyDescent="0.2">
      <c r="A6" s="11" t="str">
        <f>'02_Peer_Screen'!A6</f>
        <v>AstraZeneca</v>
      </c>
      <c r="B6" s="12" t="str">
        <f>'02_Peer_Screen'!B6</f>
        <v>AZN</v>
      </c>
      <c r="C6" s="9" t="s">
        <v>71</v>
      </c>
      <c r="D6" s="13">
        <v>0.86</v>
      </c>
      <c r="E6" s="13">
        <v>110</v>
      </c>
      <c r="F6" s="14">
        <v>3100</v>
      </c>
      <c r="G6" s="15">
        <f t="shared" si="0"/>
        <v>341000</v>
      </c>
      <c r="H6" s="15">
        <f t="shared" si="1"/>
        <v>396511.62790697673</v>
      </c>
      <c r="I6" s="16">
        <v>25000</v>
      </c>
      <c r="J6" s="16">
        <v>0</v>
      </c>
      <c r="K6" s="15">
        <f t="shared" si="2"/>
        <v>421511.62790697673</v>
      </c>
    </row>
    <row r="7" spans="1:11" ht="18" customHeight="1" x14ac:dyDescent="0.2">
      <c r="A7" s="11" t="str">
        <f>'02_Peer_Screen'!A7</f>
        <v>Roche</v>
      </c>
      <c r="B7" s="12" t="str">
        <f>'02_Peer_Screen'!B7</f>
        <v>ROG</v>
      </c>
      <c r="C7" s="9" t="s">
        <v>72</v>
      </c>
      <c r="D7" s="13">
        <v>0.96</v>
      </c>
      <c r="E7" s="13">
        <v>260</v>
      </c>
      <c r="F7" s="14">
        <v>850</v>
      </c>
      <c r="G7" s="15">
        <f t="shared" si="0"/>
        <v>221000</v>
      </c>
      <c r="H7" s="15">
        <f t="shared" si="1"/>
        <v>230208.33333333334</v>
      </c>
      <c r="I7" s="16">
        <v>-5000</v>
      </c>
      <c r="J7" s="16">
        <v>1000</v>
      </c>
      <c r="K7" s="15">
        <f t="shared" si="2"/>
        <v>226208.33333333334</v>
      </c>
    </row>
    <row r="8" spans="1:11" ht="18" customHeight="1" x14ac:dyDescent="0.2">
      <c r="A8" s="11" t="str">
        <f>'02_Peer_Screen'!A8</f>
        <v>Novartis</v>
      </c>
      <c r="B8" s="12" t="str">
        <f>'02_Peer_Screen'!B8</f>
        <v>NVS</v>
      </c>
      <c r="C8" s="9" t="s">
        <v>72</v>
      </c>
      <c r="D8" s="13">
        <v>0.96</v>
      </c>
      <c r="E8" s="13">
        <v>92</v>
      </c>
      <c r="F8" s="14">
        <v>2060</v>
      </c>
      <c r="G8" s="15">
        <f t="shared" si="0"/>
        <v>189520</v>
      </c>
      <c r="H8" s="15">
        <f t="shared" si="1"/>
        <v>197416.66666666669</v>
      </c>
      <c r="I8" s="16">
        <v>5000</v>
      </c>
      <c r="J8" s="16">
        <v>0</v>
      </c>
      <c r="K8" s="15">
        <f t="shared" si="2"/>
        <v>202416.66666666669</v>
      </c>
    </row>
    <row r="9" spans="1:11" ht="18" customHeight="1" x14ac:dyDescent="0.2">
      <c r="A9" s="11" t="str">
        <f>'02_Peer_Screen'!A9</f>
        <v>Merck &amp; Co.</v>
      </c>
      <c r="B9" s="12" t="str">
        <f>'02_Peer_Screen'!B9</f>
        <v>MRK</v>
      </c>
      <c r="C9" s="9" t="s">
        <v>70</v>
      </c>
      <c r="D9" s="13">
        <v>1.1000000000000001</v>
      </c>
      <c r="E9" s="13">
        <v>125</v>
      </c>
      <c r="F9" s="14">
        <v>2540</v>
      </c>
      <c r="G9" s="15">
        <f t="shared" si="0"/>
        <v>317500</v>
      </c>
      <c r="H9" s="15">
        <f t="shared" si="1"/>
        <v>288636.36363636359</v>
      </c>
      <c r="I9" s="16">
        <v>15000</v>
      </c>
      <c r="J9" s="16">
        <v>0</v>
      </c>
      <c r="K9" s="15">
        <f t="shared" si="2"/>
        <v>303636.36363636359</v>
      </c>
    </row>
    <row r="10" spans="1:11" ht="18" customHeight="1" x14ac:dyDescent="0.2">
      <c r="A10" s="11" t="str">
        <f>'02_Peer_Screen'!A10</f>
        <v>AbbVie</v>
      </c>
      <c r="B10" s="12" t="str">
        <f>'02_Peer_Screen'!B10</f>
        <v>ABBV</v>
      </c>
      <c r="C10" s="9" t="s">
        <v>70</v>
      </c>
      <c r="D10" s="13">
        <v>1.1000000000000001</v>
      </c>
      <c r="E10" s="13">
        <v>165</v>
      </c>
      <c r="F10" s="14">
        <v>1770</v>
      </c>
      <c r="G10" s="15">
        <f t="shared" si="0"/>
        <v>292050</v>
      </c>
      <c r="H10" s="15">
        <f t="shared" si="1"/>
        <v>265500</v>
      </c>
      <c r="I10" s="16">
        <v>55000</v>
      </c>
      <c r="J10" s="16">
        <v>0</v>
      </c>
      <c r="K10" s="15">
        <f t="shared" si="2"/>
        <v>320500</v>
      </c>
    </row>
    <row r="11" spans="1:11" ht="18" customHeight="1" x14ac:dyDescent="0.2">
      <c r="A11" s="11" t="str">
        <f>'02_Peer_Screen'!A11</f>
        <v>Amgen</v>
      </c>
      <c r="B11" s="12" t="str">
        <f>'02_Peer_Screen'!B11</f>
        <v>AMGN</v>
      </c>
      <c r="C11" s="9" t="s">
        <v>70</v>
      </c>
      <c r="D11" s="13">
        <v>1.1000000000000001</v>
      </c>
      <c r="E11" s="13">
        <v>290</v>
      </c>
      <c r="F11" s="14">
        <v>540</v>
      </c>
      <c r="G11" s="15">
        <f t="shared" si="0"/>
        <v>156600</v>
      </c>
      <c r="H11" s="15">
        <f t="shared" si="1"/>
        <v>142363.63636363635</v>
      </c>
      <c r="I11" s="16">
        <v>35000</v>
      </c>
      <c r="J11" s="16">
        <v>0</v>
      </c>
      <c r="K11" s="15">
        <f t="shared" si="2"/>
        <v>177363.63636363635</v>
      </c>
    </row>
    <row r="12" spans="1:11" ht="18" customHeight="1" x14ac:dyDescent="0.2">
      <c r="A12" s="11" t="str">
        <f>'02_Peer_Screen'!A12</f>
        <v>Bristol Myers Squibb</v>
      </c>
      <c r="B12" s="12" t="str">
        <f>'02_Peer_Screen'!B12</f>
        <v>BMY</v>
      </c>
      <c r="C12" s="9" t="s">
        <v>70</v>
      </c>
      <c r="D12" s="13">
        <v>1.1000000000000001</v>
      </c>
      <c r="E12" s="13">
        <v>54</v>
      </c>
      <c r="F12" s="14">
        <v>2060</v>
      </c>
      <c r="G12" s="15">
        <f t="shared" si="0"/>
        <v>111240</v>
      </c>
      <c r="H12" s="15">
        <f t="shared" si="1"/>
        <v>101127.27272727272</v>
      </c>
      <c r="I12" s="16">
        <v>45000</v>
      </c>
      <c r="J12" s="16">
        <v>0</v>
      </c>
      <c r="K12" s="15">
        <f t="shared" si="2"/>
        <v>146127.27272727271</v>
      </c>
    </row>
    <row r="13" spans="1:11" ht="18" customHeight="1" x14ac:dyDescent="0.2">
      <c r="A13" s="11" t="str">
        <f>'02_Peer_Screen'!A13</f>
        <v>Zealand Pharma</v>
      </c>
      <c r="B13" s="12" t="str">
        <f>'02_Peer_Screen'!B13</f>
        <v>ZEAL</v>
      </c>
      <c r="C13" s="9" t="s">
        <v>73</v>
      </c>
      <c r="D13" s="13">
        <v>7.45</v>
      </c>
      <c r="E13" s="13">
        <v>620</v>
      </c>
      <c r="F13" s="14">
        <v>75</v>
      </c>
      <c r="G13" s="15">
        <f t="shared" si="0"/>
        <v>46500</v>
      </c>
      <c r="H13" s="15">
        <f t="shared" si="1"/>
        <v>6241.6107382550335</v>
      </c>
      <c r="I13" s="16">
        <v>-1000</v>
      </c>
      <c r="J13" s="16">
        <v>0</v>
      </c>
      <c r="K13" s="15">
        <f t="shared" si="2"/>
        <v>5241.6107382550335</v>
      </c>
    </row>
  </sheetData>
  <mergeCells count="1">
    <mergeCell ref="A1:K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="150" workbookViewId="0">
      <pane ySplit="3" topLeftCell="A4" activePane="bottomLeft" state="frozen"/>
      <selection pane="bottomLeft" activeCell="C3" sqref="C3"/>
    </sheetView>
  </sheetViews>
  <sheetFormatPr baseColWidth="10" defaultColWidth="8.83203125" defaultRowHeight="15" x14ac:dyDescent="0.2"/>
  <cols>
    <col min="1" max="1" width="28" customWidth="1"/>
    <col min="2" max="4" width="18" customWidth="1"/>
    <col min="5" max="5" width="14" customWidth="1"/>
    <col min="6" max="7" width="16" customWidth="1"/>
    <col min="8" max="8" width="30" customWidth="1"/>
  </cols>
  <sheetData>
    <row r="1" spans="1:8" ht="20" customHeight="1" x14ac:dyDescent="0.2">
      <c r="A1" s="35" t="s">
        <v>74</v>
      </c>
      <c r="B1" s="36"/>
      <c r="C1" s="36"/>
      <c r="D1" s="36"/>
      <c r="E1" s="36"/>
      <c r="F1" s="36"/>
      <c r="G1" s="36"/>
      <c r="H1" s="36"/>
    </row>
    <row r="3" spans="1:8" ht="18" customHeight="1" x14ac:dyDescent="0.2">
      <c r="A3" s="6" t="s">
        <v>12</v>
      </c>
      <c r="B3" s="6" t="s">
        <v>75</v>
      </c>
      <c r="C3" s="6" t="s">
        <v>76</v>
      </c>
      <c r="D3" s="6" t="s">
        <v>77</v>
      </c>
      <c r="E3" s="6" t="s">
        <v>78</v>
      </c>
      <c r="F3" s="6" t="s">
        <v>79</v>
      </c>
      <c r="G3" s="6" t="s">
        <v>80</v>
      </c>
      <c r="H3" s="6" t="s">
        <v>9</v>
      </c>
    </row>
    <row r="4" spans="1:8" ht="18" customHeight="1" x14ac:dyDescent="0.2">
      <c r="A4" s="11" t="str">
        <f>'03_Market_Data'!A4</f>
        <v>Eli Lilly</v>
      </c>
      <c r="B4" s="16">
        <v>54000</v>
      </c>
      <c r="C4" s="16">
        <v>18500</v>
      </c>
      <c r="D4" s="16">
        <v>16500</v>
      </c>
      <c r="E4" s="13">
        <v>11.5</v>
      </c>
      <c r="F4" s="17">
        <v>0.18</v>
      </c>
      <c r="G4" s="18">
        <f t="shared" ref="G4:G13" si="0">IF(B4=0,"",D4/B4)</f>
        <v>0.30555555555555558</v>
      </c>
      <c r="H4" s="7"/>
    </row>
    <row r="5" spans="1:8" ht="18" customHeight="1" x14ac:dyDescent="0.2">
      <c r="A5" s="11" t="str">
        <f>'03_Market_Data'!A5</f>
        <v>Sanofi</v>
      </c>
      <c r="B5" s="16">
        <v>45000</v>
      </c>
      <c r="C5" s="16">
        <v>12500</v>
      </c>
      <c r="D5" s="16">
        <v>10500</v>
      </c>
      <c r="E5" s="13">
        <v>6.2</v>
      </c>
      <c r="F5" s="17">
        <v>0.06</v>
      </c>
      <c r="G5" s="18">
        <f t="shared" si="0"/>
        <v>0.23333333333333334</v>
      </c>
      <c r="H5" s="7"/>
    </row>
    <row r="6" spans="1:8" ht="18" customHeight="1" x14ac:dyDescent="0.2">
      <c r="A6" s="11" t="str">
        <f>'03_Market_Data'!A6</f>
        <v>AstraZeneca</v>
      </c>
      <c r="B6" s="16">
        <v>50000</v>
      </c>
      <c r="C6" s="16">
        <v>15000</v>
      </c>
      <c r="D6" s="16">
        <v>13000</v>
      </c>
      <c r="E6" s="13">
        <v>3.8</v>
      </c>
      <c r="F6" s="17">
        <v>0.09</v>
      </c>
      <c r="G6" s="18">
        <f t="shared" si="0"/>
        <v>0.26</v>
      </c>
      <c r="H6" s="7"/>
    </row>
    <row r="7" spans="1:8" ht="18" customHeight="1" x14ac:dyDescent="0.2">
      <c r="A7" s="11" t="str">
        <f>'03_Market_Data'!A7</f>
        <v>Roche</v>
      </c>
      <c r="B7" s="16">
        <v>62000</v>
      </c>
      <c r="C7" s="16">
        <v>19000</v>
      </c>
      <c r="D7" s="16">
        <v>16000</v>
      </c>
      <c r="E7" s="13">
        <v>17</v>
      </c>
      <c r="F7" s="17">
        <v>0.04</v>
      </c>
      <c r="G7" s="18">
        <f t="shared" si="0"/>
        <v>0.25806451612903225</v>
      </c>
      <c r="H7" s="7"/>
    </row>
    <row r="8" spans="1:8" ht="18" customHeight="1" x14ac:dyDescent="0.2">
      <c r="A8" s="11" t="str">
        <f>'03_Market_Data'!A8</f>
        <v>Novartis</v>
      </c>
      <c r="B8" s="16">
        <v>55000</v>
      </c>
      <c r="C8" s="16">
        <v>20000</v>
      </c>
      <c r="D8" s="16">
        <v>17000</v>
      </c>
      <c r="E8" s="13">
        <v>7.5</v>
      </c>
      <c r="F8" s="17">
        <v>0.05</v>
      </c>
      <c r="G8" s="18">
        <f t="shared" si="0"/>
        <v>0.30909090909090908</v>
      </c>
      <c r="H8" s="7"/>
    </row>
    <row r="9" spans="1:8" ht="18" customHeight="1" x14ac:dyDescent="0.2">
      <c r="A9" s="11" t="str">
        <f>'03_Market_Data'!A9</f>
        <v>Merck &amp; Co.</v>
      </c>
      <c r="B9" s="16">
        <v>60000</v>
      </c>
      <c r="C9" s="16">
        <v>25000</v>
      </c>
      <c r="D9" s="16">
        <v>22000</v>
      </c>
      <c r="E9" s="13">
        <v>6.8</v>
      </c>
      <c r="F9" s="17">
        <v>0.06</v>
      </c>
      <c r="G9" s="18">
        <f t="shared" si="0"/>
        <v>0.36666666666666664</v>
      </c>
      <c r="H9" s="7"/>
    </row>
    <row r="10" spans="1:8" ht="18" customHeight="1" x14ac:dyDescent="0.2">
      <c r="A10" s="11" t="str">
        <f>'03_Market_Data'!A10</f>
        <v>AbbVie</v>
      </c>
      <c r="B10" s="16">
        <v>55000</v>
      </c>
      <c r="C10" s="16">
        <v>25500</v>
      </c>
      <c r="D10" s="16">
        <v>22500</v>
      </c>
      <c r="E10" s="13">
        <v>5.9</v>
      </c>
      <c r="F10" s="17">
        <v>0.03</v>
      </c>
      <c r="G10" s="18">
        <f t="shared" si="0"/>
        <v>0.40909090909090912</v>
      </c>
      <c r="H10" s="7"/>
    </row>
    <row r="11" spans="1:8" ht="18" customHeight="1" x14ac:dyDescent="0.2">
      <c r="A11" s="11" t="str">
        <f>'03_Market_Data'!A11</f>
        <v>Amgen</v>
      </c>
      <c r="B11" s="16">
        <v>31000</v>
      </c>
      <c r="C11" s="16">
        <v>14000</v>
      </c>
      <c r="D11" s="16">
        <v>12000</v>
      </c>
      <c r="E11" s="13">
        <v>15</v>
      </c>
      <c r="F11" s="17">
        <v>0.04</v>
      </c>
      <c r="G11" s="18">
        <f t="shared" si="0"/>
        <v>0.38709677419354838</v>
      </c>
      <c r="H11" s="7"/>
    </row>
    <row r="12" spans="1:8" ht="18" customHeight="1" x14ac:dyDescent="0.2">
      <c r="A12" s="11" t="str">
        <f>'03_Market_Data'!A12</f>
        <v>Bristol Myers Squibb</v>
      </c>
      <c r="B12" s="16">
        <v>43000</v>
      </c>
      <c r="C12" s="16">
        <v>18000</v>
      </c>
      <c r="D12" s="16">
        <v>15500</v>
      </c>
      <c r="E12" s="13">
        <v>3.2</v>
      </c>
      <c r="F12" s="17">
        <v>0.02</v>
      </c>
      <c r="G12" s="18">
        <f t="shared" si="0"/>
        <v>0.36046511627906974</v>
      </c>
      <c r="H12" s="7"/>
    </row>
    <row r="13" spans="1:8" ht="18" customHeight="1" x14ac:dyDescent="0.2">
      <c r="A13" s="11" t="str">
        <f>'03_Market_Data'!A13</f>
        <v>Zealand Pharma</v>
      </c>
      <c r="B13" s="16">
        <v>800</v>
      </c>
      <c r="C13" s="16">
        <v>50</v>
      </c>
      <c r="D13" s="16">
        <v>0</v>
      </c>
      <c r="E13" s="13">
        <v>0.1</v>
      </c>
      <c r="F13" s="17">
        <v>0.25</v>
      </c>
      <c r="G13" s="18">
        <f t="shared" si="0"/>
        <v>0</v>
      </c>
      <c r="H13" s="7"/>
    </row>
  </sheetData>
  <mergeCells count="1">
    <mergeCell ref="A1:H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showGridLines="0" zoomScale="173" workbookViewId="0">
      <pane ySplit="3" topLeftCell="A4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8" customWidth="1"/>
    <col min="2" max="3" width="8" customWidth="1"/>
    <col min="4" max="4" width="10" customWidth="1"/>
    <col min="5" max="8" width="16" customWidth="1"/>
    <col min="9" max="10" width="12" customWidth="1"/>
    <col min="11" max="11" width="10" customWidth="1"/>
    <col min="12" max="14" width="12" customWidth="1"/>
    <col min="15" max="15" width="10" customWidth="1"/>
  </cols>
  <sheetData>
    <row r="1" spans="1:15" ht="20" customHeight="1" x14ac:dyDescent="0.2">
      <c r="A1" s="35" t="s">
        <v>81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2">
      <c r="A2" t="s">
        <v>202</v>
      </c>
    </row>
    <row r="3" spans="1:15" ht="18" customHeight="1" x14ac:dyDescent="0.2">
      <c r="A3" s="6" t="s">
        <v>12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89</v>
      </c>
      <c r="J3" s="6" t="s">
        <v>90</v>
      </c>
      <c r="K3" s="6"/>
      <c r="L3" s="6" t="s">
        <v>91</v>
      </c>
      <c r="M3" s="6" t="s">
        <v>92</v>
      </c>
      <c r="N3" s="6" t="s">
        <v>93</v>
      </c>
      <c r="O3" s="6" t="s">
        <v>94</v>
      </c>
    </row>
    <row r="4" spans="1:15" ht="18" customHeight="1" x14ac:dyDescent="0.2">
      <c r="A4" s="11" t="str">
        <f>'03_Market_Data'!A4</f>
        <v>Eli Lilly</v>
      </c>
      <c r="B4" s="12">
        <f>'02_Peer_Screen'!G4</f>
        <v>1</v>
      </c>
      <c r="C4" s="12">
        <f>'02_Peer_Screen'!H4</f>
        <v>1</v>
      </c>
      <c r="D4" s="12">
        <f>IF(OR('02_Peer_Screen'!E4="High",'02_Peer_Screen'!E4="Medium"),1,0)</f>
        <v>1</v>
      </c>
      <c r="E4" s="19">
        <f>'03_Market_Data'!K4</f>
        <v>683636.36363636353</v>
      </c>
      <c r="F4" s="19">
        <f>'04_Consensus'!B4</f>
        <v>54000</v>
      </c>
      <c r="G4" s="19">
        <f>'04_Consensus'!C4</f>
        <v>18500</v>
      </c>
      <c r="H4" s="19">
        <f>'04_Consensus'!D4</f>
        <v>16500</v>
      </c>
      <c r="I4" s="20">
        <f>IF('03_Market_Data'!D4=0,"",'03_Market_Data'!E4/'03_Market_Data'!D4)</f>
        <v>709.09090909090901</v>
      </c>
      <c r="J4" s="20">
        <f>'04_Consensus'!E4</f>
        <v>11.5</v>
      </c>
      <c r="K4" s="21"/>
      <c r="L4" s="22">
        <f t="shared" ref="L4:L13" si="0">IF(F4=0,"",E4/F4)</f>
        <v>12.659932659932657</v>
      </c>
      <c r="M4" s="22">
        <f t="shared" ref="M4:M13" si="1">IF(G4=0,"",E4/G4)</f>
        <v>36.95331695331695</v>
      </c>
      <c r="N4" s="22">
        <f t="shared" ref="N4:N13" si="2">IF(H4=0,"",E4/H4)</f>
        <v>41.432506887052334</v>
      </c>
      <c r="O4" s="22">
        <f t="shared" ref="O4:O13" si="3">IF(J4=0,"",I4/J4)</f>
        <v>61.660079051383391</v>
      </c>
    </row>
    <row r="5" spans="1:15" ht="18" customHeight="1" x14ac:dyDescent="0.2">
      <c r="A5" s="11" t="str">
        <f>'03_Market_Data'!A5</f>
        <v>Sanofi</v>
      </c>
      <c r="B5" s="12">
        <f>'02_Peer_Screen'!G5</f>
        <v>1</v>
      </c>
      <c r="C5" s="12">
        <f>'02_Peer_Screen'!H5</f>
        <v>1</v>
      </c>
      <c r="D5" s="12">
        <f>IF(OR('02_Peer_Screen'!E5="High",'02_Peer_Screen'!E5="Medium"),1,0)</f>
        <v>1</v>
      </c>
      <c r="E5" s="19">
        <f>'03_Market_Data'!K5</f>
        <v>124500</v>
      </c>
      <c r="F5" s="19">
        <f>'04_Consensus'!B5</f>
        <v>45000</v>
      </c>
      <c r="G5" s="19">
        <f>'04_Consensus'!C5</f>
        <v>12500</v>
      </c>
      <c r="H5" s="19">
        <f>'04_Consensus'!D5</f>
        <v>10500</v>
      </c>
      <c r="I5" s="20">
        <f>IF('03_Market_Data'!D5=0,"",'03_Market_Data'!E5/'03_Market_Data'!D5)</f>
        <v>90</v>
      </c>
      <c r="J5" s="20">
        <f>'04_Consensus'!E5</f>
        <v>6.2</v>
      </c>
      <c r="K5" s="21"/>
      <c r="L5" s="22">
        <f t="shared" si="0"/>
        <v>2.7666666666666666</v>
      </c>
      <c r="M5" s="22">
        <f t="shared" si="1"/>
        <v>9.9600000000000009</v>
      </c>
      <c r="N5" s="22">
        <f t="shared" si="2"/>
        <v>11.857142857142858</v>
      </c>
      <c r="O5" s="22">
        <f t="shared" si="3"/>
        <v>14.516129032258064</v>
      </c>
    </row>
    <row r="6" spans="1:15" ht="18" customHeight="1" x14ac:dyDescent="0.2">
      <c r="A6" s="11" t="str">
        <f>'03_Market_Data'!A6</f>
        <v>AstraZeneca</v>
      </c>
      <c r="B6" s="12">
        <f>'02_Peer_Screen'!G6</f>
        <v>1</v>
      </c>
      <c r="C6" s="12">
        <f>'02_Peer_Screen'!H6</f>
        <v>1</v>
      </c>
      <c r="D6" s="12">
        <f>IF(OR('02_Peer_Screen'!E6="High",'02_Peer_Screen'!E6="Medium"),1,0)</f>
        <v>1</v>
      </c>
      <c r="E6" s="19">
        <f>'03_Market_Data'!K6</f>
        <v>421511.62790697673</v>
      </c>
      <c r="F6" s="19">
        <f>'04_Consensus'!B6</f>
        <v>50000</v>
      </c>
      <c r="G6" s="19">
        <f>'04_Consensus'!C6</f>
        <v>15000</v>
      </c>
      <c r="H6" s="19">
        <f>'04_Consensus'!D6</f>
        <v>13000</v>
      </c>
      <c r="I6" s="20">
        <f>IF('03_Market_Data'!D6=0,"",'03_Market_Data'!E6/'03_Market_Data'!D6)</f>
        <v>127.90697674418605</v>
      </c>
      <c r="J6" s="20">
        <f>'04_Consensus'!E6</f>
        <v>3.8</v>
      </c>
      <c r="K6" s="21"/>
      <c r="L6" s="22">
        <f t="shared" si="0"/>
        <v>8.4302325581395348</v>
      </c>
      <c r="M6" s="22">
        <f t="shared" si="1"/>
        <v>28.100775193798448</v>
      </c>
      <c r="N6" s="22">
        <f t="shared" si="2"/>
        <v>32.42397137745975</v>
      </c>
      <c r="O6" s="22">
        <f t="shared" si="3"/>
        <v>33.659730722154229</v>
      </c>
    </row>
    <row r="7" spans="1:15" ht="18" customHeight="1" x14ac:dyDescent="0.2">
      <c r="A7" s="11" t="str">
        <f>'03_Market_Data'!A7</f>
        <v>Roche</v>
      </c>
      <c r="B7" s="12">
        <f>'02_Peer_Screen'!G7</f>
        <v>1</v>
      </c>
      <c r="C7" s="12">
        <f>'02_Peer_Screen'!H7</f>
        <v>0</v>
      </c>
      <c r="D7" s="12">
        <f>IF(OR('02_Peer_Screen'!E7="High",'02_Peer_Screen'!E7="Medium"),1,0)</f>
        <v>0</v>
      </c>
      <c r="E7" s="19">
        <f>'03_Market_Data'!K7</f>
        <v>226208.33333333334</v>
      </c>
      <c r="F7" s="19">
        <f>'04_Consensus'!B7</f>
        <v>62000</v>
      </c>
      <c r="G7" s="19">
        <f>'04_Consensus'!C7</f>
        <v>19000</v>
      </c>
      <c r="H7" s="19">
        <f>'04_Consensus'!D7</f>
        <v>16000</v>
      </c>
      <c r="I7" s="20">
        <f>IF('03_Market_Data'!D7=0,"",'03_Market_Data'!E7/'03_Market_Data'!D7)</f>
        <v>270.83333333333337</v>
      </c>
      <c r="J7" s="20">
        <f>'04_Consensus'!E7</f>
        <v>17</v>
      </c>
      <c r="K7" s="21"/>
      <c r="L7" s="22">
        <f t="shared" si="0"/>
        <v>3.6485215053763445</v>
      </c>
      <c r="M7" s="22">
        <f t="shared" si="1"/>
        <v>11.905701754385966</v>
      </c>
      <c r="N7" s="22">
        <f t="shared" si="2"/>
        <v>14.138020833333334</v>
      </c>
      <c r="O7" s="22">
        <f t="shared" si="3"/>
        <v>15.93137254901961</v>
      </c>
    </row>
    <row r="8" spans="1:15" ht="18" customHeight="1" x14ac:dyDescent="0.2">
      <c r="A8" s="11" t="str">
        <f>'03_Market_Data'!A8</f>
        <v>Novartis</v>
      </c>
      <c r="B8" s="12">
        <f>'02_Peer_Screen'!G8</f>
        <v>1</v>
      </c>
      <c r="C8" s="12">
        <f>'02_Peer_Screen'!H8</f>
        <v>0</v>
      </c>
      <c r="D8" s="12">
        <f>IF(OR('02_Peer_Screen'!E8="High",'02_Peer_Screen'!E8="Medium"),1,0)</f>
        <v>0</v>
      </c>
      <c r="E8" s="19">
        <f>'03_Market_Data'!K8</f>
        <v>202416.66666666669</v>
      </c>
      <c r="F8" s="19">
        <f>'04_Consensus'!B8</f>
        <v>55000</v>
      </c>
      <c r="G8" s="19">
        <f>'04_Consensus'!C8</f>
        <v>20000</v>
      </c>
      <c r="H8" s="19">
        <f>'04_Consensus'!D8</f>
        <v>17000</v>
      </c>
      <c r="I8" s="20">
        <f>IF('03_Market_Data'!D8=0,"",'03_Market_Data'!E8/'03_Market_Data'!D8)</f>
        <v>95.833333333333343</v>
      </c>
      <c r="J8" s="20">
        <f>'04_Consensus'!E8</f>
        <v>7.5</v>
      </c>
      <c r="K8" s="21"/>
      <c r="L8" s="22">
        <f t="shared" si="0"/>
        <v>3.6803030303030306</v>
      </c>
      <c r="M8" s="22">
        <f t="shared" si="1"/>
        <v>10.120833333333334</v>
      </c>
      <c r="N8" s="22">
        <f t="shared" si="2"/>
        <v>11.90686274509804</v>
      </c>
      <c r="O8" s="22">
        <f t="shared" si="3"/>
        <v>12.777777777777779</v>
      </c>
    </row>
    <row r="9" spans="1:15" ht="18" customHeight="1" x14ac:dyDescent="0.2">
      <c r="A9" s="11" t="str">
        <f>'03_Market_Data'!A9</f>
        <v>Merck &amp; Co.</v>
      </c>
      <c r="B9" s="12">
        <f>'02_Peer_Screen'!G9</f>
        <v>1</v>
      </c>
      <c r="C9" s="12">
        <f>'02_Peer_Screen'!H9</f>
        <v>0</v>
      </c>
      <c r="D9" s="12">
        <f>IF(OR('02_Peer_Screen'!E9="High",'02_Peer_Screen'!E9="Medium"),1,0)</f>
        <v>0</v>
      </c>
      <c r="E9" s="19">
        <f>'03_Market_Data'!K9</f>
        <v>303636.36363636359</v>
      </c>
      <c r="F9" s="19">
        <f>'04_Consensus'!B9</f>
        <v>60000</v>
      </c>
      <c r="G9" s="19">
        <f>'04_Consensus'!C9</f>
        <v>25000</v>
      </c>
      <c r="H9" s="19">
        <f>'04_Consensus'!D9</f>
        <v>22000</v>
      </c>
      <c r="I9" s="20">
        <f>IF('03_Market_Data'!D9=0,"",'03_Market_Data'!E9/'03_Market_Data'!D9)</f>
        <v>113.63636363636363</v>
      </c>
      <c r="J9" s="20">
        <f>'04_Consensus'!E9</f>
        <v>6.8</v>
      </c>
      <c r="K9" s="21"/>
      <c r="L9" s="22">
        <f t="shared" si="0"/>
        <v>5.0606060606060597</v>
      </c>
      <c r="M9" s="22">
        <f t="shared" si="1"/>
        <v>12.145454545454543</v>
      </c>
      <c r="N9" s="22">
        <f t="shared" si="2"/>
        <v>13.801652892561981</v>
      </c>
      <c r="O9" s="22">
        <f t="shared" si="3"/>
        <v>16.711229946524064</v>
      </c>
    </row>
    <row r="10" spans="1:15" ht="18" customHeight="1" x14ac:dyDescent="0.2">
      <c r="A10" s="11" t="str">
        <f>'03_Market_Data'!A10</f>
        <v>AbbVie</v>
      </c>
      <c r="B10" s="12">
        <f>'02_Peer_Screen'!G10</f>
        <v>1</v>
      </c>
      <c r="C10" s="12">
        <f>'02_Peer_Screen'!H10</f>
        <v>0</v>
      </c>
      <c r="D10" s="12">
        <f>IF(OR('02_Peer_Screen'!E10="High",'02_Peer_Screen'!E10="Medium"),1,0)</f>
        <v>0</v>
      </c>
      <c r="E10" s="19">
        <f>'03_Market_Data'!K10</f>
        <v>320500</v>
      </c>
      <c r="F10" s="19">
        <f>'04_Consensus'!B10</f>
        <v>55000</v>
      </c>
      <c r="G10" s="19">
        <f>'04_Consensus'!C10</f>
        <v>25500</v>
      </c>
      <c r="H10" s="19">
        <f>'04_Consensus'!D10</f>
        <v>22500</v>
      </c>
      <c r="I10" s="20">
        <f>IF('03_Market_Data'!D10=0,"",'03_Market_Data'!E10/'03_Market_Data'!D10)</f>
        <v>150</v>
      </c>
      <c r="J10" s="20">
        <f>'04_Consensus'!E10</f>
        <v>5.9</v>
      </c>
      <c r="K10" s="21"/>
      <c r="L10" s="22">
        <f t="shared" si="0"/>
        <v>5.8272727272727272</v>
      </c>
      <c r="M10" s="22">
        <f t="shared" si="1"/>
        <v>12.568627450980392</v>
      </c>
      <c r="N10" s="22">
        <f t="shared" si="2"/>
        <v>14.244444444444444</v>
      </c>
      <c r="O10" s="22">
        <f t="shared" si="3"/>
        <v>25.423728813559322</v>
      </c>
    </row>
    <row r="11" spans="1:15" ht="18" customHeight="1" x14ac:dyDescent="0.2">
      <c r="A11" s="11" t="str">
        <f>'03_Market_Data'!A11</f>
        <v>Amgen</v>
      </c>
      <c r="B11" s="12">
        <f>'02_Peer_Screen'!G11</f>
        <v>1</v>
      </c>
      <c r="C11" s="12">
        <f>'02_Peer_Screen'!H11</f>
        <v>0</v>
      </c>
      <c r="D11" s="12">
        <f>IF(OR('02_Peer_Screen'!E11="High",'02_Peer_Screen'!E11="Medium"),1,0)</f>
        <v>1</v>
      </c>
      <c r="E11" s="19">
        <f>'03_Market_Data'!K11</f>
        <v>177363.63636363635</v>
      </c>
      <c r="F11" s="19">
        <f>'04_Consensus'!B11</f>
        <v>31000</v>
      </c>
      <c r="G11" s="19">
        <f>'04_Consensus'!C11</f>
        <v>14000</v>
      </c>
      <c r="H11" s="19">
        <f>'04_Consensus'!D11</f>
        <v>12000</v>
      </c>
      <c r="I11" s="20">
        <f>IF('03_Market_Data'!D11=0,"",'03_Market_Data'!E11/'03_Market_Data'!D11)</f>
        <v>263.63636363636363</v>
      </c>
      <c r="J11" s="20">
        <f>'04_Consensus'!E11</f>
        <v>15</v>
      </c>
      <c r="K11" s="21"/>
      <c r="L11" s="22">
        <f t="shared" si="0"/>
        <v>5.7214076246334304</v>
      </c>
      <c r="M11" s="22">
        <f t="shared" si="1"/>
        <v>12.668831168831169</v>
      </c>
      <c r="N11" s="22">
        <f t="shared" si="2"/>
        <v>14.780303030303029</v>
      </c>
      <c r="O11" s="22">
        <f t="shared" si="3"/>
        <v>17.575757575757574</v>
      </c>
    </row>
    <row r="12" spans="1:15" ht="18" customHeight="1" x14ac:dyDescent="0.2">
      <c r="A12" s="11" t="str">
        <f>'03_Market_Data'!A12</f>
        <v>Bristol Myers Squibb</v>
      </c>
      <c r="B12" s="12">
        <f>'02_Peer_Screen'!G12</f>
        <v>1</v>
      </c>
      <c r="C12" s="12">
        <f>'02_Peer_Screen'!H12</f>
        <v>0</v>
      </c>
      <c r="D12" s="12">
        <f>IF(OR('02_Peer_Screen'!E12="High",'02_Peer_Screen'!E12="Medium"),1,0)</f>
        <v>0</v>
      </c>
      <c r="E12" s="19">
        <f>'03_Market_Data'!K12</f>
        <v>146127.27272727271</v>
      </c>
      <c r="F12" s="19">
        <f>'04_Consensus'!B12</f>
        <v>43000</v>
      </c>
      <c r="G12" s="19">
        <f>'04_Consensus'!C12</f>
        <v>18000</v>
      </c>
      <c r="H12" s="19">
        <f>'04_Consensus'!D12</f>
        <v>15500</v>
      </c>
      <c r="I12" s="20">
        <f>IF('03_Market_Data'!D12=0,"",'03_Market_Data'!E12/'03_Market_Data'!D12)</f>
        <v>49.090909090909086</v>
      </c>
      <c r="J12" s="20">
        <f>'04_Consensus'!E12</f>
        <v>3.2</v>
      </c>
      <c r="K12" s="21"/>
      <c r="L12" s="22">
        <f t="shared" si="0"/>
        <v>3.3983086680761097</v>
      </c>
      <c r="M12" s="22">
        <f t="shared" si="1"/>
        <v>8.1181818181818173</v>
      </c>
      <c r="N12" s="22">
        <f t="shared" si="2"/>
        <v>9.4275659824046905</v>
      </c>
      <c r="O12" s="22">
        <f t="shared" si="3"/>
        <v>15.340909090909088</v>
      </c>
    </row>
    <row r="13" spans="1:15" ht="18" customHeight="1" x14ac:dyDescent="0.2">
      <c r="A13" s="11" t="str">
        <f>'03_Market_Data'!A13</f>
        <v>Zealand Pharma</v>
      </c>
      <c r="B13" s="12">
        <f>'02_Peer_Screen'!G13</f>
        <v>0</v>
      </c>
      <c r="C13" s="12">
        <f>'02_Peer_Screen'!H13</f>
        <v>0</v>
      </c>
      <c r="D13" s="12">
        <f>IF(OR('02_Peer_Screen'!E13="High",'02_Peer_Screen'!E13="Medium"),1,0)</f>
        <v>1</v>
      </c>
      <c r="E13" s="19">
        <f>'03_Market_Data'!K13</f>
        <v>5241.6107382550335</v>
      </c>
      <c r="F13" s="19">
        <f>'04_Consensus'!B13</f>
        <v>800</v>
      </c>
      <c r="G13" s="19">
        <f>'04_Consensus'!C13</f>
        <v>50</v>
      </c>
      <c r="H13" s="19">
        <f>'04_Consensus'!D13</f>
        <v>0</v>
      </c>
      <c r="I13" s="20">
        <f>IF('03_Market_Data'!D13=0,"",'03_Market_Data'!E13/'03_Market_Data'!D13)</f>
        <v>83.221476510067106</v>
      </c>
      <c r="J13" s="20">
        <f>'04_Consensus'!E13</f>
        <v>0.1</v>
      </c>
      <c r="K13" s="21"/>
      <c r="L13" s="22">
        <f t="shared" si="0"/>
        <v>6.5520134228187921</v>
      </c>
      <c r="M13" s="22">
        <f t="shared" si="1"/>
        <v>104.83221476510067</v>
      </c>
      <c r="N13" s="22" t="str">
        <f t="shared" si="2"/>
        <v/>
      </c>
      <c r="O13" s="22">
        <f t="shared" si="3"/>
        <v>832.214765100671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8"/>
  <sheetViews>
    <sheetView showGridLines="0" zoomScale="118" workbookViewId="0">
      <pane ySplit="4" topLeftCell="A22" activePane="bottomLeft" state="frozen"/>
      <selection pane="bottomLeft" activeCell="C21" sqref="C21"/>
    </sheetView>
  </sheetViews>
  <sheetFormatPr baseColWidth="10" defaultColWidth="8.83203125" defaultRowHeight="15" x14ac:dyDescent="0.2"/>
  <cols>
    <col min="1" max="1" width="22" customWidth="1"/>
    <col min="2" max="7" width="12" customWidth="1"/>
    <col min="8" max="8" width="8" customWidth="1"/>
    <col min="9" max="9" width="14" customWidth="1"/>
    <col min="13" max="24" width="12" hidden="1" customWidth="1"/>
  </cols>
  <sheetData>
    <row r="1" spans="1:24" ht="20" customHeight="1" x14ac:dyDescent="0.2">
      <c r="A1" s="35" t="s">
        <v>95</v>
      </c>
      <c r="B1" s="36"/>
      <c r="C1" s="36"/>
      <c r="D1" s="36"/>
      <c r="E1" s="36"/>
      <c r="F1" s="36"/>
      <c r="G1" s="36"/>
      <c r="H1" s="36"/>
      <c r="I1" s="36"/>
    </row>
    <row r="3" spans="1:24" ht="20" customHeight="1" x14ac:dyDescent="0.2">
      <c r="A3" s="35" t="s">
        <v>96</v>
      </c>
      <c r="B3" s="36"/>
      <c r="C3" s="36"/>
      <c r="D3" s="36"/>
      <c r="E3" s="36"/>
      <c r="F3" s="36"/>
      <c r="G3" s="36"/>
      <c r="H3" s="36"/>
      <c r="I3" s="36"/>
    </row>
    <row r="4" spans="1:24" ht="18" customHeight="1" x14ac:dyDescent="0.2">
      <c r="A4" s="6" t="s">
        <v>12</v>
      </c>
      <c r="B4" s="6" t="s">
        <v>18</v>
      </c>
      <c r="C4" s="6" t="s">
        <v>19</v>
      </c>
      <c r="D4" s="6" t="s">
        <v>97</v>
      </c>
      <c r="M4" s="23" t="s">
        <v>98</v>
      </c>
      <c r="N4" s="23" t="s">
        <v>99</v>
      </c>
      <c r="O4" s="23" t="s">
        <v>100</v>
      </c>
      <c r="P4" s="23" t="s">
        <v>101</v>
      </c>
      <c r="Q4" s="23" t="s">
        <v>102</v>
      </c>
      <c r="R4" s="23" t="s">
        <v>103</v>
      </c>
      <c r="S4" s="23" t="s">
        <v>104</v>
      </c>
      <c r="T4" s="23" t="s">
        <v>105</v>
      </c>
      <c r="U4" s="23" t="s">
        <v>106</v>
      </c>
      <c r="V4" s="23" t="s">
        <v>107</v>
      </c>
      <c r="W4" s="23" t="s">
        <v>108</v>
      </c>
      <c r="X4" s="23" t="s">
        <v>109</v>
      </c>
    </row>
    <row r="5" spans="1:24" ht="18" customHeight="1" x14ac:dyDescent="0.2">
      <c r="A5" s="24" t="str">
        <f>'05_Multiples'!A4</f>
        <v>Eli Lilly</v>
      </c>
      <c r="B5" s="12">
        <f>'05_Multiples'!B4</f>
        <v>1</v>
      </c>
      <c r="C5" s="12">
        <f>'05_Multiples'!C4</f>
        <v>1</v>
      </c>
      <c r="D5" s="12">
        <f>'05_Multiples'!D4</f>
        <v>1</v>
      </c>
      <c r="M5" s="25">
        <f>IF($B5=1,'05_Multiples'!L4,"")</f>
        <v>12.659932659932657</v>
      </c>
      <c r="N5" s="25">
        <f>IF($B5=1,'05_Multiples'!M4,"")</f>
        <v>36.95331695331695</v>
      </c>
      <c r="O5" s="25">
        <f>IF($B5=1,'05_Multiples'!N4,"")</f>
        <v>41.432506887052334</v>
      </c>
      <c r="P5" s="25">
        <f>IF($B5=1,'05_Multiples'!O4,"")</f>
        <v>61.660079051383391</v>
      </c>
      <c r="Q5" s="25">
        <f>IF(AND($B5=1,$C5=1),'05_Multiples'!L4,"")</f>
        <v>12.659932659932657</v>
      </c>
      <c r="R5" s="25">
        <f>IF(AND($B5=1,$C5=1),'05_Multiples'!M4,"")</f>
        <v>36.95331695331695</v>
      </c>
      <c r="S5" s="25">
        <f>IF(AND($B5=1,$C5=1),'05_Multiples'!N4,"")</f>
        <v>41.432506887052334</v>
      </c>
      <c r="T5" s="25">
        <f>IF(AND($B5=1,$C5=1),'05_Multiples'!O4,"")</f>
        <v>61.660079051383391</v>
      </c>
      <c r="U5" s="25">
        <f>IF(AND($B5=1,$D5=1),'05_Multiples'!L4,"")</f>
        <v>12.659932659932657</v>
      </c>
      <c r="V5" s="25">
        <f>IF(AND($B5=1,$D5=1),'05_Multiples'!M4,"")</f>
        <v>36.95331695331695</v>
      </c>
      <c r="W5" s="25">
        <f>IF(AND($B5=1,$D5=1),'05_Multiples'!N4,"")</f>
        <v>41.432506887052334</v>
      </c>
      <c r="X5" s="25">
        <f>IF(AND($B5=1,$D5=1),'05_Multiples'!O4,"")</f>
        <v>61.660079051383391</v>
      </c>
    </row>
    <row r="6" spans="1:24" ht="18" customHeight="1" x14ac:dyDescent="0.2">
      <c r="A6" s="24" t="str">
        <f>'05_Multiples'!A5</f>
        <v>Sanofi</v>
      </c>
      <c r="B6" s="12">
        <f>'05_Multiples'!B5</f>
        <v>1</v>
      </c>
      <c r="C6" s="12">
        <f>'05_Multiples'!C5</f>
        <v>1</v>
      </c>
      <c r="D6" s="12">
        <f>'05_Multiples'!D5</f>
        <v>1</v>
      </c>
      <c r="M6" s="25">
        <f>IF($B6=1,'05_Multiples'!L5,"")</f>
        <v>2.7666666666666666</v>
      </c>
      <c r="N6" s="25">
        <f>IF($B6=1,'05_Multiples'!M5,"")</f>
        <v>9.9600000000000009</v>
      </c>
      <c r="O6" s="25">
        <f>IF($B6=1,'05_Multiples'!N5,"")</f>
        <v>11.857142857142858</v>
      </c>
      <c r="P6" s="25">
        <f>IF($B6=1,'05_Multiples'!O5,"")</f>
        <v>14.516129032258064</v>
      </c>
      <c r="Q6" s="25">
        <f>IF(AND($B6=1,$C6=1),'05_Multiples'!L5,"")</f>
        <v>2.7666666666666666</v>
      </c>
      <c r="R6" s="25">
        <f>IF(AND($B6=1,$C6=1),'05_Multiples'!M5,"")</f>
        <v>9.9600000000000009</v>
      </c>
      <c r="S6" s="25">
        <f>IF(AND($B6=1,$C6=1),'05_Multiples'!N5,"")</f>
        <v>11.857142857142858</v>
      </c>
      <c r="T6" s="25">
        <f>IF(AND($B6=1,$C6=1),'05_Multiples'!O5,"")</f>
        <v>14.516129032258064</v>
      </c>
      <c r="U6" s="25">
        <f>IF(AND($B6=1,$D6=1),'05_Multiples'!L5,"")</f>
        <v>2.7666666666666666</v>
      </c>
      <c r="V6" s="25">
        <f>IF(AND($B6=1,$D6=1),'05_Multiples'!M5,"")</f>
        <v>9.9600000000000009</v>
      </c>
      <c r="W6" s="25">
        <f>IF(AND($B6=1,$D6=1),'05_Multiples'!N5,"")</f>
        <v>11.857142857142858</v>
      </c>
      <c r="X6" s="25">
        <f>IF(AND($B6=1,$D6=1),'05_Multiples'!O5,"")</f>
        <v>14.516129032258064</v>
      </c>
    </row>
    <row r="7" spans="1:24" ht="18" customHeight="1" x14ac:dyDescent="0.2">
      <c r="A7" s="24" t="str">
        <f>'05_Multiples'!A6</f>
        <v>AstraZeneca</v>
      </c>
      <c r="B7" s="12">
        <f>'05_Multiples'!B6</f>
        <v>1</v>
      </c>
      <c r="C7" s="12">
        <f>'05_Multiples'!C6</f>
        <v>1</v>
      </c>
      <c r="D7" s="12">
        <f>'05_Multiples'!D6</f>
        <v>1</v>
      </c>
      <c r="M7" s="25">
        <f>IF($B7=1,'05_Multiples'!L6,"")</f>
        <v>8.4302325581395348</v>
      </c>
      <c r="N7" s="25">
        <f>IF($B7=1,'05_Multiples'!M6,"")</f>
        <v>28.100775193798448</v>
      </c>
      <c r="O7" s="25">
        <f>IF($B7=1,'05_Multiples'!N6,"")</f>
        <v>32.42397137745975</v>
      </c>
      <c r="P7" s="25">
        <f>IF($B7=1,'05_Multiples'!O6,"")</f>
        <v>33.659730722154229</v>
      </c>
      <c r="Q7" s="25">
        <f>IF(AND($B7=1,$C7=1),'05_Multiples'!L6,"")</f>
        <v>8.4302325581395348</v>
      </c>
      <c r="R7" s="25">
        <f>IF(AND($B7=1,$C7=1),'05_Multiples'!M6,"")</f>
        <v>28.100775193798448</v>
      </c>
      <c r="S7" s="25">
        <f>IF(AND($B7=1,$C7=1),'05_Multiples'!N6,"")</f>
        <v>32.42397137745975</v>
      </c>
      <c r="T7" s="25">
        <f>IF(AND($B7=1,$C7=1),'05_Multiples'!O6,"")</f>
        <v>33.659730722154229</v>
      </c>
      <c r="U7" s="25">
        <f>IF(AND($B7=1,$D7=1),'05_Multiples'!L6,"")</f>
        <v>8.4302325581395348</v>
      </c>
      <c r="V7" s="25">
        <f>IF(AND($B7=1,$D7=1),'05_Multiples'!M6,"")</f>
        <v>28.100775193798448</v>
      </c>
      <c r="W7" s="25">
        <f>IF(AND($B7=1,$D7=1),'05_Multiples'!N6,"")</f>
        <v>32.42397137745975</v>
      </c>
      <c r="X7" s="25">
        <f>IF(AND($B7=1,$D7=1),'05_Multiples'!O6,"")</f>
        <v>33.659730722154229</v>
      </c>
    </row>
    <row r="8" spans="1:24" ht="18" customHeight="1" x14ac:dyDescent="0.2">
      <c r="A8" s="24" t="str">
        <f>'05_Multiples'!A7</f>
        <v>Roche</v>
      </c>
      <c r="B8" s="12">
        <f>'05_Multiples'!B7</f>
        <v>1</v>
      </c>
      <c r="C8" s="12">
        <f>'05_Multiples'!C7</f>
        <v>0</v>
      </c>
      <c r="D8" s="12">
        <f>'05_Multiples'!D7</f>
        <v>0</v>
      </c>
      <c r="M8" s="25">
        <f>IF($B8=1,'05_Multiples'!L7,"")</f>
        <v>3.6485215053763445</v>
      </c>
      <c r="N8" s="25">
        <f>IF($B8=1,'05_Multiples'!M7,"")</f>
        <v>11.905701754385966</v>
      </c>
      <c r="O8" s="25">
        <f>IF($B8=1,'05_Multiples'!N7,"")</f>
        <v>14.138020833333334</v>
      </c>
      <c r="P8" s="25">
        <f>IF($B8=1,'05_Multiples'!O7,"")</f>
        <v>15.93137254901961</v>
      </c>
      <c r="Q8" s="25" t="str">
        <f>IF(AND($B8=1,$C8=1),'05_Multiples'!L7,"")</f>
        <v/>
      </c>
      <c r="R8" s="25" t="str">
        <f>IF(AND($B8=1,$C8=1),'05_Multiples'!M7,"")</f>
        <v/>
      </c>
      <c r="S8" s="25" t="str">
        <f>IF(AND($B8=1,$C8=1),'05_Multiples'!N7,"")</f>
        <v/>
      </c>
      <c r="T8" s="25" t="str">
        <f>IF(AND($B8=1,$C8=1),'05_Multiples'!O7,"")</f>
        <v/>
      </c>
      <c r="U8" s="25" t="str">
        <f>IF(AND($B8=1,$D8=1),'05_Multiples'!L7,"")</f>
        <v/>
      </c>
      <c r="V8" s="25" t="str">
        <f>IF(AND($B8=1,$D8=1),'05_Multiples'!M7,"")</f>
        <v/>
      </c>
      <c r="W8" s="25" t="str">
        <f>IF(AND($B8=1,$D8=1),'05_Multiples'!N7,"")</f>
        <v/>
      </c>
      <c r="X8" s="25" t="str">
        <f>IF(AND($B8=1,$D8=1),'05_Multiples'!O7,"")</f>
        <v/>
      </c>
    </row>
    <row r="9" spans="1:24" ht="18" customHeight="1" x14ac:dyDescent="0.2">
      <c r="A9" s="24" t="str">
        <f>'05_Multiples'!A8</f>
        <v>Novartis</v>
      </c>
      <c r="B9" s="12">
        <f>'05_Multiples'!B8</f>
        <v>1</v>
      </c>
      <c r="C9" s="12">
        <f>'05_Multiples'!C8</f>
        <v>0</v>
      </c>
      <c r="D9" s="12">
        <f>'05_Multiples'!D8</f>
        <v>0</v>
      </c>
      <c r="M9" s="25">
        <f>IF($B9=1,'05_Multiples'!L8,"")</f>
        <v>3.6803030303030306</v>
      </c>
      <c r="N9" s="25">
        <f>IF($B9=1,'05_Multiples'!M8,"")</f>
        <v>10.120833333333334</v>
      </c>
      <c r="O9" s="25">
        <f>IF($B9=1,'05_Multiples'!N8,"")</f>
        <v>11.90686274509804</v>
      </c>
      <c r="P9" s="25">
        <f>IF($B9=1,'05_Multiples'!O8,"")</f>
        <v>12.777777777777779</v>
      </c>
      <c r="Q9" s="25" t="str">
        <f>IF(AND($B9=1,$C9=1),'05_Multiples'!L8,"")</f>
        <v/>
      </c>
      <c r="R9" s="25" t="str">
        <f>IF(AND($B9=1,$C9=1),'05_Multiples'!M8,"")</f>
        <v/>
      </c>
      <c r="S9" s="25" t="str">
        <f>IF(AND($B9=1,$C9=1),'05_Multiples'!N8,"")</f>
        <v/>
      </c>
      <c r="T9" s="25" t="str">
        <f>IF(AND($B9=1,$C9=1),'05_Multiples'!O8,"")</f>
        <v/>
      </c>
      <c r="U9" s="25" t="str">
        <f>IF(AND($B9=1,$D9=1),'05_Multiples'!L8,"")</f>
        <v/>
      </c>
      <c r="V9" s="25" t="str">
        <f>IF(AND($B9=1,$D9=1),'05_Multiples'!M8,"")</f>
        <v/>
      </c>
      <c r="W9" s="25" t="str">
        <f>IF(AND($B9=1,$D9=1),'05_Multiples'!N8,"")</f>
        <v/>
      </c>
      <c r="X9" s="25" t="str">
        <f>IF(AND($B9=1,$D9=1),'05_Multiples'!O8,"")</f>
        <v/>
      </c>
    </row>
    <row r="10" spans="1:24" ht="18" customHeight="1" x14ac:dyDescent="0.2">
      <c r="A10" s="24" t="str">
        <f>'05_Multiples'!A9</f>
        <v>Merck &amp; Co.</v>
      </c>
      <c r="B10" s="12">
        <f>'05_Multiples'!B9</f>
        <v>1</v>
      </c>
      <c r="C10" s="12">
        <f>'05_Multiples'!C9</f>
        <v>0</v>
      </c>
      <c r="D10" s="12">
        <f>'05_Multiples'!D9</f>
        <v>0</v>
      </c>
      <c r="M10" s="25">
        <f>IF($B10=1,'05_Multiples'!L9,"")</f>
        <v>5.0606060606060597</v>
      </c>
      <c r="N10" s="25">
        <f>IF($B10=1,'05_Multiples'!M9,"")</f>
        <v>12.145454545454543</v>
      </c>
      <c r="O10" s="25">
        <f>IF($B10=1,'05_Multiples'!N9,"")</f>
        <v>13.801652892561981</v>
      </c>
      <c r="P10" s="25">
        <f>IF($B10=1,'05_Multiples'!O9,"")</f>
        <v>16.711229946524064</v>
      </c>
      <c r="Q10" s="25" t="str">
        <f>IF(AND($B10=1,$C10=1),'05_Multiples'!L9,"")</f>
        <v/>
      </c>
      <c r="R10" s="25" t="str">
        <f>IF(AND($B10=1,$C10=1),'05_Multiples'!M9,"")</f>
        <v/>
      </c>
      <c r="S10" s="25" t="str">
        <f>IF(AND($B10=1,$C10=1),'05_Multiples'!N9,"")</f>
        <v/>
      </c>
      <c r="T10" s="25" t="str">
        <f>IF(AND($B10=1,$C10=1),'05_Multiples'!O9,"")</f>
        <v/>
      </c>
      <c r="U10" s="25" t="str">
        <f>IF(AND($B10=1,$D10=1),'05_Multiples'!L9,"")</f>
        <v/>
      </c>
      <c r="V10" s="25" t="str">
        <f>IF(AND($B10=1,$D10=1),'05_Multiples'!M9,"")</f>
        <v/>
      </c>
      <c r="W10" s="25" t="str">
        <f>IF(AND($B10=1,$D10=1),'05_Multiples'!N9,"")</f>
        <v/>
      </c>
      <c r="X10" s="25" t="str">
        <f>IF(AND($B10=1,$D10=1),'05_Multiples'!O9,"")</f>
        <v/>
      </c>
    </row>
    <row r="11" spans="1:24" ht="18" customHeight="1" x14ac:dyDescent="0.2">
      <c r="A11" s="24" t="str">
        <f>'05_Multiples'!A10</f>
        <v>AbbVie</v>
      </c>
      <c r="B11" s="12">
        <f>'05_Multiples'!B10</f>
        <v>1</v>
      </c>
      <c r="C11" s="12">
        <f>'05_Multiples'!C10</f>
        <v>0</v>
      </c>
      <c r="D11" s="12">
        <f>'05_Multiples'!D10</f>
        <v>0</v>
      </c>
      <c r="M11" s="25">
        <f>IF($B11=1,'05_Multiples'!L10,"")</f>
        <v>5.8272727272727272</v>
      </c>
      <c r="N11" s="25">
        <f>IF($B11=1,'05_Multiples'!M10,"")</f>
        <v>12.568627450980392</v>
      </c>
      <c r="O11" s="25">
        <f>IF($B11=1,'05_Multiples'!N10,"")</f>
        <v>14.244444444444444</v>
      </c>
      <c r="P11" s="25">
        <f>IF($B11=1,'05_Multiples'!O10,"")</f>
        <v>25.423728813559322</v>
      </c>
      <c r="Q11" s="25" t="str">
        <f>IF(AND($B11=1,$C11=1),'05_Multiples'!L10,"")</f>
        <v/>
      </c>
      <c r="R11" s="25" t="str">
        <f>IF(AND($B11=1,$C11=1),'05_Multiples'!M10,"")</f>
        <v/>
      </c>
      <c r="S11" s="25" t="str">
        <f>IF(AND($B11=1,$C11=1),'05_Multiples'!N10,"")</f>
        <v/>
      </c>
      <c r="T11" s="25" t="str">
        <f>IF(AND($B11=1,$C11=1),'05_Multiples'!O10,"")</f>
        <v/>
      </c>
      <c r="U11" s="25" t="str">
        <f>IF(AND($B11=1,$D11=1),'05_Multiples'!L10,"")</f>
        <v/>
      </c>
      <c r="V11" s="25" t="str">
        <f>IF(AND($B11=1,$D11=1),'05_Multiples'!M10,"")</f>
        <v/>
      </c>
      <c r="W11" s="25" t="str">
        <f>IF(AND($B11=1,$D11=1),'05_Multiples'!N10,"")</f>
        <v/>
      </c>
      <c r="X11" s="25" t="str">
        <f>IF(AND($B11=1,$D11=1),'05_Multiples'!O10,"")</f>
        <v/>
      </c>
    </row>
    <row r="12" spans="1:24" ht="18" customHeight="1" x14ac:dyDescent="0.2">
      <c r="A12" s="24" t="str">
        <f>'05_Multiples'!A11</f>
        <v>Amgen</v>
      </c>
      <c r="B12" s="12">
        <f>'05_Multiples'!B11</f>
        <v>1</v>
      </c>
      <c r="C12" s="12">
        <f>'05_Multiples'!C11</f>
        <v>0</v>
      </c>
      <c r="D12" s="12">
        <f>'05_Multiples'!D11</f>
        <v>1</v>
      </c>
      <c r="M12" s="25">
        <f>IF($B12=1,'05_Multiples'!L11,"")</f>
        <v>5.7214076246334304</v>
      </c>
      <c r="N12" s="25">
        <f>IF($B12=1,'05_Multiples'!M11,"")</f>
        <v>12.668831168831169</v>
      </c>
      <c r="O12" s="25">
        <f>IF($B12=1,'05_Multiples'!N11,"")</f>
        <v>14.780303030303029</v>
      </c>
      <c r="P12" s="25">
        <f>IF($B12=1,'05_Multiples'!O11,"")</f>
        <v>17.575757575757574</v>
      </c>
      <c r="Q12" s="25" t="str">
        <f>IF(AND($B12=1,$C12=1),'05_Multiples'!L11,"")</f>
        <v/>
      </c>
      <c r="R12" s="25" t="str">
        <f>IF(AND($B12=1,$C12=1),'05_Multiples'!M11,"")</f>
        <v/>
      </c>
      <c r="S12" s="25" t="str">
        <f>IF(AND($B12=1,$C12=1),'05_Multiples'!N11,"")</f>
        <v/>
      </c>
      <c r="T12" s="25" t="str">
        <f>IF(AND($B12=1,$C12=1),'05_Multiples'!O11,"")</f>
        <v/>
      </c>
      <c r="U12" s="25">
        <f>IF(AND($B12=1,$D12=1),'05_Multiples'!L11,"")</f>
        <v>5.7214076246334304</v>
      </c>
      <c r="V12" s="25">
        <f>IF(AND($B12=1,$D12=1),'05_Multiples'!M11,"")</f>
        <v>12.668831168831169</v>
      </c>
      <c r="W12" s="25">
        <f>IF(AND($B12=1,$D12=1),'05_Multiples'!N11,"")</f>
        <v>14.780303030303029</v>
      </c>
      <c r="X12" s="25">
        <f>IF(AND($B12=1,$D12=1),'05_Multiples'!O11,"")</f>
        <v>17.575757575757574</v>
      </c>
    </row>
    <row r="13" spans="1:24" ht="18" customHeight="1" x14ac:dyDescent="0.2">
      <c r="A13" s="24" t="str">
        <f>'05_Multiples'!A12</f>
        <v>Bristol Myers Squibb</v>
      </c>
      <c r="B13" s="12">
        <f>'05_Multiples'!B12</f>
        <v>1</v>
      </c>
      <c r="C13" s="12">
        <f>'05_Multiples'!C12</f>
        <v>0</v>
      </c>
      <c r="D13" s="12">
        <f>'05_Multiples'!D12</f>
        <v>0</v>
      </c>
      <c r="M13" s="25">
        <f>IF($B13=1,'05_Multiples'!L12,"")</f>
        <v>3.3983086680761097</v>
      </c>
      <c r="N13" s="25">
        <f>IF($B13=1,'05_Multiples'!M12,"")</f>
        <v>8.1181818181818173</v>
      </c>
      <c r="O13" s="25">
        <f>IF($B13=1,'05_Multiples'!N12,"")</f>
        <v>9.4275659824046905</v>
      </c>
      <c r="P13" s="25">
        <f>IF($B13=1,'05_Multiples'!O12,"")</f>
        <v>15.340909090909088</v>
      </c>
      <c r="Q13" s="25" t="str">
        <f>IF(AND($B13=1,$C13=1),'05_Multiples'!L12,"")</f>
        <v/>
      </c>
      <c r="R13" s="25" t="str">
        <f>IF(AND($B13=1,$C13=1),'05_Multiples'!M12,"")</f>
        <v/>
      </c>
      <c r="S13" s="25" t="str">
        <f>IF(AND($B13=1,$C13=1),'05_Multiples'!N12,"")</f>
        <v/>
      </c>
      <c r="T13" s="25" t="str">
        <f>IF(AND($B13=1,$C13=1),'05_Multiples'!O12,"")</f>
        <v/>
      </c>
      <c r="U13" s="25" t="str">
        <f>IF(AND($B13=1,$D13=1),'05_Multiples'!L12,"")</f>
        <v/>
      </c>
      <c r="V13" s="25" t="str">
        <f>IF(AND($B13=1,$D13=1),'05_Multiples'!M12,"")</f>
        <v/>
      </c>
      <c r="W13" s="25" t="str">
        <f>IF(AND($B13=1,$D13=1),'05_Multiples'!N12,"")</f>
        <v/>
      </c>
      <c r="X13" s="25" t="str">
        <f>IF(AND($B13=1,$D13=1),'05_Multiples'!O12,"")</f>
        <v/>
      </c>
    </row>
    <row r="14" spans="1:24" ht="18" customHeight="1" x14ac:dyDescent="0.2">
      <c r="A14" s="24" t="str">
        <f>'05_Multiples'!A13</f>
        <v>Zealand Pharma</v>
      </c>
      <c r="B14" s="12">
        <f>'05_Multiples'!B13</f>
        <v>0</v>
      </c>
      <c r="C14" s="12">
        <f>'05_Multiples'!C13</f>
        <v>0</v>
      </c>
      <c r="D14" s="12">
        <f>'05_Multiples'!D13</f>
        <v>1</v>
      </c>
      <c r="M14" s="25" t="str">
        <f>IF($B14=1,'05_Multiples'!L13,"")</f>
        <v/>
      </c>
      <c r="N14" s="25" t="str">
        <f>IF($B14=1,'05_Multiples'!M13,"")</f>
        <v/>
      </c>
      <c r="O14" s="25" t="str">
        <f>IF($B14=1,'05_Multiples'!N13,"")</f>
        <v/>
      </c>
      <c r="P14" s="25" t="str">
        <f>IF($B14=1,'05_Multiples'!O13,"")</f>
        <v/>
      </c>
      <c r="Q14" s="25" t="str">
        <f>IF(AND($B14=1,$C14=1),'05_Multiples'!L13,"")</f>
        <v/>
      </c>
      <c r="R14" s="25" t="str">
        <f>IF(AND($B14=1,$C14=1),'05_Multiples'!M13,"")</f>
        <v/>
      </c>
      <c r="S14" s="25" t="str">
        <f>IF(AND($B14=1,$C14=1),'05_Multiples'!N13,"")</f>
        <v/>
      </c>
      <c r="T14" s="25" t="str">
        <f>IF(AND($B14=1,$C14=1),'05_Multiples'!O13,"")</f>
        <v/>
      </c>
      <c r="U14" s="25" t="str">
        <f>IF(AND($B14=1,$D14=1),'05_Multiples'!L13,"")</f>
        <v/>
      </c>
      <c r="V14" s="25" t="str">
        <f>IF(AND($B14=1,$D14=1),'05_Multiples'!M13,"")</f>
        <v/>
      </c>
      <c r="W14" s="25" t="str">
        <f>IF(AND($B14=1,$D14=1),'05_Multiples'!N13,"")</f>
        <v/>
      </c>
      <c r="X14" s="25" t="str">
        <f>IF(AND($B14=1,$D14=1),'05_Multiples'!O13,"")</f>
        <v/>
      </c>
    </row>
    <row r="17" spans="1:9" ht="20" customHeight="1" x14ac:dyDescent="0.2">
      <c r="A17" s="35" t="s">
        <v>110</v>
      </c>
      <c r="B17" s="36"/>
      <c r="C17" s="36"/>
      <c r="D17" s="36"/>
      <c r="E17" s="36"/>
      <c r="F17" s="36"/>
      <c r="G17" s="36"/>
      <c r="H17" s="36"/>
      <c r="I17" s="36"/>
    </row>
    <row r="18" spans="1:9" ht="18" customHeight="1" x14ac:dyDescent="0.2">
      <c r="A18" s="6" t="s">
        <v>111</v>
      </c>
      <c r="B18" s="6" t="s">
        <v>112</v>
      </c>
      <c r="C18" s="6" t="s">
        <v>113</v>
      </c>
      <c r="D18" s="6" t="s">
        <v>114</v>
      </c>
      <c r="E18" s="6" t="s">
        <v>115</v>
      </c>
      <c r="F18" s="6" t="s">
        <v>116</v>
      </c>
      <c r="G18" s="6" t="s">
        <v>117</v>
      </c>
      <c r="H18" s="6" t="s">
        <v>118</v>
      </c>
    </row>
    <row r="19" spans="1:9" ht="18" customHeight="1" x14ac:dyDescent="0.2">
      <c r="A19" s="26" t="s">
        <v>91</v>
      </c>
      <c r="B19" s="22">
        <f>MIN($M$5:$M$14)</f>
        <v>2.7666666666666666</v>
      </c>
      <c r="C19" s="22">
        <f ca="1">_xlfn.PERCENTILE.INC($M$5:$M$14,0.25)</f>
        <v>3.6485215053763445</v>
      </c>
      <c r="D19" s="22">
        <f ca="1">MEDIAN($M$5:$M$14)</f>
        <v>5.0606060606060597</v>
      </c>
      <c r="E19" s="22">
        <f ca="1">AVERAGE($M$5:$M$14)</f>
        <v>5.6881390556673956</v>
      </c>
      <c r="F19" s="22" t="e">
        <f ca="1">_xludf.PERCENTILE.INC($M$5:$M$14,0.75)</f>
        <v>#NAME?</v>
      </c>
      <c r="G19" s="22">
        <f>MAX($M$5:$M$14)</f>
        <v>12.659932659932657</v>
      </c>
      <c r="H19" s="21">
        <f>COUNT($M$5:$M$14)</f>
        <v>9</v>
      </c>
    </row>
    <row r="20" spans="1:9" ht="18" customHeight="1" x14ac:dyDescent="0.2">
      <c r="A20" s="26" t="s">
        <v>92</v>
      </c>
      <c r="B20" s="22">
        <f>MIN($N$5:$N$14)</f>
        <v>8.1181818181818173</v>
      </c>
      <c r="C20" s="22">
        <f ca="1">_xlfn.PERCENTILE.INC($N$5:$N$14,0.25)</f>
        <v>10.120833333333334</v>
      </c>
      <c r="D20" s="22">
        <f ca="1">MEDIAN($N$5:$N$14)</f>
        <v>12.145454545454543</v>
      </c>
      <c r="E20" s="22">
        <f ca="1">AVERAGE($N$5:$N$14)</f>
        <v>15.837969135364737</v>
      </c>
      <c r="F20" s="22" t="e">
        <f ca="1">_xludf.PERCENTILE.INC($N$5:$N$14,0.75)</f>
        <v>#NAME?</v>
      </c>
      <c r="G20" s="22">
        <f>MAX($N$5:$N$14)</f>
        <v>36.95331695331695</v>
      </c>
      <c r="H20" s="21">
        <f>COUNT($N$5:$N$14)</f>
        <v>9</v>
      </c>
    </row>
    <row r="21" spans="1:9" ht="18" customHeight="1" x14ac:dyDescent="0.2">
      <c r="A21" s="26" t="s">
        <v>93</v>
      </c>
      <c r="B21" s="22">
        <f>MIN($O$5:$O$14)</f>
        <v>9.4275659824046905</v>
      </c>
      <c r="C21" s="22" t="e">
        <f ca="1">_xludf.PERCENTILE.INC($O$5:$O$14,0.25)</f>
        <v>#NAME?</v>
      </c>
      <c r="D21" s="22">
        <f ca="1">MEDIAN($O$5:$O$14)</f>
        <v>14.138020833333334</v>
      </c>
      <c r="E21" s="22">
        <f ca="1">AVERAGE($O$5:$O$14)</f>
        <v>18.223607894422273</v>
      </c>
      <c r="F21" s="22" t="e">
        <f ca="1">_xludf.PERCENTILE.INC($O$5:$O$14,0.75)</f>
        <v>#NAME?</v>
      </c>
      <c r="G21" s="22">
        <f>MAX($O$5:$O$14)</f>
        <v>41.432506887052334</v>
      </c>
      <c r="H21" s="21">
        <f>COUNT($O$5:$O$14)</f>
        <v>9</v>
      </c>
    </row>
    <row r="22" spans="1:9" ht="18" customHeight="1" x14ac:dyDescent="0.2">
      <c r="A22" s="26" t="s">
        <v>94</v>
      </c>
      <c r="B22" s="22">
        <f>MIN($P$5:$P$14)</f>
        <v>12.777777777777779</v>
      </c>
      <c r="C22" s="22" t="e">
        <f ca="1">_xludf.PERCENTILE.INC($P$5:$P$14,0.25)</f>
        <v>#NAME?</v>
      </c>
      <c r="D22" s="22">
        <f ca="1">MEDIAN($P$5:$P$14)</f>
        <v>16.711229946524064</v>
      </c>
      <c r="E22" s="22">
        <f ca="1">AVERAGE($P$5:$P$14)</f>
        <v>23.732968284371456</v>
      </c>
      <c r="F22" s="22" t="e">
        <f ca="1">_xludf.PERCENTILE.INC($P$5:$P$14,0.75)</f>
        <v>#NAME?</v>
      </c>
      <c r="G22" s="22">
        <f>MAX($P$5:$P$14)</f>
        <v>61.660079051383391</v>
      </c>
      <c r="H22" s="21">
        <f>COUNT($P$5:$P$14)</f>
        <v>9</v>
      </c>
    </row>
    <row r="25" spans="1:9" ht="20" customHeight="1" x14ac:dyDescent="0.2">
      <c r="A25" s="35" t="s">
        <v>119</v>
      </c>
      <c r="B25" s="36"/>
      <c r="C25" s="36"/>
      <c r="D25" s="36"/>
      <c r="E25" s="36"/>
      <c r="F25" s="36"/>
      <c r="G25" s="36"/>
      <c r="H25" s="36"/>
      <c r="I25" s="36"/>
    </row>
    <row r="26" spans="1:9" ht="18" customHeight="1" x14ac:dyDescent="0.2">
      <c r="A26" s="6" t="s">
        <v>111</v>
      </c>
      <c r="B26" s="6" t="s">
        <v>112</v>
      </c>
      <c r="C26" s="6" t="s">
        <v>113</v>
      </c>
      <c r="D26" s="6" t="s">
        <v>114</v>
      </c>
      <c r="E26" s="6" t="s">
        <v>115</v>
      </c>
      <c r="F26" s="6" t="s">
        <v>116</v>
      </c>
      <c r="G26" s="6" t="s">
        <v>117</v>
      </c>
      <c r="H26" s="6" t="s">
        <v>118</v>
      </c>
    </row>
    <row r="27" spans="1:9" ht="18" customHeight="1" x14ac:dyDescent="0.2">
      <c r="A27" s="26" t="s">
        <v>91</v>
      </c>
      <c r="B27" s="22">
        <f>MIN($Q$5:$Q$14)</f>
        <v>2.7666666666666666</v>
      </c>
      <c r="C27" s="22" t="e">
        <f ca="1">_xludf.PERCENTILE.INC($Q$5:$Q$14,0.25)</f>
        <v>#NAME?</v>
      </c>
      <c r="D27" s="22">
        <f ca="1">MEDIAN($Q$5:$Q$14)</f>
        <v>8.4302325581395348</v>
      </c>
      <c r="E27" s="22">
        <f ca="1">AVERAGE($Q$5:$Q$14)</f>
        <v>7.9522772949129532</v>
      </c>
      <c r="F27" s="22" t="e">
        <f ca="1">_xludf.PERCENTILE.INC($Q$5:$Q$14,0.75)</f>
        <v>#NAME?</v>
      </c>
      <c r="G27" s="22">
        <f>MAX($Q$5:$Q$14)</f>
        <v>12.659932659932657</v>
      </c>
      <c r="H27" s="21">
        <f>COUNT($Q$5:$Q$14)</f>
        <v>3</v>
      </c>
    </row>
    <row r="28" spans="1:9" ht="18" customHeight="1" x14ac:dyDescent="0.2">
      <c r="A28" s="26" t="s">
        <v>92</v>
      </c>
      <c r="B28" s="22">
        <f>MIN($R$5:$R$14)</f>
        <v>9.9600000000000009</v>
      </c>
      <c r="C28" s="22" t="e">
        <f ca="1">_xludf.PERCENTILE.INC($R$5:$R$14,0.25)</f>
        <v>#NAME?</v>
      </c>
      <c r="D28" s="22">
        <f ca="1">MEDIAN($R$5:$R$14)</f>
        <v>28.100775193798448</v>
      </c>
      <c r="E28" s="22">
        <f ca="1">AVERAGE($R$5:$R$14)</f>
        <v>25.004697382371802</v>
      </c>
      <c r="F28" s="22" t="e">
        <f ca="1">_xludf.PERCENTILE.INC($R$5:$R$14,0.75)</f>
        <v>#NAME?</v>
      </c>
      <c r="G28" s="22">
        <f>MAX($R$5:$R$14)</f>
        <v>36.95331695331695</v>
      </c>
      <c r="H28" s="21">
        <f>COUNT($R$5:$R$14)</f>
        <v>3</v>
      </c>
    </row>
    <row r="29" spans="1:9" ht="18" customHeight="1" x14ac:dyDescent="0.2">
      <c r="A29" s="26" t="s">
        <v>93</v>
      </c>
      <c r="B29" s="22">
        <f>MIN($S$5:$S$14)</f>
        <v>11.857142857142858</v>
      </c>
      <c r="C29" s="22" t="e">
        <f ca="1">_xludf.PERCENTILE.INC($S$5:$S$14,0.25)</f>
        <v>#NAME?</v>
      </c>
      <c r="D29" s="22">
        <f ca="1">MEDIAN($S$5:$S$14)</f>
        <v>32.42397137745975</v>
      </c>
      <c r="E29" s="22">
        <f ca="1">AVERAGE($S$5:$S$14)</f>
        <v>28.571207040551645</v>
      </c>
      <c r="F29" s="22" t="e">
        <f ca="1">_xludf.PERCENTILE.INC($S$5:$S$14,0.75)</f>
        <v>#NAME?</v>
      </c>
      <c r="G29" s="22">
        <f>MAX($S$5:$S$14)</f>
        <v>41.432506887052334</v>
      </c>
      <c r="H29" s="21">
        <f>COUNT($S$5:$S$14)</f>
        <v>3</v>
      </c>
    </row>
    <row r="30" spans="1:9" ht="18" customHeight="1" x14ac:dyDescent="0.2">
      <c r="A30" s="26" t="s">
        <v>94</v>
      </c>
      <c r="B30" s="22">
        <f>MIN($T$5:$T$14)</f>
        <v>14.516129032258064</v>
      </c>
      <c r="C30" s="22" t="e">
        <f ca="1">_xludf.PERCENTILE.INC($T$5:$T$14,0.25)</f>
        <v>#NAME?</v>
      </c>
      <c r="D30" s="22">
        <f ca="1">MEDIAN($T$5:$T$14)</f>
        <v>33.659730722154229</v>
      </c>
      <c r="E30" s="22">
        <f ca="1">AVERAGE($T$5:$T$14)</f>
        <v>36.611979601931893</v>
      </c>
      <c r="F30" s="22" t="e">
        <f ca="1">_xludf.PERCENTILE.INC($T$5:$T$14,0.75)</f>
        <v>#NAME?</v>
      </c>
      <c r="G30" s="22">
        <f>MAX($T$5:$T$14)</f>
        <v>61.660079051383391</v>
      </c>
      <c r="H30" s="21">
        <f>COUNT($T$5:$T$14)</f>
        <v>3</v>
      </c>
    </row>
    <row r="33" spans="1:9" ht="20" customHeight="1" x14ac:dyDescent="0.2">
      <c r="A33" s="35" t="s">
        <v>120</v>
      </c>
      <c r="B33" s="36"/>
      <c r="C33" s="36"/>
      <c r="D33" s="36"/>
      <c r="E33" s="36"/>
      <c r="F33" s="36"/>
      <c r="G33" s="36"/>
      <c r="H33" s="36"/>
      <c r="I33" s="36"/>
    </row>
    <row r="34" spans="1:9" ht="18" customHeight="1" x14ac:dyDescent="0.2">
      <c r="A34" s="6" t="s">
        <v>111</v>
      </c>
      <c r="B34" s="6" t="s">
        <v>112</v>
      </c>
      <c r="C34" s="6" t="s">
        <v>113</v>
      </c>
      <c r="D34" s="6" t="s">
        <v>114</v>
      </c>
      <c r="E34" s="6" t="s">
        <v>115</v>
      </c>
      <c r="F34" s="6" t="s">
        <v>116</v>
      </c>
      <c r="G34" s="6" t="s">
        <v>117</v>
      </c>
      <c r="H34" s="6" t="s">
        <v>118</v>
      </c>
    </row>
    <row r="35" spans="1:9" ht="18" customHeight="1" x14ac:dyDescent="0.2">
      <c r="A35" s="26" t="s">
        <v>91</v>
      </c>
      <c r="B35" s="22">
        <f>MIN($U$5:$U$14)</f>
        <v>2.7666666666666666</v>
      </c>
      <c r="C35" s="22" t="e">
        <f ca="1">_xludf.PERCENTILE.INC($U$5:$U$14,0.25)</f>
        <v>#NAME?</v>
      </c>
      <c r="D35" s="22">
        <f ca="1">MEDIAN($U$5:$U$14)</f>
        <v>7.0758200913864826</v>
      </c>
      <c r="E35" s="22">
        <f ca="1">AVERAGE($U$5:$U$14)</f>
        <v>7.3945598773430721</v>
      </c>
      <c r="F35" s="22" t="e">
        <f ca="1">_xludf.PERCENTILE.INC($U$5:$U$14,0.75)</f>
        <v>#NAME?</v>
      </c>
      <c r="G35" s="22">
        <f>MAX($U$5:$U$14)</f>
        <v>12.659932659932657</v>
      </c>
      <c r="H35" s="21">
        <f>COUNT($U$5:$U$14)</f>
        <v>4</v>
      </c>
    </row>
    <row r="36" spans="1:9" ht="18" customHeight="1" x14ac:dyDescent="0.2">
      <c r="A36" s="26" t="s">
        <v>92</v>
      </c>
      <c r="B36" s="22">
        <f>MIN($V$5:$V$14)</f>
        <v>9.9600000000000009</v>
      </c>
      <c r="C36" s="22" t="e">
        <f ca="1">_xludf.PERCENTILE.INC($V$5:$V$14,0.25)</f>
        <v>#NAME?</v>
      </c>
      <c r="D36" s="22">
        <f ca="1">MEDIAN($V$5:$V$14)</f>
        <v>20.384803181314808</v>
      </c>
      <c r="E36" s="22">
        <f ca="1">AVERAGE($V$5:$V$14)</f>
        <v>21.920730828986642</v>
      </c>
      <c r="F36" s="22" t="e">
        <f ca="1">_xludf.PERCENTILE.INC($V$5:$V$14,0.75)</f>
        <v>#NAME?</v>
      </c>
      <c r="G36" s="22">
        <f>MAX($V$5:$V$14)</f>
        <v>36.95331695331695</v>
      </c>
      <c r="H36" s="21">
        <f>COUNT($V$5:$V$14)</f>
        <v>4</v>
      </c>
    </row>
    <row r="37" spans="1:9" ht="18" customHeight="1" x14ac:dyDescent="0.2">
      <c r="A37" s="26" t="s">
        <v>93</v>
      </c>
      <c r="B37" s="22">
        <f>MIN($W$5:$W$14)</f>
        <v>11.857142857142858</v>
      </c>
      <c r="C37" s="22" t="e">
        <f ca="1">_xludf.PERCENTILE.INC($W$5:$W$14,0.25)</f>
        <v>#NAME?</v>
      </c>
      <c r="D37" s="22">
        <f ca="1">MEDIAN($W$5:$W$14)</f>
        <v>23.602137203881391</v>
      </c>
      <c r="E37" s="22">
        <f ca="1">AVERAGE($W$5:$W$14)</f>
        <v>25.123481037989492</v>
      </c>
      <c r="F37" s="22" t="e">
        <f ca="1">_xludf.PERCENTILE.INC($W$5:$W$14,0.75)</f>
        <v>#NAME?</v>
      </c>
      <c r="G37" s="22">
        <f>MAX($W$5:$W$14)</f>
        <v>41.432506887052334</v>
      </c>
      <c r="H37" s="21">
        <f>COUNT($W$5:$W$14)</f>
        <v>4</v>
      </c>
    </row>
    <row r="38" spans="1:9" ht="18" customHeight="1" x14ac:dyDescent="0.2">
      <c r="A38" s="26" t="s">
        <v>94</v>
      </c>
      <c r="B38" s="22">
        <f>MIN($X$5:$X$14)</f>
        <v>14.516129032258064</v>
      </c>
      <c r="C38" s="22" t="e">
        <f ca="1">_xludf.PERCENTILE.INC($X$5:$X$14,0.25)</f>
        <v>#NAME?</v>
      </c>
      <c r="D38" s="22">
        <f ca="1">MEDIAN($X$5:$X$14)</f>
        <v>25.6177441489559</v>
      </c>
      <c r="E38" s="22">
        <f ca="1">AVERAGE($X$5:$X$14)</f>
        <v>31.852924095388314</v>
      </c>
      <c r="F38" s="22" t="e">
        <f ca="1">_xludf.PERCENTILE.INC($X$5:$X$14,0.75)</f>
        <v>#NAME?</v>
      </c>
      <c r="G38" s="22">
        <f>MAX($X$5:$X$14)</f>
        <v>61.660079051383391</v>
      </c>
      <c r="H38" s="21">
        <f>COUNT($X$5:$X$14)</f>
        <v>4</v>
      </c>
    </row>
  </sheetData>
  <mergeCells count="5">
    <mergeCell ref="A25:I25"/>
    <mergeCell ref="A33:I33"/>
    <mergeCell ref="A1:I1"/>
    <mergeCell ref="A17:I17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6" customWidth="1"/>
    <col min="2" max="8" width="18" customWidth="1"/>
  </cols>
  <sheetData>
    <row r="1" spans="1:8" ht="20" customHeight="1" x14ac:dyDescent="0.2">
      <c r="A1" s="35" t="s">
        <v>121</v>
      </c>
      <c r="B1" s="36"/>
      <c r="C1" s="36"/>
      <c r="D1" s="36"/>
      <c r="E1" s="36"/>
      <c r="F1" s="36"/>
      <c r="G1" s="36"/>
      <c r="H1" s="36"/>
    </row>
    <row r="3" spans="1:8" ht="20" customHeight="1" x14ac:dyDescent="0.2">
      <c r="A3" s="35" t="s">
        <v>122</v>
      </c>
      <c r="B3" s="36"/>
      <c r="C3" s="36"/>
      <c r="D3" s="36"/>
      <c r="E3" s="36"/>
      <c r="F3" s="36"/>
      <c r="G3" s="36"/>
      <c r="H3" s="36"/>
    </row>
    <row r="4" spans="1:8" x14ac:dyDescent="0.2">
      <c r="A4" s="1" t="s">
        <v>123</v>
      </c>
      <c r="B4" s="27">
        <v>40000</v>
      </c>
    </row>
    <row r="5" spans="1:8" x14ac:dyDescent="0.2">
      <c r="A5" s="1" t="s">
        <v>124</v>
      </c>
      <c r="B5" s="27">
        <v>20000</v>
      </c>
    </row>
    <row r="6" spans="1:8" x14ac:dyDescent="0.2">
      <c r="A6" s="1" t="s">
        <v>125</v>
      </c>
      <c r="B6" s="28">
        <v>9.5</v>
      </c>
    </row>
    <row r="7" spans="1:8" x14ac:dyDescent="0.2">
      <c r="A7" s="1" t="s">
        <v>126</v>
      </c>
      <c r="B7" s="27">
        <v>-5000</v>
      </c>
    </row>
    <row r="8" spans="1:8" x14ac:dyDescent="0.2">
      <c r="A8" s="1" t="s">
        <v>127</v>
      </c>
      <c r="B8" s="27">
        <v>2200</v>
      </c>
    </row>
    <row r="10" spans="1:8" ht="20" customHeight="1" x14ac:dyDescent="0.2">
      <c r="A10" s="35" t="s">
        <v>128</v>
      </c>
      <c r="B10" s="36"/>
      <c r="C10" s="36"/>
      <c r="D10" s="36"/>
      <c r="E10" s="36"/>
      <c r="F10" s="36"/>
      <c r="G10" s="36"/>
      <c r="H10" s="36"/>
    </row>
    <row r="11" spans="1:8" ht="18" customHeight="1" x14ac:dyDescent="0.2">
      <c r="A11" s="6" t="s">
        <v>129</v>
      </c>
      <c r="B11" s="6" t="s">
        <v>130</v>
      </c>
      <c r="C11" s="6" t="s">
        <v>39</v>
      </c>
      <c r="D11" s="6" t="s">
        <v>131</v>
      </c>
      <c r="E11" s="6" t="s">
        <v>24</v>
      </c>
      <c r="F11" s="6" t="s">
        <v>132</v>
      </c>
      <c r="G11" s="6" t="s">
        <v>133</v>
      </c>
      <c r="H11" s="6" t="s">
        <v>134</v>
      </c>
    </row>
    <row r="12" spans="1:8" ht="18" customHeight="1" x14ac:dyDescent="0.2">
      <c r="A12" s="29" t="s">
        <v>135</v>
      </c>
      <c r="B12" s="29" t="s">
        <v>93</v>
      </c>
      <c r="C12" s="30" t="e">
        <f ca="1">'06_Stats'!C29</f>
        <v>#NAME?</v>
      </c>
      <c r="D12" s="30">
        <f ca="1">'06_Stats'!D29</f>
        <v>32.42397137745975</v>
      </c>
      <c r="E12" s="30" t="e">
        <f ca="1">'06_Stats'!F29</f>
        <v>#NAME?</v>
      </c>
      <c r="F12" s="15" t="e">
        <f ca="1">$B$5*C12</f>
        <v>#NAME?</v>
      </c>
      <c r="G12" s="15">
        <f ca="1">$B$5*D12</f>
        <v>648479.42754919501</v>
      </c>
      <c r="H12" s="15" t="e">
        <f ca="1">$B$5*E12</f>
        <v>#NAME?</v>
      </c>
    </row>
    <row r="13" spans="1:8" ht="18" customHeight="1" x14ac:dyDescent="0.2">
      <c r="A13" s="29" t="s">
        <v>136</v>
      </c>
      <c r="B13" s="29" t="s">
        <v>91</v>
      </c>
      <c r="C13" s="30" t="e">
        <f ca="1">'06_Stats'!C27</f>
        <v>#NAME?</v>
      </c>
      <c r="D13" s="30">
        <f ca="1">'06_Stats'!D27</f>
        <v>8.4302325581395348</v>
      </c>
      <c r="E13" s="30" t="e">
        <f ca="1">'06_Stats'!F27</f>
        <v>#NAME?</v>
      </c>
      <c r="F13" s="15" t="e">
        <f ca="1">$B$4*C13</f>
        <v>#NAME?</v>
      </c>
      <c r="G13" s="15">
        <f ca="1">$B$4*D13</f>
        <v>337209.30232558138</v>
      </c>
      <c r="H13" s="15" t="e">
        <f ca="1">$B$4*E13</f>
        <v>#NAME?</v>
      </c>
    </row>
    <row r="14" spans="1:8" ht="18" customHeight="1" x14ac:dyDescent="0.2">
      <c r="A14" s="29" t="s">
        <v>137</v>
      </c>
      <c r="B14" s="29" t="s">
        <v>93</v>
      </c>
      <c r="C14" s="30" t="e">
        <f ca="1">'06_Stats'!C37</f>
        <v>#NAME?</v>
      </c>
      <c r="D14" s="30">
        <f ca="1">'06_Stats'!D37</f>
        <v>23.602137203881391</v>
      </c>
      <c r="E14" s="30" t="e">
        <f ca="1">'06_Stats'!F37</f>
        <v>#NAME?</v>
      </c>
      <c r="F14" s="15" t="e">
        <f ca="1">$B$5*C14</f>
        <v>#NAME?</v>
      </c>
      <c r="G14" s="15">
        <f ca="1">$B$5*D14</f>
        <v>472042.74407762784</v>
      </c>
      <c r="H14" s="15" t="e">
        <f ca="1">$B$5*E14</f>
        <v>#NAME?</v>
      </c>
    </row>
    <row r="16" spans="1:8" ht="20" customHeight="1" x14ac:dyDescent="0.2">
      <c r="A16" s="35" t="s">
        <v>138</v>
      </c>
      <c r="B16" s="36"/>
      <c r="C16" s="36"/>
      <c r="D16" s="36"/>
      <c r="E16" s="36"/>
      <c r="F16" s="36"/>
      <c r="G16" s="36"/>
      <c r="H16" s="36"/>
    </row>
    <row r="17" spans="1:6" ht="18" customHeight="1" x14ac:dyDescent="0.2">
      <c r="A17" s="6" t="s">
        <v>139</v>
      </c>
      <c r="B17" s="6" t="s">
        <v>85</v>
      </c>
      <c r="C17" s="6" t="s">
        <v>140</v>
      </c>
      <c r="D17" s="6" t="s">
        <v>66</v>
      </c>
      <c r="E17" s="6" t="s">
        <v>64</v>
      </c>
      <c r="F17" s="6" t="s">
        <v>141</v>
      </c>
    </row>
    <row r="18" spans="1:6" ht="18" customHeight="1" x14ac:dyDescent="0.2">
      <c r="A18" s="29" t="s">
        <v>39</v>
      </c>
      <c r="B18" s="15" t="e">
        <f ca="1">F12</f>
        <v>#NAME?</v>
      </c>
      <c r="C18" s="15">
        <f>$B$7</f>
        <v>-5000</v>
      </c>
      <c r="D18" s="15" t="e">
        <f ca="1">B18-C18</f>
        <v>#NAME?</v>
      </c>
      <c r="E18" s="15">
        <f>$B$8</f>
        <v>2200</v>
      </c>
      <c r="F18" s="31" t="e">
        <f ca="1">IF(E18=0,"",D18/E18)</f>
        <v>#NAME?</v>
      </c>
    </row>
    <row r="19" spans="1:6" ht="18" customHeight="1" x14ac:dyDescent="0.2">
      <c r="A19" s="29" t="s">
        <v>131</v>
      </c>
      <c r="B19" s="15">
        <f ca="1">G12</f>
        <v>648479.42754919501</v>
      </c>
      <c r="C19" s="15">
        <f>$B$7</f>
        <v>-5000</v>
      </c>
      <c r="D19" s="15">
        <f ca="1">B19-C19</f>
        <v>653479.42754919501</v>
      </c>
      <c r="E19" s="15">
        <f>$B$8</f>
        <v>2200</v>
      </c>
      <c r="F19" s="31">
        <f ca="1">IF(E19=0,"",D19/E19)</f>
        <v>297.03610343145226</v>
      </c>
    </row>
    <row r="20" spans="1:6" ht="18" customHeight="1" x14ac:dyDescent="0.2">
      <c r="A20" s="29" t="s">
        <v>24</v>
      </c>
      <c r="B20" s="15" t="e">
        <f ca="1">H12</f>
        <v>#NAME?</v>
      </c>
      <c r="C20" s="15">
        <f>$B$7</f>
        <v>-5000</v>
      </c>
      <c r="D20" s="15" t="e">
        <f ca="1">B20-C20</f>
        <v>#NAME?</v>
      </c>
      <c r="E20" s="15">
        <f>$B$8</f>
        <v>2200</v>
      </c>
      <c r="F20" s="31" t="e">
        <f ca="1">IF(E20=0,"",D20/E20)</f>
        <v>#NAME?</v>
      </c>
    </row>
  </sheetData>
  <mergeCells count="4">
    <mergeCell ref="A3:H3"/>
    <mergeCell ref="A16:H16"/>
    <mergeCell ref="A10:H1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showGridLines="0" workbookViewId="0">
      <pane ySplit="3" topLeftCell="A4" activePane="bottomLeft" state="frozen"/>
      <selection pane="bottomLeft" activeCell="G18" sqref="G18"/>
    </sheetView>
  </sheetViews>
  <sheetFormatPr baseColWidth="10" defaultColWidth="8.83203125" defaultRowHeight="15" x14ac:dyDescent="0.2"/>
  <cols>
    <col min="1" max="1" width="34" customWidth="1"/>
    <col min="2" max="3" width="12" customWidth="1"/>
    <col min="4" max="4" width="10" customWidth="1"/>
    <col min="5" max="5" width="2" customWidth="1"/>
    <col min="6" max="7" width="14" customWidth="1"/>
  </cols>
  <sheetData>
    <row r="1" spans="1:7" ht="20" customHeight="1" x14ac:dyDescent="0.2">
      <c r="A1" s="35" t="s">
        <v>142</v>
      </c>
      <c r="B1" s="36"/>
      <c r="C1" s="36"/>
      <c r="D1" s="36"/>
      <c r="E1" s="36"/>
      <c r="F1" s="36"/>
      <c r="G1" s="36"/>
    </row>
    <row r="3" spans="1:7" ht="18" customHeight="1" x14ac:dyDescent="0.2">
      <c r="A3" s="6" t="s">
        <v>129</v>
      </c>
      <c r="B3" s="6" t="s">
        <v>39</v>
      </c>
      <c r="C3" s="6" t="s">
        <v>24</v>
      </c>
      <c r="D3" s="6" t="s">
        <v>143</v>
      </c>
      <c r="F3" s="6" t="s">
        <v>144</v>
      </c>
      <c r="G3" s="6" t="s">
        <v>145</v>
      </c>
    </row>
    <row r="4" spans="1:7" ht="18" customHeight="1" x14ac:dyDescent="0.2">
      <c r="A4" s="7" t="s">
        <v>146</v>
      </c>
      <c r="B4" s="31" t="e">
        <f ca="1">'07_Novo_Valuation'!F18</f>
        <v>#NAME?</v>
      </c>
      <c r="C4" s="31" t="e">
        <f ca="1">'07_Novo_Valuation'!F20</f>
        <v>#NAME?</v>
      </c>
      <c r="D4" s="32">
        <v>1</v>
      </c>
      <c r="F4" s="31" t="e">
        <f ca="1">IF(D4=1,B4,"")</f>
        <v>#NAME?</v>
      </c>
      <c r="G4" s="31" t="e">
        <f ca="1">IF(D4=1,C4-B4,"")</f>
        <v>#NAME?</v>
      </c>
    </row>
    <row r="5" spans="1:7" ht="18" customHeight="1" x14ac:dyDescent="0.2">
      <c r="A5" s="7" t="s">
        <v>147</v>
      </c>
      <c r="B5" s="31" t="e">
        <f ca="1">('07_Novo_Valuation'!F13-$B$7)/$B$8</f>
        <v>#NAME?</v>
      </c>
      <c r="C5" s="31" t="e">
        <f ca="1">('07_Novo_Valuation'!H13-$B$7)/$B$8</f>
        <v>#NAME?</v>
      </c>
      <c r="D5" s="32">
        <v>1</v>
      </c>
      <c r="F5" s="31" t="e">
        <f ca="1">IF(D5=1,B5,"")</f>
        <v>#NAME?</v>
      </c>
      <c r="G5" s="31" t="e">
        <f ca="1">IF(D5=1,C5-B5,"")</f>
        <v>#NAME?</v>
      </c>
    </row>
    <row r="6" spans="1:7" ht="18" customHeight="1" x14ac:dyDescent="0.2">
      <c r="A6" s="7" t="s">
        <v>148</v>
      </c>
      <c r="B6" s="31" t="e">
        <f ca="1">('07_Novo_Valuation'!F14-$B$7)/$B$8</f>
        <v>#NAME?</v>
      </c>
      <c r="C6" s="31" t="e">
        <f ca="1">('07_Novo_Valuation'!H14-$B$7)/$B$8</f>
        <v>#NAME?</v>
      </c>
      <c r="D6" s="32">
        <v>1</v>
      </c>
      <c r="F6" s="31" t="e">
        <f ca="1">IF(D6=1,B6,"")</f>
        <v>#NAME?</v>
      </c>
      <c r="G6" s="31" t="e">
        <f ca="1">IF(D6=1,C6-B6,"")</f>
        <v>#NAME?</v>
      </c>
    </row>
    <row r="7" spans="1:7" ht="18" customHeight="1" x14ac:dyDescent="0.2">
      <c r="A7" s="7" t="s">
        <v>149</v>
      </c>
      <c r="B7" s="31">
        <v>16</v>
      </c>
      <c r="C7" s="31">
        <v>24</v>
      </c>
      <c r="D7" s="32">
        <v>1</v>
      </c>
      <c r="F7" s="31">
        <f>IF(D7=1,B7,"")</f>
        <v>16</v>
      </c>
      <c r="G7" s="31">
        <f>IF(D7=1,C7-B7,"")</f>
        <v>8</v>
      </c>
    </row>
    <row r="9" spans="1:7" x14ac:dyDescent="0.2">
      <c r="A9" s="33" t="s">
        <v>126</v>
      </c>
      <c r="B9" s="34">
        <f>'07_Novo_Valuation'!B7</f>
        <v>-5000</v>
      </c>
    </row>
    <row r="10" spans="1:7" x14ac:dyDescent="0.2">
      <c r="A10" s="33" t="s">
        <v>127</v>
      </c>
      <c r="B10" s="34">
        <f>'07_Novo_Valuation'!B8</f>
        <v>2200</v>
      </c>
    </row>
  </sheetData>
  <mergeCells count="1">
    <mergeCell ref="A1:G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showGridLines="0" zoomScale="200" workbookViewId="0">
      <selection activeCell="C7" sqref="C7"/>
    </sheetView>
  </sheetViews>
  <sheetFormatPr baseColWidth="10" defaultColWidth="8.83203125" defaultRowHeight="15" x14ac:dyDescent="0.2"/>
  <cols>
    <col min="1" max="1" width="40" customWidth="1"/>
    <col min="2" max="2" width="14" customWidth="1"/>
    <col min="3" max="3" width="18" customWidth="1"/>
  </cols>
  <sheetData>
    <row r="1" spans="1:3" ht="20" customHeight="1" x14ac:dyDescent="0.2">
      <c r="A1" s="35" t="s">
        <v>150</v>
      </c>
      <c r="B1" s="36"/>
      <c r="C1" s="36"/>
    </row>
    <row r="3" spans="1:3" ht="18" customHeight="1" x14ac:dyDescent="0.2">
      <c r="A3" s="6" t="s">
        <v>151</v>
      </c>
      <c r="B3" s="6" t="s">
        <v>152</v>
      </c>
      <c r="C3" s="6" t="s">
        <v>153</v>
      </c>
    </row>
    <row r="4" spans="1:3" ht="18" customHeight="1" x14ac:dyDescent="0.2">
      <c r="A4" s="7" t="s">
        <v>154</v>
      </c>
      <c r="B4" s="8" t="str">
        <f>IF(COUNTBLANK('03_Market_Data'!K4:K13)&gt;0,"FAIL","OK")</f>
        <v>OK</v>
      </c>
      <c r="C4" s="21">
        <f>COUNTBLANK('03_Market_Data'!K4:K13)</f>
        <v>0</v>
      </c>
    </row>
    <row r="5" spans="1:3" ht="18" customHeight="1" x14ac:dyDescent="0.2">
      <c r="A5" s="7" t="s">
        <v>155</v>
      </c>
      <c r="B5" s="8" t="str">
        <f>IF(COUNTBLANK('04_Consensus'!B4:B13)+COUNTBLANK('04_Consensus'!D4:D13)&gt;0,"FAIL","OK")</f>
        <v>OK</v>
      </c>
      <c r="C5" s="21">
        <f>COUNTBLANK('04_Consensus'!B4:B13)+COUNTBLANK('04_Consensus'!D4:D13)</f>
        <v>0</v>
      </c>
    </row>
    <row r="6" spans="1:3" ht="18" customHeight="1" x14ac:dyDescent="0.2">
      <c r="A6" s="7" t="s">
        <v>156</v>
      </c>
      <c r="B6" s="8" t="str">
        <f>IF(COUNTIF('02_Peer_Screen'!G4:G13,1)&gt;=5,"OK","REVIEW")</f>
        <v>OK</v>
      </c>
      <c r="C6" s="21">
        <f>COUNTIF('02_Peer_Screen'!G4:G13,1)</f>
        <v>9</v>
      </c>
    </row>
    <row r="7" spans="1:3" ht="18" customHeight="1" x14ac:dyDescent="0.2">
      <c r="A7" s="7" t="s">
        <v>157</v>
      </c>
      <c r="B7" s="8" t="str">
        <f>IF(SUMPRODUCT(--('02_Peer_Screen'!G4:G13=1),--('02_Peer_Screen'!H4:H13=1))&gt;=3,"OK","REVIEW")</f>
        <v>OK</v>
      </c>
      <c r="C7" s="21">
        <f>SUMPRODUCT(--('02_Peer_Screen'!G4:G13=1),--('02_Peer_Screen'!H4:H13=1))</f>
        <v>3</v>
      </c>
    </row>
  </sheetData>
  <mergeCells count="1">
    <mergeCell ref="A1:C1"/>
  </mergeCells>
  <conditionalFormatting sqref="B4:B20">
    <cfRule type="cellIs" dxfId="1" priority="1" operator="equal">
      <formula>"FAIL"</formula>
    </cfRule>
    <cfRule type="cellIs" dxfId="0" priority="2" operator="equal">
      <formula>"REVIEW"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9701-04BB-034A-9F36-BE9739333D50}">
  <sheetPr>
    <tabColor rgb="FFB45309"/>
  </sheetPr>
  <dimension ref="A1:H10"/>
  <sheetViews>
    <sheetView showGridLines="0" zoomScale="150" zoomScaleNormal="100" workbookViewId="0">
      <selection activeCell="H7" sqref="H7"/>
    </sheetView>
  </sheetViews>
  <sheetFormatPr baseColWidth="10" defaultColWidth="8.6640625" defaultRowHeight="15" x14ac:dyDescent="0.2"/>
  <cols>
    <col min="1" max="1" width="22" style="37" customWidth="1"/>
    <col min="2" max="2" width="7" style="37" customWidth="1"/>
    <col min="3" max="3" width="28" style="37" customWidth="1"/>
    <col min="4" max="4" width="20" style="37" customWidth="1"/>
    <col min="5" max="5" width="16" style="37" customWidth="1"/>
    <col min="6" max="6" width="12" style="37" customWidth="1"/>
    <col min="7" max="7" width="18" style="37" customWidth="1"/>
    <col min="8" max="8" width="55" style="37" customWidth="1"/>
    <col min="9" max="16384" width="8.6640625" style="37"/>
  </cols>
  <sheetData>
    <row r="1" spans="1:8" ht="21.75" customHeight="1" x14ac:dyDescent="0.2">
      <c r="A1" s="49" t="s">
        <v>201</v>
      </c>
      <c r="B1" s="49"/>
      <c r="C1" s="49"/>
      <c r="D1" s="49"/>
      <c r="E1" s="49"/>
      <c r="F1" s="49"/>
      <c r="G1" s="49"/>
      <c r="H1" s="49"/>
    </row>
    <row r="2" spans="1:8" ht="13.5" customHeight="1" x14ac:dyDescent="0.2">
      <c r="A2" s="48" t="s">
        <v>200</v>
      </c>
      <c r="B2" s="48"/>
      <c r="C2" s="48"/>
      <c r="D2" s="48"/>
      <c r="E2" s="48"/>
      <c r="F2" s="48"/>
      <c r="G2" s="48"/>
      <c r="H2" s="48"/>
    </row>
    <row r="3" spans="1:8" ht="21.75" customHeight="1" x14ac:dyDescent="0.2">
      <c r="A3" s="47" t="s">
        <v>12</v>
      </c>
      <c r="B3" s="47" t="s">
        <v>13</v>
      </c>
      <c r="C3" s="47" t="s">
        <v>199</v>
      </c>
      <c r="D3" s="47" t="s">
        <v>198</v>
      </c>
      <c r="E3" s="47" t="s">
        <v>197</v>
      </c>
      <c r="F3" s="47" t="s">
        <v>196</v>
      </c>
      <c r="G3" s="47" t="s">
        <v>195</v>
      </c>
      <c r="H3" s="47" t="s">
        <v>194</v>
      </c>
    </row>
    <row r="4" spans="1:8" ht="16.5" customHeight="1" x14ac:dyDescent="0.2">
      <c r="A4" s="46" t="s">
        <v>193</v>
      </c>
      <c r="B4" s="45" t="s">
        <v>192</v>
      </c>
      <c r="C4" s="45" t="s">
        <v>191</v>
      </c>
      <c r="D4" s="45" t="s">
        <v>190</v>
      </c>
      <c r="E4" s="45" t="s">
        <v>189</v>
      </c>
      <c r="F4" s="45" t="s">
        <v>159</v>
      </c>
      <c r="G4" s="45" t="s">
        <v>169</v>
      </c>
      <c r="H4" s="44" t="s">
        <v>188</v>
      </c>
    </row>
    <row r="5" spans="1:8" ht="36" customHeight="1" x14ac:dyDescent="0.2">
      <c r="A5" s="43" t="s">
        <v>20</v>
      </c>
      <c r="B5" s="42" t="s">
        <v>21</v>
      </c>
      <c r="C5" s="42" t="s">
        <v>187</v>
      </c>
      <c r="D5" s="42" t="s">
        <v>186</v>
      </c>
      <c r="E5" s="42" t="s">
        <v>185</v>
      </c>
      <c r="F5" s="42" t="s">
        <v>184</v>
      </c>
      <c r="G5" s="42" t="s">
        <v>22</v>
      </c>
      <c r="H5" s="41" t="s">
        <v>183</v>
      </c>
    </row>
    <row r="6" spans="1:8" ht="36" customHeight="1" x14ac:dyDescent="0.2">
      <c r="A6" s="40" t="s">
        <v>32</v>
      </c>
      <c r="B6" s="39" t="s">
        <v>33</v>
      </c>
      <c r="C6" s="39" t="s">
        <v>182</v>
      </c>
      <c r="D6" s="39" t="s">
        <v>181</v>
      </c>
      <c r="E6" s="39" t="s">
        <v>180</v>
      </c>
      <c r="F6" s="39" t="s">
        <v>159</v>
      </c>
      <c r="G6" s="39" t="s">
        <v>169</v>
      </c>
      <c r="H6" s="38" t="s">
        <v>179</v>
      </c>
    </row>
    <row r="7" spans="1:8" ht="36" customHeight="1" x14ac:dyDescent="0.2">
      <c r="A7" s="43" t="s">
        <v>36</v>
      </c>
      <c r="B7" s="42" t="s">
        <v>37</v>
      </c>
      <c r="C7" s="42" t="s">
        <v>178</v>
      </c>
      <c r="D7" s="42" t="s">
        <v>177</v>
      </c>
      <c r="E7" s="42" t="s">
        <v>176</v>
      </c>
      <c r="F7" s="42" t="s">
        <v>159</v>
      </c>
      <c r="G7" s="42" t="s">
        <v>175</v>
      </c>
      <c r="H7" s="41" t="s">
        <v>174</v>
      </c>
    </row>
    <row r="8" spans="1:8" ht="36" customHeight="1" x14ac:dyDescent="0.2">
      <c r="A8" s="40" t="s">
        <v>27</v>
      </c>
      <c r="B8" s="39" t="s">
        <v>173</v>
      </c>
      <c r="C8" s="39" t="s">
        <v>172</v>
      </c>
      <c r="D8" s="39" t="s">
        <v>171</v>
      </c>
      <c r="E8" s="39" t="s">
        <v>170</v>
      </c>
      <c r="F8" s="39" t="s">
        <v>159</v>
      </c>
      <c r="G8" s="39" t="s">
        <v>169</v>
      </c>
      <c r="H8" s="38" t="s">
        <v>168</v>
      </c>
    </row>
    <row r="9" spans="1:8" ht="36" customHeight="1" x14ac:dyDescent="0.2">
      <c r="A9" s="43" t="s">
        <v>45</v>
      </c>
      <c r="B9" s="42" t="s">
        <v>46</v>
      </c>
      <c r="C9" s="42" t="s">
        <v>167</v>
      </c>
      <c r="D9" s="42" t="s">
        <v>166</v>
      </c>
      <c r="E9" s="42" t="s">
        <v>165</v>
      </c>
      <c r="F9" s="42" t="s">
        <v>159</v>
      </c>
      <c r="G9" s="42" t="s">
        <v>22</v>
      </c>
      <c r="H9" s="41" t="s">
        <v>164</v>
      </c>
    </row>
    <row r="10" spans="1:8" ht="36" customHeight="1" x14ac:dyDescent="0.2">
      <c r="A10" s="40" t="s">
        <v>163</v>
      </c>
      <c r="B10" s="39" t="s">
        <v>44</v>
      </c>
      <c r="C10" s="39" t="s">
        <v>162</v>
      </c>
      <c r="D10" s="39" t="s">
        <v>161</v>
      </c>
      <c r="E10" s="39" t="s">
        <v>160</v>
      </c>
      <c r="F10" s="39" t="s">
        <v>159</v>
      </c>
      <c r="G10" s="39" t="s">
        <v>22</v>
      </c>
      <c r="H10" s="38" t="s">
        <v>158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00_Guide_Framework</vt:lpstr>
      <vt:lpstr>01_Control</vt:lpstr>
      <vt:lpstr>02_Peer_Screen</vt:lpstr>
      <vt:lpstr>03_Market_Data</vt:lpstr>
      <vt:lpstr>04_Consensus</vt:lpstr>
      <vt:lpstr>05_Multiples</vt:lpstr>
      <vt:lpstr>06_Stats</vt:lpstr>
      <vt:lpstr>07_Novo_Valuation</vt:lpstr>
      <vt:lpstr>08_Football_Field</vt:lpstr>
      <vt:lpstr>09_QC</vt:lpstr>
      <vt:lpstr>Peer Rationale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Larsen Koefoed</cp:lastModifiedBy>
  <dcterms:created xsi:type="dcterms:W3CDTF">2026-02-20T15:42:50Z</dcterms:created>
  <dcterms:modified xsi:type="dcterms:W3CDTF">2026-02-21T12:20:30Z</dcterms:modified>
</cp:coreProperties>
</file>