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DASHBOARD" sheetId="1" state="visible" r:id="rId1"/>
    <sheet xmlns:r="http://schemas.openxmlformats.org/officeDocument/2006/relationships" name="01_CONTROL" sheetId="2" state="visible" r:id="rId2"/>
    <sheet xmlns:r="http://schemas.openxmlformats.org/officeDocument/2006/relationships" name="02_INPUTS_TARGET_HISTORICALS" sheetId="3" state="visible" r:id="rId3"/>
    <sheet xmlns:r="http://schemas.openxmlformats.org/officeDocument/2006/relationships" name="03_DRIVERS_AND_FORECAST" sheetId="4" state="visible" r:id="rId4"/>
    <sheet xmlns:r="http://schemas.openxmlformats.org/officeDocument/2006/relationships" name="04_OPERATING_MODEL" sheetId="5" state="visible" r:id="rId5"/>
    <sheet xmlns:r="http://schemas.openxmlformats.org/officeDocument/2006/relationships" name="05_SOURCES_AND_USES" sheetId="6" state="visible" r:id="rId6"/>
    <sheet xmlns:r="http://schemas.openxmlformats.org/officeDocument/2006/relationships" name="06_DEBT_SCHEDULES" sheetId="7" state="visible" r:id="rId7"/>
    <sheet xmlns:r="http://schemas.openxmlformats.org/officeDocument/2006/relationships" name="07_CASH_FLOW_WATERFALL" sheetId="8" state="visible" r:id="rId8"/>
    <sheet xmlns:r="http://schemas.openxmlformats.org/officeDocument/2006/relationships" name="08_EXIT_AND_EQUITY_BRIDGE" sheetId="9" state="visible" r:id="rId9"/>
    <sheet xmlns:r="http://schemas.openxmlformats.org/officeDocument/2006/relationships" name="09_RETURNS" sheetId="10" state="visible" r:id="rId10"/>
    <sheet xmlns:r="http://schemas.openxmlformats.org/officeDocument/2006/relationships" name="10_COVENANTS_AND_CREDIT_METRICS" sheetId="11" state="visible" r:id="rId11"/>
    <sheet xmlns:r="http://schemas.openxmlformats.org/officeDocument/2006/relationships" name="11_SENSITIVITIES" sheetId="12" state="visible" r:id="rId12"/>
    <sheet xmlns:r="http://schemas.openxmlformats.org/officeDocument/2006/relationships" name="80_LBO_LEARN_MAP" sheetId="13" state="visible" r:id="rId13"/>
    <sheet xmlns:r="http://schemas.openxmlformats.org/officeDocument/2006/relationships" name="81_LBO_LEARN_FORMULAS" sheetId="14" state="visible" r:id="rId14"/>
    <sheet xmlns:r="http://schemas.openxmlformats.org/officeDocument/2006/relationships" name="82_LBO_LEARN_INTERPRETATION" sheetId="15" state="visible" r:id="rId15"/>
    <sheet xmlns:r="http://schemas.openxmlformats.org/officeDocument/2006/relationships" name="83_LBO_LEARN_SCENARIOS" sheetId="16" state="visible" r:id="rId16"/>
    <sheet xmlns:r="http://schemas.openxmlformats.org/officeDocument/2006/relationships" name="84_LBO_LEARN_DRILLS" sheetId="17" state="visible" r:id="rId17"/>
    <sheet xmlns:r="http://schemas.openxmlformats.org/officeDocument/2006/relationships" name="85_LBO_LEARN_MISTAKES" sheetId="18" state="visible" r:id="rId18"/>
    <sheet xmlns:r="http://schemas.openxmlformats.org/officeDocument/2006/relationships" name="86_LBO_SPECIAL_MODULE" sheetId="19" state="visible" r:id="rId19"/>
    <sheet xmlns:r="http://schemas.openxmlformats.org/officeDocument/2006/relationships" name="90_CHECKS" sheetId="20" state="visible" r:id="rId20"/>
    <sheet xmlns:r="http://schemas.openxmlformats.org/officeDocument/2006/relationships" name="99_APPENDIX_DATA" sheetId="21" state="visible" r:id="rId21"/>
  </sheets>
  <definedNames>
    <definedName name="Scenario">'01_CONTROL'!$D$12</definedName>
    <definedName name="Hold_Y">'01_CONTROL'!$D$14</definedName>
    <definedName name="Hold_Col">'01_CONTROL'!$G$14</definedName>
    <definedName name="Entry_Multiple">'01_CONTROL'!$D$16</definedName>
    <definedName name="Exit_Method">'01_CONTROL'!$D$17</definedName>
    <definedName name="Exit_Multiple">'01_CONTROL'!$D$18</definedName>
    <definedName name="Exit_Equity_Target">'01_CONTROL'!$D$19</definedName>
    <definedName name="Debt_Structure">'01_CONTROL'!$D$20</definedName>
    <definedName name="IR_Mode">'01_CONTROL'!$D$21</definedName>
    <definedName name="Bench_Rate">'01_CONTROL'!$D$22</definedName>
    <definedName name="Tax_Rate">'01_CONTROL'!$D$26</definedName>
    <definedName name="Exit_Fee_Pct">'01_CONTROL'!$D$35</definedName>
    <definedName name="Coven_NetLev_Max">'01_CONTROL'!$D$71</definedName>
    <definedName name="Coven_IntCov_Min">'01_CONTROL'!$D$72</definedName>
    <definedName name="Min_Liq_Target">'01_CONTROL'!$D$73</definedName>
    <definedName name="Purchase_Price">'01_CONTROL'!$D$15</definedName>
    <definedName name="FX_Mode">'01_CONTROL'!$D$23</definedName>
    <definedName name="FX_Rate">'01_CONTROL'!$D$24</definedName>
    <definedName name="Lev_Target">'01_CONTROL'!$D$48</definedName>
    <definedName name="Revolver_Limit">'01_CONTROL'!$G$49</definedName>
    <definedName name="Cash_Sweep">'01_CONTROL'!$G$54</definedName>
    <definedName name="Mgmt_Rollover_Pct">'01_CONTROL'!$G$55</definedName>
    <definedName name="WC_Adjust">'01_CONTROL'!$G$56</definedName>
    <definedName name="TRAINING_MODE">01_CONTROL!$G$12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dd-mmm-yyyy"/>
    <numFmt numFmtId="165" formatCode="0.00&quot;x&quot;"/>
    <numFmt numFmtId="166" formatCode="0.0&quot;x&quot;"/>
    <numFmt numFmtId="167" formatCode="0.0%"/>
    <numFmt numFmtId="168" formatCode="#,##0;[Red](#,##0);&quot;-&quot;"/>
    <numFmt numFmtId="169" formatCode="0.000"/>
    <numFmt numFmtId="170" formatCode="#,##0.000;[Red](#,##0.000);&quot;-&quot;"/>
    <numFmt numFmtId="171" formatCode="0.0"/>
  </numFmts>
  <fonts count="34">
    <font>
      <name val="Calibri"/>
      <family val="2"/>
      <color theme="1"/>
      <sz val="11"/>
      <scheme val="minor"/>
    </font>
    <font>
      <b val="1"/>
      <color rgb="00000000"/>
    </font>
    <font>
      <color rgb="00000000"/>
    </font>
    <font>
      <b val="1"/>
      <color rgb="00000000"/>
      <sz val="14"/>
    </font>
    <font>
      <color rgb="0000B050"/>
      <u val="single"/>
    </font>
    <font>
      <b val="1"/>
    </font>
    <font>
      <b val="1"/>
      <sz val="16"/>
    </font>
    <font>
      <b val="1"/>
      <color rgb="00C00000"/>
    </font>
    <font>
      <b val="1"/>
      <color rgb="00FFFFFF"/>
    </font>
    <font>
      <b val="1"/>
      <color rgb="000070C0"/>
    </font>
    <font>
      <color rgb="000070C0"/>
    </font>
    <font>
      <color rgb="0000B050"/>
    </font>
    <font/>
    <font>
      <i val="1"/>
      <color rgb="00666666"/>
    </font>
    <font>
      <b val="1"/>
      <color rgb="000D1B2A"/>
      <sz val="16"/>
    </font>
    <font>
      <color rgb="00666666"/>
    </font>
    <font>
      <b val="1"/>
      <color rgb="000D1B2A"/>
    </font>
    <font>
      <b val="1"/>
      <color rgb="00000000"/>
      <sz val="10"/>
    </font>
    <font>
      <name val="Calibri"/>
      <b val="1"/>
      <color rgb="00000000"/>
      <sz val="10"/>
    </font>
    <font>
      <name val="Calibri"/>
      <color rgb="0000B050"/>
      <sz val="10"/>
    </font>
    <font>
      <name val="Calibri"/>
      <color rgb="00000000"/>
      <sz val="10"/>
    </font>
    <font>
      <name val="Calibri"/>
      <i val="1"/>
      <color rgb="00000000"/>
      <sz val="10"/>
    </font>
    <font>
      <name val="Calibri"/>
      <b val="1"/>
      <color rgb="0000B050"/>
      <sz val="10"/>
    </font>
    <font>
      <b val="1"/>
      <color rgb="001F2937"/>
    </font>
    <font>
      <b val="1"/>
      <color rgb="00111827"/>
    </font>
    <font>
      <b val="1"/>
      <color rgb="0000B050"/>
      <sz val="10"/>
    </font>
    <font>
      <b val="1"/>
      <color rgb="00FFFFFF"/>
      <sz val="11"/>
    </font>
    <font>
      <color rgb="00000000"/>
      <sz val="10"/>
    </font>
    <font>
      <color rgb="0000B050"/>
      <sz val="10"/>
      <u val="single"/>
    </font>
    <font>
      <name val="Consolas"/>
      <color rgb="00000000"/>
      <sz val="9"/>
    </font>
    <font>
      <b val="1"/>
      <color rgb="0000B050"/>
    </font>
    <font>
      <b val="1"/>
      <color rgb="00000000"/>
      <sz val="9"/>
    </font>
    <font>
      <color rgb="00000000"/>
      <sz val="9"/>
    </font>
    <font>
      <b val="1"/>
      <color rgb="0000B050"/>
      <sz val="9"/>
      <u val="single"/>
    </font>
  </fonts>
  <fills count="11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9D9D9"/>
      </patternFill>
    </fill>
    <fill>
      <patternFill patternType="solid">
        <fgColor rgb="001F4E79"/>
      </patternFill>
    </fill>
    <fill>
      <patternFill patternType="solid">
        <fgColor rgb="000D1B2A"/>
      </patternFill>
    </fill>
    <fill>
      <patternFill patternType="solid">
        <fgColor rgb="000070C0"/>
      </patternFill>
    </fill>
    <fill>
      <patternFill patternType="solid">
        <fgColor rgb="00FFFFFF"/>
      </patternFill>
    </fill>
    <fill>
      <patternFill patternType="solid">
        <fgColor rgb="00F3F4F6"/>
      </patternFill>
    </fill>
    <fill>
      <patternFill patternType="solid">
        <fgColor rgb="00E6E6E6"/>
      </patternFill>
    </fill>
    <fill>
      <patternFill patternType="solid">
        <fgColor rgb="00D9E1F2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/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4">
    <xf numFmtId="0" fontId="0" fillId="0" borderId="0" pivotButton="0" quotePrefix="0" xfId="0"/>
    <xf numFmtId="0" fontId="12" fillId="0" borderId="2" pivotButton="0" quotePrefix="0" xfId="0"/>
    <xf numFmtId="0" fontId="18" fillId="3" borderId="1" applyAlignment="1" pivotButton="0" quotePrefix="0" xfId="0">
      <alignment horizontal="left" vertical="center"/>
    </xf>
    <xf numFmtId="0" fontId="19" fillId="3" borderId="1" applyAlignment="1" pivotButton="0" quotePrefix="0" xfId="0">
      <alignment horizontal="center" vertical="center"/>
    </xf>
    <xf numFmtId="0" fontId="18" fillId="0" borderId="2" pivotButton="0" quotePrefix="0" xfId="0"/>
    <xf numFmtId="0" fontId="20" fillId="0" borderId="2" pivotButton="0" quotePrefix="0" xfId="0"/>
    <xf numFmtId="0" fontId="21" fillId="0" borderId="2" pivotButton="0" quotePrefix="0" xfId="0"/>
    <xf numFmtId="164" fontId="12" fillId="0" borderId="2" pivotButton="0" quotePrefix="0" xfId="0"/>
    <xf numFmtId="0" fontId="18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164" fontId="8" fillId="5" borderId="1" applyAlignment="1" pivotButton="0" quotePrefix="0" xfId="0">
      <alignment horizontal="left" vertical="center"/>
    </xf>
    <xf numFmtId="0" fontId="18" fillId="6" borderId="1" applyAlignment="1" pivotButton="0" quotePrefix="0" xfId="0">
      <alignment horizontal="left" vertical="center" wrapText="1"/>
    </xf>
    <xf numFmtId="0" fontId="22" fillId="7" borderId="1" applyAlignment="1" pivotButton="0" quotePrefix="0" xfId="0">
      <alignment horizontal="center" vertical="center" wrapText="1"/>
    </xf>
    <xf numFmtId="165" fontId="18" fillId="7" borderId="1" applyAlignment="1" pivotButton="0" quotePrefix="0" xfId="0">
      <alignment horizontal="center" vertical="center" wrapText="1"/>
    </xf>
    <xf numFmtId="166" fontId="22" fillId="7" borderId="1" applyAlignment="1" pivotButton="0" quotePrefix="0" xfId="0">
      <alignment horizontal="center" vertical="center" wrapText="1"/>
    </xf>
    <xf numFmtId="167" fontId="22" fillId="7" borderId="1" applyAlignment="1" pivotButton="0" quotePrefix="0" xfId="0">
      <alignment horizontal="center" vertical="center" wrapText="1"/>
    </xf>
    <xf numFmtId="165" fontId="22" fillId="7" borderId="1" applyAlignment="1" pivotButton="0" quotePrefix="0" xfId="0">
      <alignment horizontal="center" vertical="center" wrapText="1"/>
    </xf>
    <xf numFmtId="0" fontId="18" fillId="0" borderId="1" pivotButton="0" quotePrefix="0" xfId="0"/>
    <xf numFmtId="0" fontId="19" fillId="0" borderId="1" applyAlignment="1" pivotButton="0" quotePrefix="0" xfId="0">
      <alignment horizontal="center"/>
    </xf>
    <xf numFmtId="0" fontId="18" fillId="3" borderId="1" pivotButton="0" quotePrefix="0" xfId="0"/>
    <xf numFmtId="0" fontId="20" fillId="0" borderId="1" pivotButton="0" quotePrefix="0" xfId="0"/>
    <xf numFmtId="168" fontId="19" fillId="0" borderId="1" pivotButton="0" quotePrefix="0" xfId="0"/>
    <xf numFmtId="166" fontId="19" fillId="0" borderId="1" pivotButton="0" quotePrefix="0" xfId="0"/>
    <xf numFmtId="166" fontId="22" fillId="3" borderId="1" applyAlignment="1" pivotButton="0" quotePrefix="0" xfId="0">
      <alignment horizontal="center"/>
    </xf>
    <xf numFmtId="167" fontId="19" fillId="0" borderId="1" applyAlignment="1" pivotButton="0" quotePrefix="0" xfId="0">
      <alignment horizontal="center"/>
    </xf>
    <xf numFmtId="0" fontId="20" fillId="0" borderId="2" applyAlignment="1" pivotButton="0" quotePrefix="0" xfId="0">
      <alignment wrapText="1"/>
    </xf>
    <xf numFmtId="0" fontId="1" fillId="2" borderId="0" applyAlignment="1" pivotButton="0" quotePrefix="0" xfId="0">
      <alignment vertical="center"/>
    </xf>
    <xf numFmtId="0" fontId="18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0" fillId="2" borderId="0" applyAlignment="1" pivotButton="0" quotePrefix="0" xfId="0">
      <alignment vertical="center"/>
    </xf>
    <xf numFmtId="0" fontId="19" fillId="2" borderId="0" applyAlignment="1" pivotButton="0" quotePrefix="0" xfId="0">
      <alignment vertical="center"/>
    </xf>
    <xf numFmtId="164" fontId="20" fillId="2" borderId="0" applyAlignment="1" pivotButton="0" quotePrefix="0" xfId="0">
      <alignment vertical="center"/>
    </xf>
    <xf numFmtId="0" fontId="18" fillId="4" borderId="1" applyAlignment="1" pivotButton="0" quotePrefix="0" xfId="0">
      <alignment horizontal="centerContinuous" vertical="center"/>
    </xf>
    <xf numFmtId="0" fontId="8" fillId="4" borderId="1" applyAlignment="1" pivotButton="0" quotePrefix="0" xfId="0">
      <alignment horizontal="centerContinuous" vertical="center"/>
    </xf>
    <xf numFmtId="0" fontId="20" fillId="0" borderId="0" pivotButton="0" quotePrefix="0" xfId="0"/>
    <xf numFmtId="0" fontId="18" fillId="0" borderId="0" pivotButton="0" quotePrefix="0" xfId="0"/>
    <xf numFmtId="166" fontId="18" fillId="0" borderId="0" pivotButton="0" quotePrefix="0" xfId="0"/>
    <xf numFmtId="168" fontId="18" fillId="0" borderId="0" pivotButton="0" quotePrefix="0" xfId="0"/>
    <xf numFmtId="167" fontId="18" fillId="0" borderId="0" pivotButton="0" quotePrefix="0" xfId="0"/>
    <xf numFmtId="169" fontId="18" fillId="0" borderId="0" pivotButton="0" quotePrefix="0" xfId="0"/>
    <xf numFmtId="1" fontId="18" fillId="0" borderId="0" pivotButton="0" quotePrefix="0" xfId="0"/>
    <xf numFmtId="168" fontId="20" fillId="0" borderId="0" pivotButton="0" quotePrefix="0" xfId="0"/>
    <xf numFmtId="167" fontId="20" fillId="0" borderId="1" pivotButton="0" quotePrefix="0" xfId="0"/>
    <xf numFmtId="166" fontId="20" fillId="0" borderId="1" pivotButton="0" quotePrefix="0" xfId="0"/>
    <xf numFmtId="168" fontId="20" fillId="0" borderId="1" pivotButton="0" quotePrefix="0" xfId="0"/>
    <xf numFmtId="1" fontId="20" fillId="0" borderId="1" pivotButton="0" quotePrefix="0" xfId="0"/>
    <xf numFmtId="0" fontId="18" fillId="3" borderId="1" applyAlignment="1" pivotButton="0" quotePrefix="0" xfId="0">
      <alignment vertical="center"/>
    </xf>
    <xf numFmtId="164" fontId="18" fillId="3" borderId="1" applyAlignment="1" pivotButton="0" quotePrefix="0" xfId="0">
      <alignment horizontal="center" vertical="center"/>
    </xf>
    <xf numFmtId="0" fontId="18" fillId="3" borderId="1" applyAlignment="1" pivotButton="0" quotePrefix="0" xfId="0">
      <alignment horizontal="center" vertical="center"/>
    </xf>
    <xf numFmtId="0" fontId="18" fillId="3" borderId="0" applyAlignment="1" pivotButton="0" quotePrefix="0" xfId="0">
      <alignment horizontal="center"/>
    </xf>
    <xf numFmtId="0" fontId="18" fillId="0" borderId="0" applyAlignment="1" pivotButton="0" quotePrefix="0" xfId="0">
      <alignment horizontal="left"/>
    </xf>
    <xf numFmtId="0" fontId="20" fillId="0" borderId="0" applyAlignment="1" pivotButton="0" quotePrefix="0" xfId="0">
      <alignment horizontal="center"/>
    </xf>
    <xf numFmtId="167" fontId="19" fillId="0" borderId="1" pivotButton="0" quotePrefix="0" xfId="0"/>
    <xf numFmtId="0" fontId="19" fillId="0" borderId="0" pivotButton="0" quotePrefix="0" xfId="0"/>
    <xf numFmtId="167" fontId="19" fillId="0" borderId="0" pivotButton="0" quotePrefix="0" xfId="0"/>
    <xf numFmtId="1" fontId="19" fillId="0" borderId="1" pivotButton="0" quotePrefix="0" xfId="0"/>
    <xf numFmtId="0" fontId="0" fillId="0" borderId="1" pivotButton="0" quotePrefix="0" xfId="0"/>
    <xf numFmtId="168" fontId="18" fillId="0" borderId="1" pivotButton="0" quotePrefix="0" xfId="0"/>
    <xf numFmtId="0" fontId="19" fillId="0" borderId="1" pivotButton="0" quotePrefix="0" xfId="0"/>
    <xf numFmtId="165" fontId="19" fillId="0" borderId="1" pivotButton="0" quotePrefix="0" xfId="0"/>
    <xf numFmtId="0" fontId="21" fillId="0" borderId="2" applyAlignment="1" pivotButton="0" quotePrefix="0" xfId="0">
      <alignment wrapText="1"/>
    </xf>
    <xf numFmtId="167" fontId="19" fillId="0" borderId="2" pivotButton="0" quotePrefix="0" xfId="0"/>
    <xf numFmtId="167" fontId="18" fillId="3" borderId="1" applyAlignment="1" pivotButton="0" quotePrefix="0" xfId="0">
      <alignment horizontal="center"/>
    </xf>
    <xf numFmtId="166" fontId="18" fillId="3" borderId="1" applyAlignment="1" pivotButton="0" quotePrefix="0" xfId="0">
      <alignment horizontal="center"/>
    </xf>
    <xf numFmtId="164" fontId="18" fillId="3" borderId="1" pivotButton="0" quotePrefix="0" xfId="0"/>
    <xf numFmtId="170" fontId="19" fillId="0" borderId="1" pivotButton="0" quotePrefix="0" xfId="0"/>
    <xf numFmtId="0" fontId="20" fillId="0" borderId="1" applyAlignment="1" pivotButton="0" quotePrefix="0" xfId="0">
      <alignment horizontal="center"/>
    </xf>
    <xf numFmtId="164" fontId="12" fillId="0" borderId="2" pivotButton="0" quotePrefix="0" xfId="0"/>
    <xf numFmtId="164" fontId="8" fillId="5" borderId="1" applyAlignment="1" pivotButton="0" quotePrefix="0" xfId="0">
      <alignment horizontal="left" vertical="center"/>
    </xf>
    <xf numFmtId="165" fontId="18" fillId="7" borderId="1" applyAlignment="1" pivotButton="0" quotePrefix="0" xfId="0">
      <alignment horizontal="center" vertical="center" wrapText="1"/>
    </xf>
    <xf numFmtId="0" fontId="23" fillId="8" borderId="3" applyAlignment="1" pivotButton="0" quotePrefix="0" xfId="0">
      <alignment horizontal="left" vertical="center"/>
    </xf>
    <xf numFmtId="3" fontId="24" fillId="0" borderId="3" applyAlignment="1" pivotButton="0" quotePrefix="0" xfId="0">
      <alignment horizontal="right" vertical="center"/>
    </xf>
    <xf numFmtId="171" fontId="24" fillId="0" borderId="3" applyAlignment="1" pivotButton="0" quotePrefix="0" xfId="0">
      <alignment horizontal="right" vertical="center"/>
    </xf>
    <xf numFmtId="171" fontId="24" fillId="7" borderId="3" applyAlignment="1" pivotButton="0" quotePrefix="0" xfId="0">
      <alignment horizontal="right" vertical="center"/>
    </xf>
    <xf numFmtId="167" fontId="24" fillId="7" borderId="3" applyAlignment="1" pivotButton="0" quotePrefix="0" xfId="0">
      <alignment horizontal="right" vertical="center"/>
    </xf>
    <xf numFmtId="167" fontId="22" fillId="7" borderId="1" applyAlignment="1" pivotButton="0" quotePrefix="0" xfId="0">
      <alignment horizontal="center" vertical="center" wrapText="1"/>
    </xf>
    <xf numFmtId="2" fontId="24" fillId="0" borderId="3" applyAlignment="1" pivotButton="0" quotePrefix="0" xfId="0">
      <alignment horizontal="right" vertical="center"/>
    </xf>
    <xf numFmtId="3" fontId="24" fillId="7" borderId="3" applyAlignment="1" pivotButton="0" quotePrefix="0" xfId="0">
      <alignment horizontal="right" vertical="center"/>
    </xf>
    <xf numFmtId="49" fontId="24" fillId="0" borderId="3" applyAlignment="1" pivotButton="0" quotePrefix="0" xfId="0">
      <alignment horizontal="right" vertical="center"/>
    </xf>
    <xf numFmtId="165" fontId="22" fillId="7" borderId="1" applyAlignment="1" pivotButton="0" quotePrefix="0" xfId="0">
      <alignment horizontal="center" vertical="center" wrapText="1"/>
    </xf>
    <xf numFmtId="168" fontId="19" fillId="0" borderId="1" pivotButton="0" quotePrefix="0" xfId="0"/>
    <xf numFmtId="167" fontId="19" fillId="0" borderId="1" applyAlignment="1" pivotButton="0" quotePrefix="0" xfId="0">
      <alignment horizontal="center"/>
    </xf>
    <xf numFmtId="164" fontId="20" fillId="2" borderId="0" applyAlignment="1" pivotButton="0" quotePrefix="0" xfId="0">
      <alignment vertical="center"/>
    </xf>
    <xf numFmtId="168" fontId="18" fillId="0" borderId="0" pivotButton="0" quotePrefix="0" xfId="0"/>
    <xf numFmtId="167" fontId="18" fillId="0" borderId="0" pivotButton="0" quotePrefix="0" xfId="0"/>
    <xf numFmtId="168" fontId="20" fillId="0" borderId="0" pivotButton="0" quotePrefix="0" xfId="0"/>
    <xf numFmtId="167" fontId="20" fillId="0" borderId="1" pivotButton="0" quotePrefix="0" xfId="0"/>
    <xf numFmtId="168" fontId="20" fillId="0" borderId="1" pivotButton="0" quotePrefix="0" xfId="0"/>
    <xf numFmtId="164" fontId="18" fillId="3" borderId="1" applyAlignment="1" pivotButton="0" quotePrefix="0" xfId="0">
      <alignment horizontal="center" vertical="center"/>
    </xf>
    <xf numFmtId="167" fontId="19" fillId="0" borderId="1" pivotButton="0" quotePrefix="0" xfId="0"/>
    <xf numFmtId="167" fontId="19" fillId="0" borderId="0" pivotButton="0" quotePrefix="0" xfId="0"/>
    <xf numFmtId="168" fontId="18" fillId="0" borderId="1" pivotButton="0" quotePrefix="0" xfId="0"/>
    <xf numFmtId="165" fontId="19" fillId="0" borderId="1" pivotButton="0" quotePrefix="0" xfId="0"/>
    <xf numFmtId="167" fontId="19" fillId="0" borderId="2" pivotButton="0" quotePrefix="0" xfId="0"/>
    <xf numFmtId="167" fontId="18" fillId="3" borderId="1" applyAlignment="1" pivotButton="0" quotePrefix="0" xfId="0">
      <alignment horizontal="center"/>
    </xf>
    <xf numFmtId="3" fontId="12" fillId="0" borderId="2" pivotButton="0" quotePrefix="0" xfId="0"/>
    <xf numFmtId="171" fontId="12" fillId="0" borderId="2" pivotButton="0" quotePrefix="0" xfId="0"/>
    <xf numFmtId="3" fontId="18" fillId="3" borderId="1" applyAlignment="1" pivotButton="0" quotePrefix="0" xfId="0">
      <alignment horizontal="center"/>
    </xf>
    <xf numFmtId="3" fontId="8" fillId="5" borderId="1" applyAlignment="1" pivotButton="0" quotePrefix="0" xfId="0">
      <alignment horizontal="left" vertical="center"/>
    </xf>
    <xf numFmtId="167" fontId="12" fillId="0" borderId="2" pivotButton="0" quotePrefix="0" xfId="0"/>
    <xf numFmtId="3" fontId="19" fillId="0" borderId="2" pivotButton="0" quotePrefix="0" xfId="0"/>
    <xf numFmtId="167" fontId="18" fillId="3" borderId="1" pivotButton="0" quotePrefix="0" xfId="0"/>
    <xf numFmtId="164" fontId="18" fillId="3" borderId="1" pivotButton="0" quotePrefix="0" xfId="0"/>
    <xf numFmtId="170" fontId="19" fillId="0" borderId="1" pivotButton="0" quotePrefix="0" xfId="0"/>
    <xf numFmtId="0" fontId="26" fillId="5" borderId="3" applyAlignment="1" pivotButton="0" quotePrefix="0" xfId="0">
      <alignment horizontal="left" vertical="center" wrapText="1"/>
    </xf>
    <xf numFmtId="0" fontId="31" fillId="0" borderId="3" applyAlignment="1" pivotButton="0" quotePrefix="0" xfId="0">
      <alignment horizontal="center" vertical="center" wrapText="1"/>
    </xf>
    <xf numFmtId="0" fontId="32" fillId="0" borderId="3" applyAlignment="1" pivotButton="0" quotePrefix="0" xfId="0">
      <alignment vertical="top" wrapText="1"/>
    </xf>
    <xf numFmtId="0" fontId="33" fillId="0" borderId="3" applyAlignment="1" pivotButton="0" quotePrefix="0" xfId="0">
      <alignment horizontal="center" vertical="center" wrapText="1"/>
    </xf>
    <xf numFmtId="0" fontId="31" fillId="6" borderId="3" applyAlignment="1" pivotButton="0" quotePrefix="0" xfId="0">
      <alignment horizontal="center" vertical="center" wrapText="1"/>
    </xf>
    <xf numFmtId="167" fontId="32" fillId="7" borderId="3" applyAlignment="1" pivotButton="0" quotePrefix="0" xfId="0">
      <alignment vertical="top" wrapText="1"/>
    </xf>
    <xf numFmtId="0" fontId="32" fillId="7" borderId="3" applyAlignment="1" pivotButton="0" quotePrefix="0" xfId="0">
      <alignment vertical="top" wrapText="1"/>
    </xf>
    <xf numFmtId="0" fontId="1" fillId="0" borderId="3" applyAlignment="1" pivotButton="0" quotePrefix="0" xfId="0">
      <alignment horizontal="left" vertical="center" wrapText="1"/>
    </xf>
    <xf numFmtId="0" fontId="9" fillId="10" borderId="3" applyAlignment="1" pivotButton="0" quotePrefix="0" xfId="0">
      <alignment horizontal="center" vertical="center" wrapText="1"/>
    </xf>
    <xf numFmtId="0" fontId="17" fillId="0" borderId="3" pivotButton="0" quotePrefix="0" xfId="0"/>
    <xf numFmtId="170" fontId="17" fillId="0" borderId="3" pivotButton="0" quotePrefix="0" xfId="0"/>
    <xf numFmtId="0" fontId="17" fillId="9" borderId="3" applyAlignment="1" pivotButton="0" quotePrefix="0" xfId="0">
      <alignment horizontal="left" vertical="center" wrapText="1"/>
    </xf>
    <xf numFmtId="0" fontId="25" fillId="9" borderId="3" applyAlignment="1" pivotButton="0" quotePrefix="0" xfId="0">
      <alignment horizontal="center" vertical="center" wrapText="1"/>
    </xf>
    <xf numFmtId="0" fontId="27" fillId="0" borderId="0" applyAlignment="1" pivotButton="0" quotePrefix="0" xfId="0">
      <alignment vertical="top" wrapText="1"/>
    </xf>
    <xf numFmtId="0" fontId="17" fillId="9" borderId="3" applyAlignment="1" pivotButton="0" quotePrefix="0" xfId="0">
      <alignment horizontal="center" vertical="center" wrapText="1"/>
    </xf>
    <xf numFmtId="0" fontId="27" fillId="0" borderId="3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top" wrapText="1"/>
    </xf>
    <xf numFmtId="0" fontId="27" fillId="0" borderId="3" applyAlignment="1" pivotButton="0" quotePrefix="0" xfId="0">
      <alignment vertical="top" wrapText="1"/>
    </xf>
    <xf numFmtId="0" fontId="17" fillId="0" borderId="3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left" vertical="center" wrapText="1"/>
    </xf>
    <xf numFmtId="0" fontId="29" fillId="0" borderId="3" applyAlignment="1" pivotButton="0" quotePrefix="0" xfId="0">
      <alignment vertical="top" wrapText="1"/>
    </xf>
    <xf numFmtId="167" fontId="27" fillId="0" borderId="3" applyAlignment="1" pivotButton="0" quotePrefix="0" xfId="0">
      <alignment vertical="top" wrapText="1"/>
    </xf>
    <xf numFmtId="171" fontId="27" fillId="0" borderId="3" applyAlignment="1" pivotButton="0" quotePrefix="0" xfId="0">
      <alignment vertical="top" wrapText="1"/>
    </xf>
    <xf numFmtId="0" fontId="17" fillId="0" borderId="3" applyAlignment="1" pivotButton="0" quotePrefix="0" xfId="0">
      <alignment vertical="top" wrapText="1"/>
    </xf>
    <xf numFmtId="167" fontId="9" fillId="10" borderId="3" applyAlignment="1" pivotButton="0" quotePrefix="0" xfId="0">
      <alignment horizontal="center" vertical="center" wrapText="1"/>
    </xf>
    <xf numFmtId="167" fontId="27" fillId="0" borderId="3" applyAlignment="1" pivotButton="0" quotePrefix="0" xfId="0">
      <alignment horizontal="center" vertical="center" wrapText="1"/>
    </xf>
    <xf numFmtId="2" fontId="9" fillId="10" borderId="3" applyAlignment="1" pivotButton="0" quotePrefix="0" xfId="0">
      <alignment horizontal="center" vertical="center" wrapText="1"/>
    </xf>
    <xf numFmtId="2" fontId="27" fillId="0" borderId="3" applyAlignment="1" pivotButton="0" quotePrefix="0" xfId="0">
      <alignment horizontal="center" vertical="center" wrapText="1"/>
    </xf>
    <xf numFmtId="171" fontId="9" fillId="10" borderId="3" applyAlignment="1" pivotButton="0" quotePrefix="0" xfId="0">
      <alignment horizontal="center" vertical="center" wrapText="1"/>
    </xf>
    <xf numFmtId="171" fontId="27" fillId="0" borderId="3" applyAlignment="1" pivotButton="0" quotePrefix="0" xfId="0">
      <alignment horizontal="center" vertical="center" wrapText="1"/>
    </xf>
    <xf numFmtId="3" fontId="9" fillId="10" borderId="3" applyAlignment="1" pivotButton="0" quotePrefix="0" xfId="0">
      <alignment horizontal="center" vertical="center" wrapText="1"/>
    </xf>
    <xf numFmtId="3" fontId="27" fillId="0" borderId="3" applyAlignment="1" pivotButton="0" quotePrefix="0" xfId="0">
      <alignment horizontal="center" vertical="center" wrapText="1"/>
    </xf>
    <xf numFmtId="0" fontId="17" fillId="0" borderId="0" applyAlignment="1" pivotButton="0" quotePrefix="0" xfId="0">
      <alignment vertical="top" wrapText="1"/>
    </xf>
    <xf numFmtId="0" fontId="17" fillId="0" borderId="3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167" fontId="30" fillId="0" borderId="3" applyAlignment="1" pivotButton="0" quotePrefix="0" xfId="0">
      <alignment horizontal="center" vertical="center" wrapText="1"/>
    </xf>
    <xf numFmtId="167" fontId="1" fillId="0" borderId="3" applyAlignment="1" pivotButton="0" quotePrefix="0" xfId="0">
      <alignment horizontal="center" vertical="center" wrapText="1"/>
    </xf>
    <xf numFmtId="2" fontId="30" fillId="0" borderId="3" applyAlignment="1" pivotButton="0" quotePrefix="0" xfId="0">
      <alignment horizontal="center" vertical="center" wrapText="1"/>
    </xf>
    <xf numFmtId="2" fontId="1" fillId="0" borderId="3" applyAlignment="1" pivotButton="0" quotePrefix="0" xfId="0">
      <alignment horizontal="center" vertical="center" wrapText="1"/>
    </xf>
    <xf numFmtId="171" fontId="30" fillId="0" borderId="3" applyAlignment="1" pivotButton="0" quotePrefix="0" xfId="0">
      <alignment horizontal="center" vertical="center" wrapText="1"/>
    </xf>
    <xf numFmtId="171" fontId="1" fillId="0" borderId="3" applyAlignment="1" pivotButton="0" quotePrefix="0" xfId="0">
      <alignment horizontal="center" vertical="center" wrapText="1"/>
    </xf>
    <xf numFmtId="3" fontId="30" fillId="0" borderId="3" applyAlignment="1" pivotButton="0" quotePrefix="0" xfId="0">
      <alignment horizontal="center" vertical="center" wrapText="1"/>
    </xf>
    <xf numFmtId="3" fontId="1" fillId="0" borderId="3" applyAlignment="1" pivotButton="0" quotePrefix="0" xfId="0">
      <alignment horizontal="center" vertical="center" wrapText="1"/>
    </xf>
    <xf numFmtId="49" fontId="9" fillId="10" borderId="3" applyAlignment="1" pivotButton="0" quotePrefix="0" xfId="0">
      <alignment horizontal="center" vertical="center" wrapText="1"/>
    </xf>
    <xf numFmtId="49" fontId="30" fillId="0" borderId="3" applyAlignment="1" pivotButton="0" quotePrefix="0" xfId="0">
      <alignment horizontal="center" vertical="center" wrapText="1"/>
    </xf>
    <xf numFmtId="0" fontId="1" fillId="0" borderId="0" pivotButton="0" quotePrefix="0" xfId="0"/>
    <xf numFmtId="167" fontId="9" fillId="10" borderId="3" pivotButton="0" quotePrefix="0" xfId="0"/>
    <xf numFmtId="0" fontId="9" fillId="10" borderId="3" pivotButton="0" quotePrefix="0" xfId="0"/>
    <xf numFmtId="0" fontId="10" fillId="10" borderId="3" applyAlignment="1" pivotButton="0" quotePrefix="0" xfId="0">
      <alignment vertical="top" wrapText="1"/>
    </xf>
    <xf numFmtId="3" fontId="27" fillId="0" borderId="3" applyAlignment="1" pivotButton="0" quotePrefix="0" xfId="0">
      <alignment vertical="top" wrapText="1"/>
    </xf>
    <xf numFmtId="1" fontId="9" fillId="10" borderId="3" applyAlignment="1" pivotButton="0" quotePrefix="0" xfId="0">
      <alignment horizontal="center" vertical="center" wrapText="1"/>
    </xf>
    <xf numFmtId="168" fontId="27" fillId="0" borderId="3" applyAlignment="1" pivotButton="0" quotePrefix="0" xfId="0">
      <alignment vertical="top" wrapText="1"/>
    </xf>
    <xf numFmtId="0" fontId="1" fillId="0" borderId="3" applyAlignment="1" pivotButton="0" quotePrefix="0" xfId="0">
      <alignment vertical="top" wrapText="1"/>
    </xf>
    <xf numFmtId="0" fontId="26" fillId="5" borderId="3" applyAlignment="1" pivotButton="0" quotePrefix="0" xfId="0">
      <alignment horizontal="center" vertical="center"/>
    </xf>
    <xf numFmtId="0" fontId="27" fillId="2" borderId="3" applyAlignment="1" pivotButton="0" quotePrefix="0" xfId="0">
      <alignment horizontal="center" vertical="center" wrapText="1"/>
    </xf>
    <xf numFmtId="0" fontId="27" fillId="2" borderId="3" applyAlignment="1" pivotButton="0" quotePrefix="0" xfId="0">
      <alignment vertical="top" wrapText="1"/>
    </xf>
    <xf numFmtId="164" fontId="27" fillId="2" borderId="3" applyAlignment="1" pivotButton="0" quotePrefix="0" xfId="0">
      <alignment horizontal="center" vertical="center" wrapText="1"/>
    </xf>
    <xf numFmtId="49" fontId="17" fillId="9" borderId="3" applyAlignment="1" pivotButton="0" quotePrefix="0" xfId="0">
      <alignment horizontal="center" vertical="center" wrapText="1"/>
    </xf>
    <xf numFmtId="49" fontId="29" fillId="0" borderId="3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Debt paydown and net leverage</a:t>
            </a:r>
          </a:p>
        </rich>
      </tx>
    </title>
    <plotArea>
      <lineChart>
        <grouping val="standard"/>
        <ser>
          <idx val="0"/>
          <order val="0"/>
          <tx>
            <strRef>
              <f>'00_DASHBOARD'!C28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'00_DASHBOARD'!$B$29:$B$35</f>
            </numRef>
          </cat>
          <val>
            <numRef>
              <f>'00_DASHBOARD'!$C$29:$C$35</f>
            </numRef>
          </val>
        </ser>
        <ser>
          <idx val="1"/>
          <order val="1"/>
          <tx>
            <strRef>
              <f>'00_DASHBOARD'!D28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'00_DASHBOARD'!$B$29:$B$35</f>
            </numRef>
          </cat>
          <val>
            <numRef>
              <f>'00_DASHBOARD'!$D$29:$D$35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Debt (DKKm) / Leverage (x)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27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0"/>
  <sheetViews>
    <sheetView showGridLines="0" workbookViewId="0">
      <pane ySplit="9" topLeftCell="A10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18" customWidth="1" min="3" max="3"/>
    <col width="2" customWidth="1" min="4" max="4"/>
    <col width="30" customWidth="1" min="5" max="5"/>
    <col width="18" customWidth="1" min="6" max="6"/>
    <col width="2" customWidth="1" min="7" max="7"/>
    <col width="22" customWidth="1" min="8" max="8"/>
    <col width="38" customWidth="1" min="9" max="9"/>
    <col width="10" customWidth="1" min="10" max="10"/>
    <col width="16" customWidth="1" min="11" max="11"/>
    <col width="16" customWidth="1" min="12" max="12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16" customHeight="1">
      <c r="A2" s="1" t="n"/>
      <c r="B2" s="2" t="inlineStr">
        <is>
          <t>CHECKS:</t>
        </is>
      </c>
      <c r="C2" s="3">
        <f>HYPERLINK("#'90_CHECKS'!B6",'90_CHECKS'!$C$22)</f>
        <v/>
      </c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 ht="15" customHeight="1">
      <c r="A3" s="1" t="n"/>
      <c r="B3" s="4" t="inlineStr">
        <is>
          <t>LBO Dashboard (Sponsor IC)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</row>
    <row r="4" ht="15" customHeight="1">
      <c r="A4" s="1" t="n"/>
      <c r="B4" s="5" t="inlineStr">
        <is>
          <t>CatalystOne (Sweden) | HR platform | Training case | Reporting currency: DKK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</row>
    <row r="5" ht="15" customHeight="1">
      <c r="A5" s="1" t="n"/>
      <c r="B5" s="6" t="inlineStr">
        <is>
          <t>Key outputs update automatically from 01_CONTROL toggles.</t>
        </is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</row>
    <row r="6" ht="15" customHeight="1">
      <c r="A6" s="1" t="n"/>
      <c r="B6" s="1" t="n"/>
      <c r="C6" s="67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</row>
    <row r="7" ht="18" customHeight="1">
      <c r="A7" s="1" t="n"/>
      <c r="B7" s="8" t="inlineStr">
        <is>
          <t>Key deal outputs</t>
        </is>
      </c>
      <c r="C7" s="9" t="n"/>
      <c r="D7" s="9" t="n"/>
      <c r="E7" s="68" t="n"/>
      <c r="F7" s="68" t="n"/>
      <c r="G7" s="68" t="n"/>
      <c r="H7" s="68" t="n"/>
      <c r="I7" s="68" t="n"/>
      <c r="J7" s="68" t="n"/>
      <c r="K7" s="68" t="n"/>
      <c r="L7" s="68" t="n"/>
      <c r="M7" s="1" t="n"/>
      <c r="N7" s="1" t="n"/>
      <c r="O7" s="1" t="n"/>
      <c r="P7" s="1" t="n"/>
      <c r="Q7" s="1" t="n"/>
      <c r="R7" s="1" t="n"/>
      <c r="S7" s="1" t="n"/>
      <c r="T7" s="1" t="n"/>
    </row>
    <row r="8" ht="15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</row>
    <row r="9" ht="22" customHeight="1">
      <c r="A9" s="1" t="n"/>
      <c r="B9" s="11" t="inlineStr">
        <is>
          <t>Entry EV (DKKm)</t>
        </is>
      </c>
      <c r="C9" s="12">
        <f>'05_SOURCES_AND_USES'!$D$33</f>
        <v/>
      </c>
      <c r="D9" s="1" t="n"/>
      <c r="E9" s="11" t="inlineStr">
        <is>
          <t>Entry multiple (x)</t>
        </is>
      </c>
      <c r="F9" s="69">
        <f>Entry_Multiple</f>
        <v/>
      </c>
      <c r="G9" s="1" t="n"/>
      <c r="H9" s="11" t="inlineStr">
        <is>
          <t>Leverage (Net debt / EBITDA, x)</t>
        </is>
      </c>
      <c r="I9" s="14">
        <f>'10_COVENANTS_AND_CREDIT_METRICS'!$D$34</f>
        <v/>
      </c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</row>
    <row r="10" ht="18" customHeight="1">
      <c r="A10" s="1" t="n"/>
      <c r="B10" s="1" t="n"/>
      <c r="C10" s="1" t="n"/>
      <c r="D10" s="1" t="n"/>
      <c r="E10" s="1" t="n"/>
      <c r="F10" s="1" t="n"/>
      <c r="G10" s="1" t="n"/>
      <c r="H10" s="104" t="inlineStr">
        <is>
          <t>Learning cues (click)</t>
        </is>
      </c>
      <c r="I10" s="104" t="n"/>
      <c r="J10" s="104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</row>
    <row r="11" ht="22" customHeight="1">
      <c r="A11" s="1" t="n"/>
      <c r="B11" s="70" t="inlineStr">
        <is>
          <t>ENTRY EV (DKKm)</t>
        </is>
      </c>
      <c r="C11" s="71">
        <f>'05_SOURCES_AND_USES'!$D$16</f>
        <v/>
      </c>
      <c r="D11" s="1" t="n"/>
      <c r="E11" s="70" t="inlineStr">
        <is>
          <t>EXIT MULTIPLE (x)</t>
        </is>
      </c>
      <c r="F11" s="72">
        <f>Exit_Multiple</f>
        <v/>
      </c>
      <c r="G11" s="1" t="n"/>
      <c r="H11" s="105" t="inlineStr">
        <is>
          <t>ENTRY EV</t>
        </is>
      </c>
      <c r="I11" s="106" t="inlineStr">
        <is>
          <t>Valuation starting point, drives equity check.</t>
        </is>
      </c>
      <c r="J11" s="107">
        <f>HYPERLINK("#'82_LBO_LEARN_INTERPRETATION'!B11","Learn")</f>
        <v/>
      </c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</row>
    <row r="12" ht="22" customHeight="1">
      <c r="A12" s="1" t="n"/>
      <c r="B12" s="70" t="inlineStr">
        <is>
          <t>ENTRY MULTIPLE (x)</t>
        </is>
      </c>
      <c r="C12" s="73">
        <f>Entry_Multiple</f>
        <v/>
      </c>
      <c r="D12" s="1" t="n"/>
      <c r="E12" s="70" t="inlineStr">
        <is>
          <t>SPONSOR IRR</t>
        </is>
      </c>
      <c r="F12" s="74">
        <f>'09_RETURNS'!$D$20</f>
        <v/>
      </c>
      <c r="G12" s="1" t="n"/>
      <c r="H12" s="108" t="inlineStr">
        <is>
          <t>ENTRY MULTIPLE</t>
        </is>
      </c>
      <c r="I12" s="109" t="inlineStr">
        <is>
          <t>Paying up needs a clear thesis or leverage/FCF.</t>
        </is>
      </c>
      <c r="J12" s="107">
        <f>HYPERLINK("#'82_LBO_LEARN_INTERPRETATION'!B12","Learn")</f>
        <v/>
      </c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</row>
    <row r="13" ht="22" customHeight="1">
      <c r="A13" s="1" t="n"/>
      <c r="B13" s="70" t="inlineStr">
        <is>
          <t>TOTAL DEBT (DKKm)</t>
        </is>
      </c>
      <c r="C13" s="71">
        <f>'05_SOURCES_AND_USES'!$D$37</f>
        <v/>
      </c>
      <c r="D13" s="1" t="n"/>
      <c r="E13" s="70" t="inlineStr">
        <is>
          <t>SPONSOR MOIC</t>
        </is>
      </c>
      <c r="F13" s="76">
        <f>'09_RETURNS'!$D$21</f>
        <v/>
      </c>
      <c r="G13" s="1" t="n"/>
      <c r="H13" s="105" t="inlineStr">
        <is>
          <t>TOTAL DEBT</t>
        </is>
      </c>
      <c r="I13" s="106" t="inlineStr">
        <is>
          <t>Leverage boosts IRR but tightens covenants.</t>
        </is>
      </c>
      <c r="J13" s="107">
        <f>HYPERLINK("#'82_LBO_LEARN_INTERPRETATION'!B13","Learn")</f>
        <v/>
      </c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</row>
    <row r="14" ht="22" customHeight="1">
      <c r="A14" s="1" t="n"/>
      <c r="B14" s="70" t="inlineStr">
        <is>
          <t>TOTAL EQUITY (DKKm)</t>
        </is>
      </c>
      <c r="C14" s="71">
        <f>'05_SOURCES_AND_USES'!$D$40</f>
        <v/>
      </c>
      <c r="D14" s="1" t="n"/>
      <c r="E14" s="70" t="inlineStr">
        <is>
          <t>PEAK NET LEVERAGE (x)</t>
        </is>
      </c>
      <c r="F14" s="72">
        <f>'10_COVENANTS_AND_CREDIT_METRICS'!$D$34</f>
        <v/>
      </c>
      <c r="G14" s="1" t="n"/>
      <c r="H14" s="105" t="inlineStr">
        <is>
          <t>TOTAL EQUITY</t>
        </is>
      </c>
      <c r="I14" s="106" t="inlineStr">
        <is>
          <t>Equity check is denominator for returns.</t>
        </is>
      </c>
      <c r="J14" s="107">
        <f>HYPERLINK("#'82_LBO_LEARN_INTERPRETATION'!B14","Learn")</f>
        <v/>
      </c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</row>
    <row r="15" ht="22" customHeight="1">
      <c r="A15" s="1" t="n"/>
      <c r="B15" s="70" t="inlineStr">
        <is>
          <t>ENTRY LEVERAGE (x)</t>
        </is>
      </c>
      <c r="C15" s="73">
        <f>'05_SOURCES_AND_USES'!$D$37/'05_SOURCES_AND_USES'!$D$14</f>
        <v/>
      </c>
      <c r="D15" s="1" t="n"/>
      <c r="E15" s="70" t="inlineStr">
        <is>
          <t>MIN LIQUIDITY (DKKm)</t>
        </is>
      </c>
      <c r="F15" s="77">
        <f>'10_COVENANTS_AND_CREDIT_METRICS'!$D$35</f>
        <v/>
      </c>
      <c r="G15" s="1" t="n"/>
      <c r="H15" s="108" t="inlineStr">
        <is>
          <t>ENTRY LEVERAGE</t>
        </is>
      </c>
      <c r="I15" s="110" t="inlineStr">
        <is>
          <t>Risk-return; watch peak leverage and liquidity.</t>
        </is>
      </c>
      <c r="J15" s="107">
        <f>HYPERLINK("#'82_LBO_LEARN_INTERPRETATION'!B15","Learn")</f>
        <v/>
      </c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</row>
    <row r="16" ht="22" customHeight="1">
      <c r="A16" s="1" t="n"/>
      <c r="B16" s="1" t="n"/>
      <c r="C16" s="1" t="n"/>
      <c r="D16" s="1" t="n"/>
      <c r="E16" s="70" t="inlineStr">
        <is>
          <t>MIN COVENANT HEADROOM (x)</t>
        </is>
      </c>
      <c r="F16" s="72">
        <f>'10_COVENANTS_AND_CREDIT_METRICS'!$D$36</f>
        <v/>
      </c>
      <c r="G16" s="1" t="n"/>
      <c r="H16" s="105" t="inlineStr">
        <is>
          <t>EXIT MULTIPLE</t>
        </is>
      </c>
      <c r="I16" s="106" t="inlineStr">
        <is>
          <t>Largest driver, defend range and stress downside.</t>
        </is>
      </c>
      <c r="J16" s="107">
        <f>HYPERLINK("#'82_LBO_LEARN_INTERPRETATION'!B16","Learn")</f>
        <v/>
      </c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</row>
    <row r="17" ht="22" customHeight="1">
      <c r="A17" s="1" t="n"/>
      <c r="B17" s="1" t="n"/>
      <c r="C17" s="1" t="n"/>
      <c r="D17" s="1" t="n"/>
      <c r="E17" s="70" t="inlineStr">
        <is>
          <t>CHECKS STATUS</t>
        </is>
      </c>
      <c r="F17" s="78">
        <f>'90_CHECKS'!$C$2</f>
        <v/>
      </c>
      <c r="G17" s="1" t="n"/>
      <c r="H17" s="105" t="inlineStr">
        <is>
          <t>SPONSOR IRR</t>
        </is>
      </c>
      <c r="I17" s="106" t="inlineStr">
        <is>
          <t>Timing-sensitive headline, reconcile to MOIC.</t>
        </is>
      </c>
      <c r="J17" s="107">
        <f>HYPERLINK("#'82_LBO_LEARN_INTERPRETATION'!B17","Learn")</f>
        <v/>
      </c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</row>
    <row r="18" ht="22" customHeight="1">
      <c r="A18" s="1" t="n"/>
      <c r="B18" s="11" t="inlineStr">
        <is>
          <t>Min covenant headroom (x)</t>
        </is>
      </c>
      <c r="C18" s="79">
        <f>'10_COVENANTS_AND_CREDIT_METRICS'!$D$36</f>
        <v/>
      </c>
      <c r="D18" s="1" t="n"/>
      <c r="E18" s="1" t="n"/>
      <c r="F18" s="1" t="n"/>
      <c r="G18" s="1" t="n"/>
      <c r="H18" s="105" t="inlineStr">
        <is>
          <t>SPONSOR MOIC</t>
        </is>
      </c>
      <c r="I18" s="106" t="inlineStr">
        <is>
          <t>Value creation multiple, pair with hold period.</t>
        </is>
      </c>
      <c r="J18" s="107">
        <f>HYPERLINK("#'82_LBO_LEARN_INTERPRETATION'!B18","Learn")</f>
        <v/>
      </c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</row>
    <row r="19" ht="22" customHeight="1">
      <c r="A19" s="1" t="n"/>
      <c r="B19" s="1" t="n"/>
      <c r="C19" s="1" t="n"/>
      <c r="D19" s="1" t="n"/>
      <c r="E19" s="1" t="n"/>
      <c r="F19" s="1" t="n"/>
      <c r="G19" s="1" t="n"/>
      <c r="H19" s="105" t="inlineStr">
        <is>
          <t>PEAK NET LEVERAGE</t>
        </is>
      </c>
      <c r="I19" s="106" t="inlineStr">
        <is>
          <t>Stress point for credit risk and flexibility.</t>
        </is>
      </c>
      <c r="J19" s="107">
        <f>HYPERLINK("#'82_LBO_LEARN_INTERPRETATION'!B19","Learn")</f>
        <v/>
      </c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</row>
    <row r="20" ht="22" customHeight="1">
      <c r="A20" s="1" t="n"/>
      <c r="B20" s="1" t="n"/>
      <c r="C20" s="1" t="n"/>
      <c r="D20" s="1" t="n"/>
      <c r="E20" s="1" t="n"/>
      <c r="F20" s="1" t="n"/>
      <c r="G20" s="1" t="n"/>
      <c r="H20" s="105" t="inlineStr">
        <is>
          <t>MIN LIQUIDITY</t>
        </is>
      </c>
      <c r="I20" s="106" t="inlineStr">
        <is>
          <t>First line of defense, watch revolver usage.</t>
        </is>
      </c>
      <c r="J20" s="107">
        <f>HYPERLINK("#'82_LBO_LEARN_INTERPRETATION'!B20","Learn")</f>
        <v/>
      </c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</row>
    <row r="21" ht="22" customHeight="1">
      <c r="A21" s="1" t="n"/>
      <c r="B21" s="1" t="n"/>
      <c r="C21" s="1" t="n"/>
      <c r="D21" s="1" t="n"/>
      <c r="E21" s="1" t="n"/>
      <c r="F21" s="1" t="n"/>
      <c r="G21" s="1" t="n"/>
      <c r="H21" s="105" t="inlineStr">
        <is>
          <t>MIN COV HEADROOM</t>
        </is>
      </c>
      <c r="I21" s="106" t="inlineStr">
        <is>
          <t>Breach risk, identify what breaks first.</t>
        </is>
      </c>
      <c r="J21" s="107">
        <f>HYPERLINK("#'82_LBO_LEARN_INTERPRETATION'!B21","Learn")</f>
        <v/>
      </c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</row>
    <row r="22" ht="22" customHeight="1">
      <c r="A22" s="1" t="n"/>
      <c r="B22" s="8" t="inlineStr">
        <is>
          <t>Checks status</t>
        </is>
      </c>
      <c r="C22" s="9" t="n"/>
      <c r="D22" s="9" t="n"/>
      <c r="E22" s="9" t="n"/>
      <c r="F22" s="9" t="n"/>
      <c r="G22" s="1" t="n"/>
      <c r="H22" s="105" t="inlineStr">
        <is>
          <t>CHECKS STATUS</t>
        </is>
      </c>
      <c r="I22" s="106" t="inlineStr">
        <is>
          <t>Must be PASS before interpreting outputs.</t>
        </is>
      </c>
      <c r="J22" s="107">
        <f>HYPERLINK("#'82_LBO_LEARN_INTERPRETATION'!B22","Learn")</f>
        <v/>
      </c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</row>
    <row r="23" ht="15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</row>
    <row r="24" ht="15" customHeight="1">
      <c r="A24" s="1" t="n"/>
      <c r="B24" s="17" t="inlineStr">
        <is>
          <t>Overall</t>
        </is>
      </c>
      <c r="C24" s="18">
        <f>'90_CHECKS'!$C$22</f>
        <v/>
      </c>
      <c r="D24" s="5" t="inlineStr">
        <is>
          <t>See 90_Checks for details</t>
        </is>
      </c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</row>
    <row r="25" ht="15" customHeight="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</row>
    <row r="26" ht="18" customHeight="1">
      <c r="A26" s="1" t="n"/>
      <c r="B26" s="8" t="inlineStr">
        <is>
          <t>Charts</t>
        </is>
      </c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1" t="n"/>
      <c r="N26" s="1" t="n"/>
      <c r="O26" s="1" t="n"/>
      <c r="P26" s="1" t="n"/>
      <c r="Q26" s="1" t="n"/>
      <c r="R26" s="1" t="n"/>
      <c r="S26" s="1" t="n"/>
      <c r="T26" s="1" t="n"/>
    </row>
    <row r="27" ht="15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</row>
    <row r="28" ht="15" customHeight="1">
      <c r="A28" s="1" t="n"/>
      <c r="B28" s="19" t="inlineStr">
        <is>
          <t>Year</t>
        </is>
      </c>
      <c r="C28" s="19" t="inlineStr">
        <is>
          <t>Total debt</t>
        </is>
      </c>
      <c r="D28" s="19" t="inlineStr">
        <is>
          <t>Net leverage</t>
        </is>
      </c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</row>
    <row r="29" ht="15" customHeight="1">
      <c r="A29" s="1" t="n"/>
      <c r="B29" s="20" t="n">
        <v>1</v>
      </c>
      <c r="C29" s="80">
        <f>INDEX('06_DEBT_SCHEDULES'!$F$67:$L$67,1,1)</f>
        <v/>
      </c>
      <c r="D29" s="22">
        <f>INDEX('10_COVENANTS_AND_CREDIT_METRICS'!$F$19:$L$19,1,1)</f>
        <v/>
      </c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</row>
    <row r="30" ht="15" customHeight="1">
      <c r="A30" s="1" t="n"/>
      <c r="B30" s="20" t="n">
        <v>2</v>
      </c>
      <c r="C30" s="80">
        <f>INDEX('06_DEBT_SCHEDULES'!$F$67:$L$67,1,2)</f>
        <v/>
      </c>
      <c r="D30" s="22">
        <f>INDEX('10_COVENANTS_AND_CREDIT_METRICS'!$F$19:$L$19,1,2)</f>
        <v/>
      </c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</row>
    <row r="31" ht="15" customHeight="1">
      <c r="A31" s="1" t="n"/>
      <c r="B31" s="20" t="n">
        <v>3</v>
      </c>
      <c r="C31" s="80">
        <f>INDEX('06_DEBT_SCHEDULES'!$F$67:$L$67,1,3)</f>
        <v/>
      </c>
      <c r="D31" s="22">
        <f>INDEX('10_COVENANTS_AND_CREDIT_METRICS'!$F$19:$L$19,1,3)</f>
        <v/>
      </c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</row>
    <row r="32" ht="15" customHeight="1">
      <c r="A32" s="1" t="n"/>
      <c r="B32" s="20" t="n">
        <v>4</v>
      </c>
      <c r="C32" s="80">
        <f>INDEX('06_DEBT_SCHEDULES'!$F$67:$L$67,1,4)</f>
        <v/>
      </c>
      <c r="D32" s="22">
        <f>INDEX('10_COVENANTS_AND_CREDIT_METRICS'!$F$19:$L$19,1,4)</f>
        <v/>
      </c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</row>
    <row r="33" ht="15" customHeight="1">
      <c r="A33" s="1" t="n"/>
      <c r="B33" s="20" t="n">
        <v>5</v>
      </c>
      <c r="C33" s="80">
        <f>INDEX('06_DEBT_SCHEDULES'!$F$67:$L$67,1,5)</f>
        <v/>
      </c>
      <c r="D33" s="22">
        <f>INDEX('10_COVENANTS_AND_CREDIT_METRICS'!$F$19:$L$19,1,5)</f>
        <v/>
      </c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</row>
    <row r="34" ht="15" customHeight="1">
      <c r="A34" s="1" t="n"/>
      <c r="B34" s="20" t="n">
        <v>6</v>
      </c>
      <c r="C34" s="80">
        <f>INDEX('06_DEBT_SCHEDULES'!$F$67:$L$67,1,6)</f>
        <v/>
      </c>
      <c r="D34" s="22">
        <f>INDEX('10_COVENANTS_AND_CREDIT_METRICS'!$F$19:$L$19,1,6)</f>
        <v/>
      </c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</row>
    <row r="35" ht="15" customHeight="1">
      <c r="A35" s="1" t="n"/>
      <c r="B35" s="20" t="n">
        <v>7</v>
      </c>
      <c r="C35" s="80">
        <f>INDEX('06_DEBT_SCHEDULES'!$F$67:$L$67,1,7)</f>
        <v/>
      </c>
      <c r="D35" s="22">
        <f>INDEX('10_COVENANTS_AND_CREDIT_METRICS'!$F$19:$L$19,1,7)</f>
        <v/>
      </c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</row>
    <row r="36" ht="15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</row>
    <row r="37" ht="18" customHeight="1">
      <c r="A37" s="1" t="n"/>
      <c r="B37" s="8" t="inlineStr">
        <is>
          <t>IRR heatmap (Exit multiple vs Entry multiple)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1" t="n"/>
      <c r="N37" s="1" t="n"/>
      <c r="O37" s="1" t="n"/>
      <c r="P37" s="1" t="n"/>
      <c r="Q37" s="1" t="n"/>
      <c r="R37" s="1" t="n"/>
      <c r="S37" s="1" t="n"/>
      <c r="T37" s="1" t="n"/>
    </row>
    <row r="38" ht="15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</row>
    <row r="39" ht="15" customHeight="1">
      <c r="A39" s="1" t="n"/>
      <c r="B39" s="6" t="inlineStr">
        <is>
          <t>(Links to 11_SENSITIVITIES)</t>
        </is>
      </c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</row>
    <row r="40" ht="15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</row>
    <row r="41" ht="15" customHeight="1">
      <c r="A41" s="1" t="n"/>
      <c r="B41" s="1" t="n"/>
      <c r="C41" s="23">
        <f>'11_SENSITIVITIES'!D23</f>
        <v/>
      </c>
      <c r="D41" s="23">
        <f>'11_SENSITIVITIES'!E23</f>
        <v/>
      </c>
      <c r="E41" s="23">
        <f>'11_SENSITIVITIES'!F23</f>
        <v/>
      </c>
      <c r="F41" s="23">
        <f>'11_SENSITIVITIES'!G23</f>
        <v/>
      </c>
      <c r="G41" s="23">
        <f>'11_SENSITIVITIES'!H23</f>
        <v/>
      </c>
      <c r="H41" s="23">
        <f>'11_SENSITIVITIES'!I23</f>
        <v/>
      </c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</row>
    <row r="42" ht="15" customHeight="1">
      <c r="A42" s="1" t="n"/>
      <c r="B42" s="23">
        <f>'11_SENSITIVITIES'!C24</f>
        <v/>
      </c>
      <c r="C42" s="81">
        <f>'11_SENSITIVITIES'!D24</f>
        <v/>
      </c>
      <c r="D42" s="81">
        <f>'11_SENSITIVITIES'!E24</f>
        <v/>
      </c>
      <c r="E42" s="81">
        <f>'11_SENSITIVITIES'!F24</f>
        <v/>
      </c>
      <c r="F42" s="81">
        <f>'11_SENSITIVITIES'!G24</f>
        <v/>
      </c>
      <c r="G42" s="81">
        <f>'11_SENSITIVITIES'!H24</f>
        <v/>
      </c>
      <c r="H42" s="81">
        <f>'11_SENSITIVITIES'!I24</f>
        <v/>
      </c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</row>
    <row r="43" ht="15" customHeight="1">
      <c r="A43" s="1" t="n"/>
      <c r="B43" s="23">
        <f>'11_SENSITIVITIES'!C25</f>
        <v/>
      </c>
      <c r="C43" s="81">
        <f>'11_SENSITIVITIES'!D25</f>
        <v/>
      </c>
      <c r="D43" s="81">
        <f>'11_SENSITIVITIES'!E25</f>
        <v/>
      </c>
      <c r="E43" s="81">
        <f>'11_SENSITIVITIES'!F25</f>
        <v/>
      </c>
      <c r="F43" s="81">
        <f>'11_SENSITIVITIES'!G25</f>
        <v/>
      </c>
      <c r="G43" s="81">
        <f>'11_SENSITIVITIES'!H25</f>
        <v/>
      </c>
      <c r="H43" s="81">
        <f>'11_SENSITIVITIES'!I25</f>
        <v/>
      </c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</row>
    <row r="44" ht="15" customHeight="1">
      <c r="A44" s="1" t="n"/>
      <c r="B44" s="23">
        <f>'11_SENSITIVITIES'!C26</f>
        <v/>
      </c>
      <c r="C44" s="81">
        <f>'11_SENSITIVITIES'!D26</f>
        <v/>
      </c>
      <c r="D44" s="81">
        <f>'11_SENSITIVITIES'!E26</f>
        <v/>
      </c>
      <c r="E44" s="81">
        <f>'11_SENSITIVITIES'!F26</f>
        <v/>
      </c>
      <c r="F44" s="81">
        <f>'11_SENSITIVITIES'!G26</f>
        <v/>
      </c>
      <c r="G44" s="81">
        <f>'11_SENSITIVITIES'!H26</f>
        <v/>
      </c>
      <c r="H44" s="81">
        <f>'11_SENSITIVITIES'!I26</f>
        <v/>
      </c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</row>
    <row r="45" ht="15" customHeight="1">
      <c r="A45" s="1" t="n"/>
      <c r="B45" s="23">
        <f>'11_SENSITIVITIES'!C27</f>
        <v/>
      </c>
      <c r="C45" s="81">
        <f>'11_SENSITIVITIES'!D27</f>
        <v/>
      </c>
      <c r="D45" s="81">
        <f>'11_SENSITIVITIES'!E27</f>
        <v/>
      </c>
      <c r="E45" s="81">
        <f>'11_SENSITIVITIES'!F27</f>
        <v/>
      </c>
      <c r="F45" s="81">
        <f>'11_SENSITIVITIES'!G27</f>
        <v/>
      </c>
      <c r="G45" s="81">
        <f>'11_SENSITIVITIES'!H27</f>
        <v/>
      </c>
      <c r="H45" s="81">
        <f>'11_SENSITIVITIES'!I27</f>
        <v/>
      </c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</row>
    <row r="46" ht="15" customHeight="1">
      <c r="A46" s="1" t="n"/>
      <c r="B46" s="23">
        <f>'11_SENSITIVITIES'!C28</f>
        <v/>
      </c>
      <c r="C46" s="81">
        <f>'11_SENSITIVITIES'!D28</f>
        <v/>
      </c>
      <c r="D46" s="81">
        <f>'11_SENSITIVITIES'!E28</f>
        <v/>
      </c>
      <c r="E46" s="81">
        <f>'11_SENSITIVITIES'!F28</f>
        <v/>
      </c>
      <c r="F46" s="81">
        <f>'11_SENSITIVITIES'!G28</f>
        <v/>
      </c>
      <c r="G46" s="81">
        <f>'11_SENSITIVITIES'!H28</f>
        <v/>
      </c>
      <c r="H46" s="81">
        <f>'11_SENSITIVITIES'!I28</f>
        <v/>
      </c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</row>
    <row r="47" ht="15" customHeight="1">
      <c r="A47" s="1" t="n"/>
      <c r="B47" s="23">
        <f>'11_SENSITIVITIES'!C29</f>
        <v/>
      </c>
      <c r="C47" s="81">
        <f>'11_SENSITIVITIES'!D29</f>
        <v/>
      </c>
      <c r="D47" s="81">
        <f>'11_SENSITIVITIES'!E29</f>
        <v/>
      </c>
      <c r="E47" s="81">
        <f>'11_SENSITIVITIES'!F29</f>
        <v/>
      </c>
      <c r="F47" s="81">
        <f>'11_SENSITIVITIES'!G29</f>
        <v/>
      </c>
      <c r="G47" s="81">
        <f>'11_SENSITIVITIES'!H29</f>
        <v/>
      </c>
      <c r="H47" s="81">
        <f>'11_SENSITIVITIES'!I29</f>
        <v/>
      </c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</row>
    <row r="48" ht="15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</row>
    <row r="49" ht="18" customHeight="1">
      <c r="A49" s="1" t="n"/>
      <c r="B49" s="8" t="inlineStr">
        <is>
          <t>What this means (interpretation)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1" t="n"/>
      <c r="N49" s="1" t="n"/>
      <c r="O49" s="1" t="n"/>
      <c r="P49" s="1" t="n"/>
      <c r="Q49" s="1" t="n"/>
      <c r="R49" s="1" t="n"/>
      <c r="S49" s="1" t="n"/>
      <c r="T49" s="1" t="n"/>
    </row>
    <row r="50" ht="15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</row>
    <row r="51" ht="18" customHeight="1">
      <c r="A51" s="1" t="n"/>
      <c r="B51" s="25" t="inlineStr">
        <is>
          <t>• IRR and MOIC are sensitive to exit multiple and growth. Review 11_SENSITIVITIES heatmaps.</t>
        </is>
      </c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</row>
    <row r="52" ht="18" customHeight="1">
      <c r="A52" s="1" t="n"/>
      <c r="B52" s="25" t="inlineStr">
        <is>
          <t>• Deleveraging is driven primarily by unlevered FCF (EBITDA minus tax, NWC, capex).</t>
        </is>
      </c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</row>
    <row r="53" ht="18" customHeight="1">
      <c r="A53" s="1" t="n"/>
      <c r="B53" s="25" t="inlineStr">
        <is>
          <t>• Downside: stress revenue growth and margin (01_CONTROL scenario) and check liquidity + covenants.</t>
        </is>
      </c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</row>
    <row r="54" ht="18" customHeight="1">
      <c r="A54" s="1" t="n"/>
      <c r="B54" s="25" t="inlineStr">
        <is>
          <t>• Sanity: entry multiple vs market comps; confirm debt terms and sweep assumptions.</t>
        </is>
      </c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</row>
    <row r="55" ht="18" customHeight="1">
      <c r="A55" s="1" t="n"/>
      <c r="B55" s="25" t="inlineStr">
        <is>
          <t>• If checks show FAIL, do not use outputs. Fix 90_Checks first.</t>
        </is>
      </c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</row>
    <row r="56" ht="15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</row>
    <row r="57" ht="15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</row>
    <row r="58" ht="15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</row>
    <row r="59" ht="15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</row>
    <row r="60" ht="15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</row>
    <row r="61" ht="15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</row>
    <row r="62" ht="15" customHeight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</row>
    <row r="63" ht="15" customHeigh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</row>
    <row r="64" ht="15" customHeight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</row>
    <row r="65" ht="15" customHeight="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</row>
    <row r="66" ht="15" customHeight="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</row>
    <row r="67" ht="15" customHeight="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</row>
    <row r="68" ht="15" customHeight="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</row>
    <row r="69" ht="15" customHeight="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</row>
    <row r="70" ht="15" customHeight="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</row>
    <row r="71" ht="15" customHeight="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</row>
    <row r="72" ht="15" customHeight="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</row>
    <row r="73" ht="15" customHeight="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</row>
    <row r="74" ht="15" customHeight="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</row>
    <row r="75" ht="15" customHeight="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</row>
    <row r="76" ht="15" customHeight="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</row>
    <row r="77" ht="15" customHeight="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</row>
    <row r="78" ht="15" customHeight="1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</row>
    <row r="79" ht="15" customHeight="1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</row>
    <row r="80" ht="15" customHeight="1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</row>
    <row r="81" ht="15" customHeight="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</row>
    <row r="82" ht="15" customHeight="1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</row>
    <row r="83" ht="15" customHeight="1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</row>
    <row r="84" ht="15" customHeight="1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</row>
    <row r="85" ht="15" customHeight="1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</row>
    <row r="86" ht="15" customHeight="1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</row>
    <row r="87" ht="15" customHeight="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</row>
    <row r="88" ht="15" customHeight="1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</row>
    <row r="89" ht="15" customHeight="1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</row>
    <row r="90" ht="15" customHeight="1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</row>
    <row r="91" ht="15" customHeight="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</row>
    <row r="92" ht="15" customHeight="1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</row>
    <row r="93" ht="15" customHeight="1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</row>
    <row r="94" ht="15" customHeight="1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</row>
    <row r="95" ht="15" customHeight="1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</row>
    <row r="96" ht="15" customHeight="1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</row>
    <row r="97" ht="15" customHeight="1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</row>
    <row r="98" ht="15" customHeight="1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</row>
    <row r="99" ht="15" customHeight="1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</row>
    <row r="100" ht="15" customHeight="1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</row>
    <row r="101" ht="15" customHeight="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</row>
    <row r="102" ht="15" customHeight="1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</row>
    <row r="103" ht="15" customHeight="1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</row>
    <row r="104" ht="15" customHeight="1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</row>
    <row r="105" ht="15" customHeight="1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</row>
    <row r="106" ht="15" customHeight="1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</row>
    <row r="107" ht="15" customHeight="1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</row>
    <row r="108" ht="15" customHeight="1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</row>
    <row r="109" ht="15" customHeight="1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</row>
    <row r="110" ht="15" customHeight="1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</row>
    <row r="111" ht="15" customHeight="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</row>
    <row r="112" ht="15" customHeight="1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</row>
    <row r="113" ht="15" customHeight="1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</row>
    <row r="114" ht="15" customHeight="1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</row>
    <row r="115" ht="15" customHeight="1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</row>
    <row r="116" ht="15" customHeight="1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</row>
    <row r="117" ht="15" customHeight="1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</row>
    <row r="118" ht="15" customHeight="1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</row>
    <row r="119" ht="15" customHeight="1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</row>
    <row r="120" ht="15" customHeight="1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</row>
    <row r="121" ht="15" customHeight="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</row>
    <row r="122" ht="15" customHeight="1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</row>
    <row r="123" ht="15" customHeight="1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</row>
    <row r="124" ht="15" customHeight="1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</row>
    <row r="125" ht="15" customHeight="1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</row>
    <row r="126" ht="15" customHeight="1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</row>
    <row r="127" ht="15" customHeight="1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</row>
    <row r="128" ht="15" customHeight="1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</row>
    <row r="129" ht="15" customHeight="1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</row>
    <row r="130" ht="15" customHeight="1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</row>
    <row r="131" ht="15" customHeight="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</row>
    <row r="132" ht="15" customHeight="1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</row>
    <row r="133" ht="15" customHeight="1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</row>
    <row r="134" ht="15" customHeight="1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</row>
    <row r="135" ht="15" customHeight="1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</row>
    <row r="136" ht="15" customHeight="1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</row>
    <row r="137" ht="15" customHeight="1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</row>
    <row r="138" ht="15" customHeight="1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</row>
    <row r="139" ht="15" customHeight="1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</row>
    <row r="140" ht="15" customHeight="1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</row>
    <row r="141" ht="15" customHeight="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</row>
    <row r="142" ht="15" customHeight="1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</row>
    <row r="143" ht="15" customHeight="1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</row>
    <row r="144" ht="15" customHeight="1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</row>
    <row r="145" ht="15" customHeight="1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</row>
    <row r="146" ht="15" customHeight="1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</row>
    <row r="147" ht="15" customHeight="1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</row>
    <row r="148" ht="15" customHeight="1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</row>
    <row r="149" ht="15" customHeight="1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</row>
    <row r="150" ht="15" customHeight="1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</row>
    <row r="151" ht="15" customHeight="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</row>
    <row r="152" ht="15" customHeight="1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</row>
    <row r="153" ht="15" customHeight="1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</row>
    <row r="154" ht="15" customHeight="1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</row>
    <row r="155" ht="15" customHeight="1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</row>
    <row r="156" ht="15" customHeight="1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</row>
    <row r="157" ht="15" customHeight="1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</row>
    <row r="158" ht="15" customHeight="1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</row>
    <row r="159" ht="15" customHeight="1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</row>
    <row r="160" ht="15" customHeight="1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</row>
    <row r="161" ht="15" customHeight="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</row>
    <row r="162" ht="15" customHeight="1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</row>
    <row r="163" ht="15" customHeight="1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</row>
    <row r="164" ht="15" customHeight="1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</row>
    <row r="165" ht="15" customHeight="1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</row>
    <row r="166" ht="15" customHeight="1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</row>
    <row r="167" ht="15" customHeight="1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</row>
    <row r="168" ht="15" customHeight="1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</row>
    <row r="169" ht="15" customHeight="1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</row>
    <row r="170" ht="15" customHeight="1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</row>
    <row r="171" ht="15" customHeight="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</row>
    <row r="172" ht="15" customHeight="1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</row>
    <row r="173" ht="15" customHeight="1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</row>
    <row r="174" ht="15" customHeight="1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</row>
    <row r="175" ht="15" customHeight="1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</row>
    <row r="176" ht="15" customHeight="1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</row>
    <row r="177" ht="15" customHeight="1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</row>
    <row r="178" ht="15" customHeight="1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</row>
    <row r="179" ht="15" customHeight="1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</row>
    <row r="180" ht="15" customHeight="1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</row>
    <row r="181" ht="15" customHeight="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</row>
    <row r="182" ht="15" customHeight="1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</row>
    <row r="183" ht="15" customHeight="1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</row>
    <row r="184" ht="15" customHeight="1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</row>
    <row r="185" ht="15" customHeight="1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</row>
    <row r="186" ht="15" customHeight="1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</row>
    <row r="187" ht="15" customHeight="1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</row>
    <row r="188" ht="15" customHeight="1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</row>
    <row r="189" ht="15" customHeight="1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</row>
    <row r="190" ht="15" customHeight="1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</row>
    <row r="191" ht="15" customHeight="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</row>
    <row r="192" ht="15" customHeight="1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</row>
    <row r="193" ht="15" customHeight="1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</row>
    <row r="194" ht="15" customHeight="1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</row>
    <row r="195" ht="15" customHeight="1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</row>
    <row r="196" ht="15" customHeight="1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</row>
    <row r="197" ht="15" customHeight="1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</row>
    <row r="198" ht="15" customHeight="1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</row>
    <row r="199" ht="15" customHeight="1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</row>
    <row r="200" ht="15" customHeight="1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</row>
  </sheetData>
  <conditionalFormatting sqref="C42:H4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3" right="0.3" top="0.5" bottom="0.5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3"/>
  <sheetViews>
    <sheetView showGridLines="0" workbookViewId="0">
      <pane xSplit="4" ySplit="9" topLeftCell="E10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2" customWidth="1" min="2" max="2"/>
    <col width="16" customWidth="1" min="3" max="3"/>
    <col width="2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15" customHeight="1">
      <c r="A1" s="26" t="n"/>
      <c r="B1" s="27" t="inlineStr">
        <is>
          <t>LBO Model Builder (Training Simulation)</t>
        </is>
      </c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</row>
    <row r="2" ht="16" customHeight="1">
      <c r="A2" s="28" t="n"/>
      <c r="B2" s="2" t="inlineStr">
        <is>
          <t>CHECKS:</t>
        </is>
      </c>
      <c r="C2" s="3">
        <f>HYPERLINK("#'90_CHECKS'!B6",'90_CHECKS'!$C$22)</f>
        <v/>
      </c>
      <c r="D2" s="28" t="n"/>
      <c r="E2" s="28" t="n"/>
      <c r="F2" s="28" t="n"/>
      <c r="G2" s="28" t="n"/>
      <c r="H2" s="28" t="n"/>
      <c r="I2" s="28" t="n"/>
      <c r="J2" s="28" t="n"/>
      <c r="K2" s="28" t="n"/>
      <c r="L2" s="28" t="n"/>
      <c r="M2" s="28" t="n"/>
      <c r="N2" s="28" t="n"/>
    </row>
    <row r="3" ht="15" customHeight="1">
      <c r="A3" s="28" t="n"/>
      <c r="B3" s="29" t="inlineStr">
        <is>
          <t>Checks:</t>
        </is>
      </c>
      <c r="C3" s="30">
        <f>HYPERLINK("#'90_CHECKS'!B2","Go to 90_CHECKS")</f>
        <v/>
      </c>
      <c r="D3" s="28" t="n"/>
      <c r="E3" s="28" t="n"/>
      <c r="F3" s="28" t="n"/>
      <c r="G3" s="28" t="n"/>
      <c r="H3" s="28" t="n"/>
      <c r="I3" s="28" t="n"/>
      <c r="J3" s="28" t="n"/>
      <c r="K3" s="28" t="n"/>
      <c r="L3" s="28" t="n"/>
      <c r="M3" s="28" t="n"/>
      <c r="N3" s="28" t="n"/>
    </row>
    <row r="4" ht="15" customHeight="1">
      <c r="A4" s="28" t="n"/>
      <c r="B4" s="29" t="inlineStr">
        <is>
          <t>Units:</t>
        </is>
      </c>
      <c r="C4" s="29" t="inlineStr">
        <is>
          <t>DKKm</t>
        </is>
      </c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</row>
    <row r="5" ht="15" customHeight="1">
      <c r="A5" s="28" t="n"/>
      <c r="B5" s="29" t="inlineStr">
        <is>
          <t>Version:</t>
        </is>
      </c>
      <c r="C5" s="29" t="inlineStr">
        <is>
          <t>v0.1</t>
        </is>
      </c>
      <c r="D5" s="28" t="n"/>
      <c r="E5" s="28" t="n"/>
      <c r="F5" s="28" t="n"/>
      <c r="G5" s="28" t="n"/>
      <c r="H5" s="28" t="n"/>
      <c r="I5" s="28" t="n"/>
      <c r="J5" s="28" t="n"/>
      <c r="K5" s="28" t="n"/>
      <c r="L5" s="28" t="n"/>
      <c r="M5" s="28" t="n"/>
      <c r="N5" s="28" t="n"/>
    </row>
    <row r="6" ht="15" customHeight="1">
      <c r="A6" s="28" t="n"/>
      <c r="B6" s="29" t="inlineStr">
        <is>
          <t>Date:</t>
        </is>
      </c>
      <c r="C6" s="82" t="n">
        <v>46069</v>
      </c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</row>
    <row r="7" ht="15" customHeight="1"/>
    <row r="8" ht="15" customHeight="1"/>
    <row r="9" ht="15" customHeight="1"/>
    <row r="10" ht="18" customHeight="1">
      <c r="B10" s="32" t="inlineStr">
        <is>
          <t>MODEL CONTROLS AND GLOBAL ASSUMPTIONS</t>
        </is>
      </c>
      <c r="C10" s="33" t="n"/>
      <c r="D10" s="33" t="n"/>
      <c r="E10" s="33" t="n"/>
      <c r="F10" s="33" t="n"/>
      <c r="G10" s="33" t="n"/>
      <c r="H10" s="33" t="n"/>
    </row>
    <row r="11" ht="15" customHeight="1"/>
    <row r="12" ht="15" customHeight="1">
      <c r="B12" s="34" t="inlineStr">
        <is>
          <t>Scenario</t>
        </is>
      </c>
      <c r="C12" s="34" t="inlineStr"/>
      <c r="D12" s="35" t="inlineStr">
        <is>
          <t>Base</t>
        </is>
      </c>
      <c r="F12" s="111" t="inlineStr">
        <is>
          <t>TRAINING_MODE (ON/OFF)</t>
        </is>
      </c>
      <c r="G12" s="112" t="inlineStr">
        <is>
          <t>OFF</t>
        </is>
      </c>
    </row>
    <row r="13" ht="15" customHeight="1">
      <c r="B13" s="34" t="inlineStr">
        <is>
          <t>Scenario index (1=Base,2=Upside,3=Downside)</t>
        </is>
      </c>
      <c r="D13" s="34">
        <f>MATCH(D12,{"Base","Upside","Downside"},0)</f>
        <v/>
      </c>
    </row>
    <row r="14" ht="15" customHeight="1">
      <c r="B14" s="34" t="inlineStr">
        <is>
          <t>Hold period (years)</t>
        </is>
      </c>
      <c r="D14" s="35" t="n">
        <v>5</v>
      </c>
      <c r="G14">
        <f>Hold_Y+1</f>
        <v/>
      </c>
    </row>
    <row r="15" ht="15" customHeight="1">
      <c r="B15" s="34" t="inlineStr">
        <is>
          <t>Hold col index (LTM=1, Year1=2...)</t>
        </is>
      </c>
      <c r="D15" s="34">
        <f>1+D14</f>
        <v/>
      </c>
    </row>
    <row r="16" ht="15" customHeight="1">
      <c r="B16" s="34" t="inlineStr">
        <is>
          <t>Entry EV multiple (x LTM EBITDA) - primary driver</t>
        </is>
      </c>
      <c r="D16" s="36" t="n">
        <v>12</v>
      </c>
    </row>
    <row r="17" ht="15" customHeight="1">
      <c r="B17" s="34" t="inlineStr">
        <is>
          <t>Exit method</t>
        </is>
      </c>
      <c r="D17" s="35" t="inlineStr">
        <is>
          <t>Exit Multiple</t>
        </is>
      </c>
    </row>
    <row r="18" ht="15" customHeight="1">
      <c r="B18" s="34" t="inlineStr">
        <is>
          <t>Exit EV multiple (x EBITDA)</t>
        </is>
      </c>
      <c r="D18" s="36" t="n">
        <v>13</v>
      </c>
    </row>
    <row r="19" ht="15" customHeight="1">
      <c r="B19" s="34" t="inlineStr">
        <is>
          <t>Exit equity value target (DKKm, used if Exit method = Equity Value)</t>
        </is>
      </c>
      <c r="D19" s="83" t="n">
        <v>0</v>
      </c>
    </row>
    <row r="20" ht="15" customHeight="1">
      <c r="B20" s="34" t="inlineStr">
        <is>
          <t>Debt structure</t>
        </is>
      </c>
      <c r="D20" s="35" t="inlineStr">
        <is>
          <t>Standard</t>
        </is>
      </c>
    </row>
    <row r="21" ht="15" customHeight="1">
      <c r="B21" s="34" t="inlineStr">
        <is>
          <t>Interest rate mode</t>
        </is>
      </c>
      <c r="D21" s="35" t="inlineStr">
        <is>
          <t>Floating</t>
        </is>
      </c>
    </row>
    <row r="22" ht="15" customHeight="1">
      <c r="B22" s="34" t="inlineStr">
        <is>
          <t>Benchmark rate (e.g., CIBOR 3M)</t>
        </is>
      </c>
      <c r="D22" s="84" t="n">
        <v>0.03</v>
      </c>
    </row>
    <row r="23" ht="15" customHeight="1">
      <c r="B23" s="34" t="inlineStr">
        <is>
          <t>FX enabled?</t>
        </is>
      </c>
      <c r="D23" s="35" t="inlineStr">
        <is>
          <t>Off</t>
        </is>
      </c>
    </row>
    <row r="24" ht="15" customHeight="1">
      <c r="B24" s="34" t="inlineStr">
        <is>
          <t>Target currency</t>
        </is>
      </c>
      <c r="D24" s="35" t="inlineStr">
        <is>
          <t>SEK</t>
        </is>
      </c>
    </row>
    <row r="25" ht="15" customHeight="1">
      <c r="B25" s="34" t="inlineStr">
        <is>
          <t>FX rate (DKK per target currency unit)</t>
        </is>
      </c>
      <c r="D25" s="39" t="n">
        <v>0.65</v>
      </c>
    </row>
    <row r="26" ht="15" customHeight="1">
      <c r="B26" s="34" t="inlineStr">
        <is>
          <t>Corporate tax rate</t>
        </is>
      </c>
      <c r="D26" s="84" t="n">
        <v>0.22</v>
      </c>
    </row>
    <row r="27" ht="15" customHeight="1">
      <c r="B27" s="34" t="inlineStr">
        <is>
          <t>Margin ramp (years)</t>
        </is>
      </c>
      <c r="D27" s="40" t="n">
        <v>2</v>
      </c>
    </row>
    <row r="28" ht="18" customHeight="1">
      <c r="B28" s="32" t="inlineStr">
        <is>
          <t>TARGET LTM INPUTS (SINGLE-ENTRY)</t>
        </is>
      </c>
      <c r="C28" s="33" t="n"/>
      <c r="D28" s="33" t="n"/>
      <c r="E28" s="33" t="n"/>
      <c r="F28" s="33" t="n"/>
      <c r="G28" s="33" t="n"/>
      <c r="H28" s="33" t="n"/>
    </row>
    <row r="29" ht="15" customHeight="1"/>
    <row r="30" ht="15" customHeight="1">
      <c r="B30" s="34" t="inlineStr">
        <is>
          <t>LTM Revenue (DKKm)</t>
        </is>
      </c>
      <c r="D30" s="83" t="n">
        <v>450</v>
      </c>
    </row>
    <row r="31" ht="15" customHeight="1">
      <c r="B31" s="34" t="inlineStr">
        <is>
          <t>LTM EBITDA margin</t>
        </is>
      </c>
      <c r="D31" s="84" t="n">
        <v>0.28</v>
      </c>
    </row>
    <row r="32" ht="15" customHeight="1">
      <c r="B32" s="34" t="inlineStr">
        <is>
          <t>LTM EBITDA (DKKm)</t>
        </is>
      </c>
      <c r="D32" s="85">
        <f>D30*D31</f>
        <v/>
      </c>
    </row>
    <row r="33" ht="15" customHeight="1">
      <c r="B33" s="34" t="inlineStr">
        <is>
          <t>Opening cash at close (DKKm)</t>
        </is>
      </c>
      <c r="D33" s="83" t="n">
        <v>0</v>
      </c>
    </row>
    <row r="34" ht="15" customHeight="1">
      <c r="B34" s="34" t="inlineStr">
        <is>
          <t>Existing net debt refinanced (DKKm, + means debt)</t>
        </is>
      </c>
      <c r="D34" s="83" t="n">
        <v>0</v>
      </c>
    </row>
    <row r="35" ht="15" customHeight="1">
      <c r="B35" s="34" t="inlineStr">
        <is>
          <t>Exit fees (% EV)</t>
        </is>
      </c>
      <c r="D35" s="84" t="n">
        <v>0.01</v>
      </c>
    </row>
    <row r="36" ht="18" customHeight="1">
      <c r="B36" s="32" t="inlineStr">
        <is>
          <t>SCENARIO ASSUMPTIONS (EDIT BLUE, ACTIVE DRIVES MODEL)</t>
        </is>
      </c>
      <c r="C36" s="33" t="n"/>
      <c r="D36" s="33" t="n"/>
      <c r="E36" s="33" t="n"/>
      <c r="F36" s="33" t="n"/>
      <c r="G36" s="33" t="n"/>
      <c r="H36" s="33" t="n"/>
    </row>
    <row r="37" ht="15" customHeight="1"/>
    <row r="38" ht="15" customHeight="1">
      <c r="B38" s="19" t="inlineStr">
        <is>
          <t>Assumption</t>
        </is>
      </c>
      <c r="C38" s="19" t="inlineStr">
        <is>
          <t>Unit</t>
        </is>
      </c>
      <c r="D38" s="19" t="inlineStr">
        <is>
          <t>Base</t>
        </is>
      </c>
      <c r="E38" s="19" t="inlineStr">
        <is>
          <t>Upside</t>
        </is>
      </c>
      <c r="F38" s="19" t="inlineStr">
        <is>
          <t>Downside</t>
        </is>
      </c>
      <c r="G38" s="19" t="inlineStr">
        <is>
          <t>Active</t>
        </is>
      </c>
    </row>
    <row r="39" ht="15" customHeight="1">
      <c r="B39" s="20" t="inlineStr">
        <is>
          <t>Revenue growth (annual)</t>
        </is>
      </c>
      <c r="C39" s="20" t="inlineStr">
        <is>
          <t>%</t>
        </is>
      </c>
      <c r="D39" s="86" t="n">
        <v>0.1</v>
      </c>
      <c r="E39" s="86" t="n">
        <v>0.12</v>
      </c>
      <c r="F39" s="86" t="n">
        <v>0.06</v>
      </c>
      <c r="G39" s="86">
        <f>CHOOSE($D$13, D39, E39, F39)</f>
        <v/>
      </c>
    </row>
    <row r="40" ht="15" customHeight="1">
      <c r="B40" s="20" t="inlineStr">
        <is>
          <t>EBITDA margin (steady state)</t>
        </is>
      </c>
      <c r="C40" s="20" t="inlineStr">
        <is>
          <t>%</t>
        </is>
      </c>
      <c r="D40" s="86" t="n">
        <v>0.29</v>
      </c>
      <c r="E40" s="86" t="n">
        <v>0.31</v>
      </c>
      <c r="F40" s="86" t="n">
        <v>0.26</v>
      </c>
      <c r="G40" s="86">
        <f>CHOOSE($D$13, D40, E40, F40)</f>
        <v/>
      </c>
    </row>
    <row r="41" ht="15" customHeight="1">
      <c r="B41" s="20" t="inlineStr">
        <is>
          <t>Capex (% revenue)</t>
        </is>
      </c>
      <c r="C41" s="20" t="inlineStr">
        <is>
          <t>%</t>
        </is>
      </c>
      <c r="D41" s="86" t="n">
        <v>0.03</v>
      </c>
      <c r="E41" s="86" t="n">
        <v>0.035</v>
      </c>
      <c r="F41" s="86" t="n">
        <v>0.025</v>
      </c>
      <c r="G41" s="86">
        <f>CHOOSE($D$13, D41, E41, F41)</f>
        <v/>
      </c>
    </row>
    <row r="42" ht="15" customHeight="1">
      <c r="B42" s="20" t="inlineStr">
        <is>
          <t>D&amp;A (% revenue)</t>
        </is>
      </c>
      <c r="C42" s="20" t="inlineStr">
        <is>
          <t>%</t>
        </is>
      </c>
      <c r="D42" s="86" t="n">
        <v>0.02</v>
      </c>
      <c r="E42" s="86" t="n">
        <v>0.02</v>
      </c>
      <c r="F42" s="86" t="n">
        <v>0.02</v>
      </c>
      <c r="G42" s="86">
        <f>CHOOSE($D$13, D42, E42, F42)</f>
        <v/>
      </c>
    </row>
    <row r="43" ht="15" customHeight="1">
      <c r="B43" s="20" t="inlineStr">
        <is>
          <t>NWC method</t>
        </is>
      </c>
      <c r="C43" s="20" t="inlineStr">
        <is>
          <t>text</t>
        </is>
      </c>
      <c r="D43" s="20" t="inlineStr">
        <is>
          <t>PctRev</t>
        </is>
      </c>
      <c r="E43" s="20" t="inlineStr">
        <is>
          <t>DSO</t>
        </is>
      </c>
      <c r="F43" s="20" t="inlineStr">
        <is>
          <t>PctRev</t>
        </is>
      </c>
      <c r="G43" s="20">
        <f>CHOOSE($D$13, D43, E43, F43)</f>
        <v/>
      </c>
    </row>
    <row r="44" ht="15" customHeight="1">
      <c r="B44" s="20" t="inlineStr">
        <is>
          <t>NWC (% revenue)</t>
        </is>
      </c>
      <c r="C44" s="20" t="inlineStr">
        <is>
          <t>%</t>
        </is>
      </c>
      <c r="D44" s="86" t="n">
        <v>0.05</v>
      </c>
      <c r="E44" s="86" t="n">
        <v>0.04</v>
      </c>
      <c r="F44" s="86" t="n">
        <v>0.06</v>
      </c>
      <c r="G44" s="86">
        <f>CHOOSE($D$13, D44, E44, F44)</f>
        <v/>
      </c>
    </row>
    <row r="45" ht="15" customHeight="1">
      <c r="B45" s="20" t="inlineStr">
        <is>
          <t>DSO (days)</t>
        </is>
      </c>
      <c r="C45" s="20" t="inlineStr">
        <is>
          <t>days</t>
        </is>
      </c>
      <c r="D45" s="20" t="n">
        <v>60</v>
      </c>
      <c r="E45" s="20" t="n">
        <v>55</v>
      </c>
      <c r="F45" s="20" t="n">
        <v>70</v>
      </c>
      <c r="G45" s="20">
        <f>CHOOSE($D$13, D45, E45, F45)</f>
        <v/>
      </c>
    </row>
    <row r="46" ht="15" customHeight="1">
      <c r="B46" s="20" t="inlineStr">
        <is>
          <t>DPO (days)</t>
        </is>
      </c>
      <c r="C46" s="20" t="inlineStr">
        <is>
          <t>days</t>
        </is>
      </c>
      <c r="D46" s="20" t="n">
        <v>45</v>
      </c>
      <c r="E46" s="20" t="n">
        <v>50</v>
      </c>
      <c r="F46" s="20" t="n">
        <v>40</v>
      </c>
      <c r="G46" s="20">
        <f>CHOOSE($D$13, D46, E46, F46)</f>
        <v/>
      </c>
    </row>
    <row r="47" ht="15" customHeight="1">
      <c r="B47" s="20" t="inlineStr">
        <is>
          <t>DIO (days)</t>
        </is>
      </c>
      <c r="C47" s="20" t="inlineStr">
        <is>
          <t>days</t>
        </is>
      </c>
      <c r="D47" s="20" t="n">
        <v>0</v>
      </c>
      <c r="E47" s="20" t="n">
        <v>0</v>
      </c>
      <c r="F47" s="20" t="n">
        <v>0</v>
      </c>
      <c r="G47" s="20">
        <f>CHOOSE($D$13, D47, E47, F47)</f>
        <v/>
      </c>
    </row>
    <row r="48" ht="15" customHeight="1">
      <c r="B48" s="20" t="inlineStr">
        <is>
          <t>Total leverage at entry (x LTM EBITDA)</t>
        </is>
      </c>
      <c r="C48" s="20" t="inlineStr">
        <is>
          <t>x</t>
        </is>
      </c>
      <c r="D48" s="43" t="n">
        <v>4.5</v>
      </c>
      <c r="E48" s="43" t="n">
        <v>5</v>
      </c>
      <c r="F48" s="43" t="n">
        <v>4</v>
      </c>
      <c r="G48" s="43">
        <f>CHOOSE($D$13, D48, E48, F48)</f>
        <v/>
      </c>
    </row>
    <row r="49" ht="15" customHeight="1">
      <c r="B49" s="20" t="inlineStr">
        <is>
          <t>Revolver size (DKKm)</t>
        </is>
      </c>
      <c r="C49" s="20" t="inlineStr">
        <is>
          <t>DKKm</t>
        </is>
      </c>
      <c r="D49" s="87" t="n">
        <v>75</v>
      </c>
      <c r="E49" s="87" t="n">
        <v>90</v>
      </c>
      <c r="F49" s="87" t="n">
        <v>60</v>
      </c>
      <c r="G49" s="87">
        <f>CHOOSE($D$13, D49, E49, F49)</f>
        <v/>
      </c>
    </row>
    <row r="50" ht="15" customHeight="1">
      <c r="B50" s="20" t="inlineStr">
        <is>
          <t>TLA leverage (x EBITDA)</t>
        </is>
      </c>
      <c r="C50" s="20" t="inlineStr">
        <is>
          <t>x</t>
        </is>
      </c>
      <c r="D50" s="43" t="n">
        <v>2</v>
      </c>
      <c r="E50" s="43" t="n">
        <v>2</v>
      </c>
      <c r="F50" s="43" t="n">
        <v>2</v>
      </c>
      <c r="G50" s="43">
        <f>CHOOSE($D$13, D50, E50, F50)</f>
        <v/>
      </c>
    </row>
    <row r="51" ht="15" customHeight="1">
      <c r="B51" s="20" t="inlineStr">
        <is>
          <t>TLB leverage (x EBITDA)</t>
        </is>
      </c>
      <c r="C51" s="20" t="inlineStr">
        <is>
          <t>x</t>
        </is>
      </c>
      <c r="D51" s="43" t="n">
        <v>2</v>
      </c>
      <c r="E51" s="43" t="n">
        <v>2.5</v>
      </c>
      <c r="F51" s="43" t="n">
        <v>1.5</v>
      </c>
      <c r="G51" s="43">
        <f>CHOOSE($D$13, D51, E51, F51)</f>
        <v/>
      </c>
    </row>
    <row r="52" ht="15" customHeight="1">
      <c r="B52" s="20" t="inlineStr">
        <is>
          <t>SSN leverage (x EBITDA)</t>
        </is>
      </c>
      <c r="C52" s="20" t="inlineStr">
        <is>
          <t>x</t>
        </is>
      </c>
      <c r="D52" s="43" t="n">
        <v>0.5</v>
      </c>
      <c r="E52" s="43" t="n">
        <v>0.5</v>
      </c>
      <c r="F52" s="43" t="n">
        <v>0.5</v>
      </c>
      <c r="G52" s="43">
        <f>CHOOSE($D$13, D52, E52, F52)</f>
        <v/>
      </c>
    </row>
    <row r="53" ht="15" customHeight="1">
      <c r="B53" s="20" t="inlineStr">
        <is>
          <t>Mezz/PIK leverage (x EBITDA)</t>
        </is>
      </c>
      <c r="C53" s="20" t="inlineStr">
        <is>
          <t>x</t>
        </is>
      </c>
      <c r="D53" s="43" t="n">
        <v>0</v>
      </c>
      <c r="E53" s="43" t="n">
        <v>0</v>
      </c>
      <c r="F53" s="43" t="n">
        <v>0</v>
      </c>
      <c r="G53" s="43">
        <f>CHOOSE($D$13, D53, E53, F53)</f>
        <v/>
      </c>
    </row>
    <row r="54" ht="15" customHeight="1">
      <c r="B54" s="20" t="inlineStr">
        <is>
          <t>Cash sweep (% of excess cash)</t>
        </is>
      </c>
      <c r="C54" s="20" t="inlineStr">
        <is>
          <t>%</t>
        </is>
      </c>
      <c r="D54" s="86" t="n">
        <v>1</v>
      </c>
      <c r="E54" s="86" t="n">
        <v>1</v>
      </c>
      <c r="F54" s="86" t="n">
        <v>1</v>
      </c>
      <c r="G54" s="86">
        <f>CHOOSE($D$13, D54, E54, F54)</f>
        <v/>
      </c>
    </row>
    <row r="55" ht="15" customHeight="1">
      <c r="B55" s="20" t="inlineStr">
        <is>
          <t>Mgmt rollover (% of equity)</t>
        </is>
      </c>
      <c r="C55" s="20" t="inlineStr">
        <is>
          <t>%</t>
        </is>
      </c>
      <c r="D55" s="86" t="n">
        <v>0.1</v>
      </c>
      <c r="E55" s="86" t="n">
        <v>0.1</v>
      </c>
      <c r="F55" s="86" t="n">
        <v>0.1</v>
      </c>
      <c r="G55" s="86">
        <f>CHOOSE($D$13, D55, E55, F55)</f>
        <v/>
      </c>
    </row>
    <row r="56" ht="15" customHeight="1">
      <c r="B56" s="20" t="inlineStr">
        <is>
          <t>Advisory fees (% EV)</t>
        </is>
      </c>
      <c r="C56" s="20" t="inlineStr">
        <is>
          <t>%</t>
        </is>
      </c>
      <c r="D56" s="86" t="n">
        <v>0.01</v>
      </c>
      <c r="E56" s="86" t="n">
        <v>0.01</v>
      </c>
      <c r="F56" s="86" t="n">
        <v>0.01</v>
      </c>
      <c r="G56" s="86">
        <f>CHOOSE($D$13, D56, E56, F56)</f>
        <v/>
      </c>
    </row>
    <row r="57" ht="15" customHeight="1">
      <c r="B57" s="20" t="inlineStr">
        <is>
          <t>Financing fees (% new debt)</t>
        </is>
      </c>
      <c r="C57" s="20" t="inlineStr">
        <is>
          <t>%</t>
        </is>
      </c>
      <c r="D57" s="86" t="n">
        <v>0.02</v>
      </c>
      <c r="E57" s="86" t="n">
        <v>0.02</v>
      </c>
      <c r="F57" s="86" t="n">
        <v>0.02</v>
      </c>
      <c r="G57" s="86">
        <f>CHOOSE($D$13, D57, E57, F57)</f>
        <v/>
      </c>
    </row>
    <row r="58" ht="15" customHeight="1"/>
    <row r="59" ht="15" customHeight="1"/>
    <row r="60" ht="18" customHeight="1">
      <c r="B60" s="32" t="inlineStr">
        <is>
          <t>DEBT TERMS (EDIT BLUE, USED ACROSS SCHEDULES)</t>
        </is>
      </c>
      <c r="C60" s="33" t="n"/>
      <c r="D60" s="33" t="n"/>
      <c r="E60" s="33" t="n"/>
      <c r="F60" s="33" t="n"/>
      <c r="G60" s="33" t="n"/>
      <c r="H60" s="33" t="n"/>
    </row>
    <row r="61" ht="15" customHeight="1"/>
    <row r="62" ht="15" customHeight="1">
      <c r="B62" s="19" t="inlineStr">
        <is>
          <t>Tranche</t>
        </is>
      </c>
      <c r="C62" s="19" t="inlineStr">
        <is>
          <t>Amort % p.a.</t>
        </is>
      </c>
      <c r="D62" s="19" t="inlineStr">
        <is>
          <t>Spread</t>
        </is>
      </c>
      <c r="E62" s="19" t="inlineStr">
        <is>
          <t>Floor</t>
        </is>
      </c>
      <c r="F62" s="19" t="inlineStr">
        <is>
          <t>Fixed rate</t>
        </is>
      </c>
      <c r="G62" s="19" t="inlineStr">
        <is>
          <t>Seniority (1=first sweep)</t>
        </is>
      </c>
    </row>
    <row r="63" ht="15" customHeight="1">
      <c r="B63" s="34" t="inlineStr">
        <is>
          <t>Revolver</t>
        </is>
      </c>
      <c r="C63" s="86" t="n">
        <v>0</v>
      </c>
      <c r="D63" s="86" t="n">
        <v>0.035</v>
      </c>
      <c r="E63" s="86" t="n">
        <v>0</v>
      </c>
      <c r="F63" s="86" t="n">
        <v>0.06</v>
      </c>
      <c r="G63" s="45" t="n">
        <v>1</v>
      </c>
    </row>
    <row r="64" ht="15" customHeight="1">
      <c r="B64" s="34" t="inlineStr">
        <is>
          <t>Term Loan A</t>
        </is>
      </c>
      <c r="C64" s="86" t="n">
        <v>0.1</v>
      </c>
      <c r="D64" s="86" t="n">
        <v>0.04</v>
      </c>
      <c r="E64" s="86" t="n">
        <v>0</v>
      </c>
      <c r="F64" s="86" t="n">
        <v>0.065</v>
      </c>
      <c r="G64" s="45" t="n">
        <v>2</v>
      </c>
    </row>
    <row r="65" ht="15" customHeight="1">
      <c r="B65" s="34" t="inlineStr">
        <is>
          <t>Term Loan B</t>
        </is>
      </c>
      <c r="C65" s="86" t="n">
        <v>0.05</v>
      </c>
      <c r="D65" s="86" t="n">
        <v>0.045</v>
      </c>
      <c r="E65" s="86" t="n">
        <v>0</v>
      </c>
      <c r="F65" s="86" t="n">
        <v>0.07000000000000001</v>
      </c>
      <c r="G65" s="45" t="n">
        <v>3</v>
      </c>
    </row>
    <row r="66" ht="15" customHeight="1">
      <c r="B66" s="34" t="inlineStr">
        <is>
          <t>SSN</t>
        </is>
      </c>
      <c r="C66" s="86" t="n">
        <v>0</v>
      </c>
      <c r="D66" s="86" t="n">
        <v>0.055</v>
      </c>
      <c r="E66" s="86" t="n">
        <v>0</v>
      </c>
      <c r="F66" s="86" t="n">
        <v>0.08</v>
      </c>
      <c r="G66" s="45" t="n">
        <v>4</v>
      </c>
    </row>
    <row r="67" ht="15" customHeight="1">
      <c r="B67" s="34" t="inlineStr">
        <is>
          <t>Mezz/PIK</t>
        </is>
      </c>
      <c r="C67" s="86" t="n">
        <v>0</v>
      </c>
      <c r="D67" s="86" t="n">
        <v>0.09</v>
      </c>
      <c r="E67" s="86" t="n">
        <v>0</v>
      </c>
      <c r="F67" s="86" t="n">
        <v>0.11</v>
      </c>
      <c r="G67" s="45" t="n">
        <v>5</v>
      </c>
    </row>
    <row r="68" ht="15" customHeight="1"/>
    <row r="69" ht="18" customHeight="1">
      <c r="B69" s="32" t="inlineStr">
        <is>
          <t>COVENANT ASSUMPTIONS (ILLUSTRATIVE, EDIT BLUE)</t>
        </is>
      </c>
      <c r="C69" s="33" t="n"/>
      <c r="D69" s="33" t="n"/>
      <c r="E69" s="33" t="n"/>
      <c r="F69" s="33" t="n"/>
      <c r="G69" s="33" t="n"/>
      <c r="H69" s="33" t="n"/>
    </row>
    <row r="70" ht="15" customHeight="1"/>
    <row r="71" ht="15" customHeight="1">
      <c r="B71" s="34" t="inlineStr">
        <is>
          <t>Net leverage covenant (max, x)</t>
        </is>
      </c>
      <c r="D71" s="36" t="n">
        <v>6</v>
      </c>
    </row>
    <row r="72" ht="15" customHeight="1">
      <c r="B72" s="34" t="inlineStr">
        <is>
          <t>Interest coverage covenant (min, x)</t>
        </is>
      </c>
      <c r="D72" s="36" t="n">
        <v>2</v>
      </c>
    </row>
    <row r="73" ht="15" customHeight="1">
      <c r="B73" s="34" t="inlineStr">
        <is>
          <t>Minimum liquidity target (DKKm)</t>
        </is>
      </c>
      <c r="D73" s="83" t="n">
        <v>25</v>
      </c>
    </row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pageMargins left="0.3" right="0.3" top="0.5" bottom="0.5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xSplit="4" ySplit="9" topLeftCell="E10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2" customWidth="1" min="2" max="2"/>
    <col width="11" customWidth="1" min="3" max="3"/>
    <col width="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15" customHeight="1">
      <c r="A1" s="26" t="n"/>
      <c r="B1" s="27" t="inlineStr">
        <is>
          <t>LBO Model Builder (Training Simulation)</t>
        </is>
      </c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</row>
    <row r="2" ht="16" customHeight="1">
      <c r="A2" s="28" t="n"/>
      <c r="B2" s="2" t="inlineStr">
        <is>
          <t>CHECKS:</t>
        </is>
      </c>
      <c r="C2" s="3">
        <f>HYPERLINK("#'90_CHECKS'!B6",'90_CHECKS'!$C$22)</f>
        <v/>
      </c>
      <c r="D2" s="28" t="n"/>
      <c r="E2" s="28" t="n"/>
      <c r="F2" s="28" t="n"/>
      <c r="G2" s="28" t="n"/>
      <c r="H2" s="28" t="n"/>
      <c r="I2" s="28" t="n"/>
      <c r="J2" s="28" t="n"/>
      <c r="K2" s="28" t="n"/>
      <c r="L2" s="28" t="n"/>
      <c r="M2" s="28" t="n"/>
      <c r="N2" s="28" t="n"/>
    </row>
    <row r="3" ht="15" customHeight="1">
      <c r="A3" s="28" t="n"/>
      <c r="B3" s="29" t="inlineStr">
        <is>
          <t>Checks:</t>
        </is>
      </c>
      <c r="C3" s="30">
        <f>HYPERLINK("#'90_CHECKS'!B2","Go to 90_CHECKS")</f>
        <v/>
      </c>
      <c r="D3" s="28" t="n"/>
      <c r="E3" s="28" t="n"/>
      <c r="F3" s="28" t="n"/>
      <c r="G3" s="28" t="n"/>
      <c r="H3" s="28" t="n"/>
      <c r="I3" s="28" t="n"/>
      <c r="J3" s="28" t="n"/>
      <c r="K3" s="28" t="n"/>
      <c r="L3" s="28" t="n"/>
      <c r="M3" s="28" t="n"/>
      <c r="N3" s="28" t="n"/>
    </row>
    <row r="4" ht="15" customHeight="1">
      <c r="A4" s="28" t="n"/>
      <c r="B4" s="29" t="inlineStr">
        <is>
          <t>Units:</t>
        </is>
      </c>
      <c r="C4" s="29" t="inlineStr">
        <is>
          <t>DKKm</t>
        </is>
      </c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</row>
    <row r="5" ht="15" customHeight="1">
      <c r="A5" s="28" t="n"/>
      <c r="B5" s="29" t="inlineStr">
        <is>
          <t>Version:</t>
        </is>
      </c>
      <c r="C5" s="29" t="inlineStr">
        <is>
          <t>v0.1</t>
        </is>
      </c>
      <c r="D5" s="28" t="n"/>
      <c r="E5" s="28" t="n"/>
      <c r="F5" s="28" t="n"/>
      <c r="G5" s="28" t="n"/>
      <c r="H5" s="28" t="n"/>
      <c r="I5" s="28" t="n"/>
      <c r="J5" s="28" t="n"/>
      <c r="K5" s="28" t="n"/>
      <c r="L5" s="28" t="n"/>
      <c r="M5" s="28" t="n"/>
      <c r="N5" s="28" t="n"/>
    </row>
    <row r="6" ht="15" customHeight="1">
      <c r="A6" s="28" t="n"/>
      <c r="B6" s="29" t="inlineStr">
        <is>
          <t>Date:</t>
        </is>
      </c>
      <c r="C6" s="82" t="n">
        <v>46069</v>
      </c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</row>
    <row r="7" ht="15" customHeight="1">
      <c r="B7" s="46" t="inlineStr">
        <is>
          <t>Period end</t>
        </is>
      </c>
      <c r="C7" s="34" t="inlineStr"/>
      <c r="E7" s="88" t="n">
        <v>46022</v>
      </c>
      <c r="F7" s="88" t="n">
        <v>46387</v>
      </c>
      <c r="G7" s="88" t="n">
        <v>46752</v>
      </c>
      <c r="H7" s="88" t="n">
        <v>47118</v>
      </c>
      <c r="I7" s="88" t="n">
        <v>47483</v>
      </c>
      <c r="J7" s="88" t="n">
        <v>47848</v>
      </c>
      <c r="K7" s="88" t="n">
        <v>48213</v>
      </c>
      <c r="L7" s="88" t="n">
        <v>48579</v>
      </c>
    </row>
    <row r="8" ht="15" customHeight="1">
      <c r="B8" s="46" t="inlineStr">
        <is>
          <t>Period</t>
        </is>
      </c>
      <c r="C8" s="34" t="inlineStr"/>
      <c r="E8" s="48" t="inlineStr">
        <is>
          <t>LTM</t>
        </is>
      </c>
      <c r="F8" s="48" t="inlineStr">
        <is>
          <t>2026E</t>
        </is>
      </c>
      <c r="G8" s="48" t="inlineStr">
        <is>
          <t>2027E</t>
        </is>
      </c>
      <c r="H8" s="48" t="inlineStr">
        <is>
          <t>2028E</t>
        </is>
      </c>
      <c r="I8" s="48" t="inlineStr">
        <is>
          <t>2029E</t>
        </is>
      </c>
      <c r="J8" s="48" t="inlineStr">
        <is>
          <t>2030E</t>
        </is>
      </c>
      <c r="K8" s="48" t="inlineStr">
        <is>
          <t>2031E</t>
        </is>
      </c>
      <c r="L8" s="48" t="inlineStr">
        <is>
          <t>2032E</t>
        </is>
      </c>
    </row>
    <row r="9" ht="15" customHeight="1">
      <c r="B9" s="19" t="inlineStr">
        <is>
          <t>Year #</t>
        </is>
      </c>
      <c r="E9" s="49" t="n">
        <v>0</v>
      </c>
      <c r="F9" s="49" t="n">
        <v>1</v>
      </c>
      <c r="G9" s="49" t="n">
        <v>2</v>
      </c>
      <c r="H9" s="49" t="n">
        <v>3</v>
      </c>
      <c r="I9" s="49" t="n">
        <v>4</v>
      </c>
      <c r="J9" s="49" t="n">
        <v>5</v>
      </c>
      <c r="K9" s="49" t="n">
        <v>6</v>
      </c>
      <c r="L9" s="49" t="n">
        <v>7</v>
      </c>
    </row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pageMargins left="0.3" right="0.3" top="0.5" bottom="0.5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3"/>
  <sheetViews>
    <sheetView showGridLines="0" workbookViewId="0">
      <pane xSplit="4" ySplit="9" topLeftCell="E10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2" customWidth="1" min="2" max="2"/>
    <col width="16" customWidth="1" min="3" max="3"/>
    <col width="2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15" customHeight="1">
      <c r="A1" s="26" t="n"/>
      <c r="B1" s="27" t="inlineStr">
        <is>
          <t>LBO Model Builder (Training Simulation)</t>
        </is>
      </c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</row>
    <row r="2" ht="16" customHeight="1">
      <c r="A2" s="28" t="n"/>
      <c r="B2" s="2" t="inlineStr">
        <is>
          <t>CHECKS:</t>
        </is>
      </c>
      <c r="C2" s="3">
        <f>HYPERLINK("#'90_CHECKS'!B6",'90_CHECKS'!$C$22)</f>
        <v/>
      </c>
      <c r="D2" s="28" t="n"/>
      <c r="E2" s="28" t="n"/>
      <c r="F2" s="28" t="n"/>
      <c r="G2" s="28" t="n"/>
      <c r="H2" s="28" t="n"/>
      <c r="I2" s="28" t="n"/>
      <c r="J2" s="28" t="n"/>
      <c r="K2" s="28" t="n"/>
      <c r="L2" s="28" t="n"/>
      <c r="M2" s="28" t="n"/>
      <c r="N2" s="28" t="n"/>
    </row>
    <row r="3" ht="15" customHeight="1">
      <c r="A3" s="28" t="n"/>
      <c r="B3" s="29" t="inlineStr">
        <is>
          <t>Checks:</t>
        </is>
      </c>
      <c r="C3" s="30">
        <f>HYPERLINK("#'90_CHECKS'!B2","Go to 90_CHECKS")</f>
        <v/>
      </c>
      <c r="D3" s="28" t="n"/>
      <c r="E3" s="28" t="n"/>
      <c r="F3" s="28" t="n"/>
      <c r="G3" s="28" t="n"/>
      <c r="H3" s="28" t="n"/>
      <c r="I3" s="28" t="n"/>
      <c r="J3" s="28" t="n"/>
      <c r="K3" s="28" t="n"/>
      <c r="L3" s="28" t="n"/>
      <c r="M3" s="28" t="n"/>
      <c r="N3" s="28" t="n"/>
    </row>
    <row r="4" ht="15" customHeight="1">
      <c r="A4" s="28" t="n"/>
      <c r="B4" s="29" t="inlineStr">
        <is>
          <t>Units:</t>
        </is>
      </c>
      <c r="C4" s="29" t="inlineStr">
        <is>
          <t>DKKm</t>
        </is>
      </c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</row>
    <row r="5" ht="15" customHeight="1">
      <c r="A5" s="28" t="n"/>
      <c r="B5" s="29" t="inlineStr">
        <is>
          <t>Version:</t>
        </is>
      </c>
      <c r="C5" s="29" t="inlineStr">
        <is>
          <t>v0.1</t>
        </is>
      </c>
      <c r="D5" s="28" t="n"/>
      <c r="E5" s="28" t="n"/>
      <c r="F5" s="28" t="n"/>
      <c r="G5" s="28" t="n"/>
      <c r="H5" s="28" t="n"/>
      <c r="I5" s="28" t="n"/>
      <c r="J5" s="28" t="n"/>
      <c r="K5" s="28" t="n"/>
      <c r="L5" s="28" t="n"/>
      <c r="M5" s="28" t="n"/>
      <c r="N5" s="28" t="n"/>
    </row>
    <row r="6" ht="15" customHeight="1">
      <c r="A6" s="28" t="n"/>
      <c r="B6" s="29" t="inlineStr">
        <is>
          <t>Date:</t>
        </is>
      </c>
      <c r="C6" s="82" t="n">
        <v>46069</v>
      </c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</row>
    <row r="7" ht="15" customHeight="1">
      <c r="B7" s="46" t="inlineStr">
        <is>
          <t>Period end</t>
        </is>
      </c>
      <c r="C7" s="34" t="inlineStr"/>
      <c r="E7" s="88" t="n">
        <v>46022</v>
      </c>
      <c r="F7" s="88" t="n">
        <v>46387</v>
      </c>
      <c r="G7" s="88" t="n">
        <v>46752</v>
      </c>
      <c r="H7" s="88" t="n">
        <v>47118</v>
      </c>
      <c r="I7" s="88" t="n">
        <v>47483</v>
      </c>
      <c r="J7" s="88" t="n">
        <v>47848</v>
      </c>
      <c r="K7" s="88" t="n">
        <v>48213</v>
      </c>
      <c r="L7" s="88" t="n">
        <v>48579</v>
      </c>
    </row>
    <row r="8" ht="15" customHeight="1">
      <c r="B8" s="46" t="inlineStr">
        <is>
          <t>Period</t>
        </is>
      </c>
      <c r="C8" s="34" t="inlineStr"/>
      <c r="E8" s="48" t="inlineStr">
        <is>
          <t>LTM</t>
        </is>
      </c>
      <c r="F8" s="48" t="inlineStr">
        <is>
          <t>2026E</t>
        </is>
      </c>
      <c r="G8" s="48" t="inlineStr">
        <is>
          <t>2027E</t>
        </is>
      </c>
      <c r="H8" s="48" t="inlineStr">
        <is>
          <t>2028E</t>
        </is>
      </c>
      <c r="I8" s="48" t="inlineStr">
        <is>
          <t>2029E</t>
        </is>
      </c>
      <c r="J8" s="48" t="inlineStr">
        <is>
          <t>2030E</t>
        </is>
      </c>
      <c r="K8" s="48" t="inlineStr">
        <is>
          <t>2031E</t>
        </is>
      </c>
      <c r="L8" s="48" t="inlineStr">
        <is>
          <t>2032E</t>
        </is>
      </c>
    </row>
    <row r="9" ht="15" customHeight="1">
      <c r="B9" s="19" t="inlineStr">
        <is>
          <t>Year #</t>
        </is>
      </c>
      <c r="E9" s="49" t="n">
        <v>0</v>
      </c>
      <c r="F9" s="49" t="n">
        <v>1</v>
      </c>
      <c r="G9" s="49" t="n">
        <v>2</v>
      </c>
      <c r="H9" s="49" t="n">
        <v>3</v>
      </c>
      <c r="I9" s="49" t="n">
        <v>4</v>
      </c>
      <c r="J9" s="49" t="n">
        <v>5</v>
      </c>
      <c r="K9" s="49" t="n">
        <v>6</v>
      </c>
      <c r="L9" s="49" t="n">
        <v>7</v>
      </c>
    </row>
    <row r="10" ht="18" customHeight="1">
      <c r="B10" s="32" t="inlineStr">
        <is>
          <t>OPERATING DRIVERS (SCENARIO-DRIVEN)</t>
        </is>
      </c>
      <c r="C10" s="33" t="n"/>
      <c r="D10" s="33" t="n"/>
      <c r="E10" s="33" t="n"/>
      <c r="F10" s="33" t="n"/>
      <c r="G10" s="33" t="n"/>
      <c r="H10" s="33" t="n"/>
      <c r="I10" s="33" t="n"/>
      <c r="J10" s="33" t="n"/>
      <c r="K10" s="33" t="n"/>
      <c r="L10" s="33" t="n"/>
      <c r="M10" s="33" t="n"/>
      <c r="N10" s="33" t="n"/>
    </row>
    <row r="11" ht="15" customHeight="1"/>
    <row r="12" ht="15" customHeight="1">
      <c r="B12" s="50" t="inlineStr">
        <is>
          <t>Revenue (DKKm)</t>
        </is>
      </c>
      <c r="C12" s="51" t="inlineStr">
        <is>
          <t>DKKm</t>
        </is>
      </c>
      <c r="E12" s="80">
        <f>'01_CONTROL'!$D$30</f>
        <v/>
      </c>
      <c r="F12" s="87">
        <f>E12*(1+F13)</f>
        <v/>
      </c>
      <c r="G12" s="87">
        <f>F12*(1+G13)</f>
        <v/>
      </c>
      <c r="H12" s="87">
        <f>G12*(1+H13)</f>
        <v/>
      </c>
      <c r="I12" s="87">
        <f>H12*(1+I13)</f>
        <v/>
      </c>
      <c r="J12" s="87">
        <f>I12*(1+J13)</f>
        <v/>
      </c>
      <c r="K12" s="87">
        <f>J12*(1+K13)</f>
        <v/>
      </c>
      <c r="L12" s="87">
        <f>K12*(1+L13)</f>
        <v/>
      </c>
    </row>
    <row r="13" ht="15" customHeight="1">
      <c r="B13" s="50" t="inlineStr">
        <is>
          <t>Revenue growth (active)</t>
        </is>
      </c>
      <c r="C13" s="51" t="inlineStr">
        <is>
          <t>%</t>
        </is>
      </c>
      <c r="E13" s="20" t="inlineStr"/>
      <c r="F13" s="89">
        <f>'01_CONTROL'!$G$39</f>
        <v/>
      </c>
      <c r="G13" s="89">
        <f>'01_CONTROL'!$G$39</f>
        <v/>
      </c>
      <c r="H13" s="89">
        <f>'01_CONTROL'!$G$39</f>
        <v/>
      </c>
      <c r="I13" s="89">
        <f>'01_CONTROL'!$G$39</f>
        <v/>
      </c>
      <c r="J13" s="89">
        <f>'01_CONTROL'!$G$39</f>
        <v/>
      </c>
      <c r="K13" s="89">
        <f>'01_CONTROL'!$G$39</f>
        <v/>
      </c>
      <c r="L13" s="89">
        <f>'01_CONTROL'!$G$39</f>
        <v/>
      </c>
    </row>
    <row r="14" ht="15" customHeight="1"/>
    <row r="15" ht="15" customHeight="1">
      <c r="B15" s="50" t="inlineStr">
        <is>
          <t>EBITDA margin (active ramp)</t>
        </is>
      </c>
      <c r="C15" s="51" t="inlineStr">
        <is>
          <t>%</t>
        </is>
      </c>
      <c r="E15" s="89">
        <f>'01_CONTROL'!$D$31</f>
        <v/>
      </c>
      <c r="F15" s="89">
        <f>'01_CONTROL'!$D$31 + MIN(1,F9/'01_CONTROL'!$D$27)*('01_CONTROL'!$G$40-'01_CONTROL'!$D$31)</f>
        <v/>
      </c>
      <c r="G15" s="89">
        <f>'01_CONTROL'!$D$31 + MIN(1,G9/'01_CONTROL'!$D$27)*('01_CONTROL'!$G$40-'01_CONTROL'!$D$31)</f>
        <v/>
      </c>
      <c r="H15" s="89">
        <f>'01_CONTROL'!$D$31 + MIN(1,H9/'01_CONTROL'!$D$27)*('01_CONTROL'!$G$40-'01_CONTROL'!$D$31)</f>
        <v/>
      </c>
      <c r="I15" s="89">
        <f>'01_CONTROL'!$D$31 + MIN(1,I9/'01_CONTROL'!$D$27)*('01_CONTROL'!$G$40-'01_CONTROL'!$D$31)</f>
        <v/>
      </c>
      <c r="J15" s="89">
        <f>'01_CONTROL'!$D$31 + MIN(1,J9/'01_CONTROL'!$D$27)*('01_CONTROL'!$G$40-'01_CONTROL'!$D$31)</f>
        <v/>
      </c>
      <c r="K15" s="89">
        <f>'01_CONTROL'!$D$31 + MIN(1,K9/'01_CONTROL'!$D$27)*('01_CONTROL'!$G$40-'01_CONTROL'!$D$31)</f>
        <v/>
      </c>
      <c r="L15" s="89">
        <f>'01_CONTROL'!$D$31 + MIN(1,L9/'01_CONTROL'!$D$27)*('01_CONTROL'!$G$40-'01_CONTROL'!$D$31)</f>
        <v/>
      </c>
    </row>
    <row r="16" ht="15" customHeight="1">
      <c r="B16" s="50" t="inlineStr">
        <is>
          <t>EBITDA (DKKm)</t>
        </is>
      </c>
      <c r="C16" s="51" t="inlineStr">
        <is>
          <t>DKKm</t>
        </is>
      </c>
      <c r="E16" s="87">
        <f>E12*E15</f>
        <v/>
      </c>
      <c r="F16" s="87">
        <f>F12*F15</f>
        <v/>
      </c>
      <c r="G16" s="87">
        <f>G12*G15</f>
        <v/>
      </c>
      <c r="H16" s="87">
        <f>H12*H15</f>
        <v/>
      </c>
      <c r="I16" s="87">
        <f>I12*I15</f>
        <v/>
      </c>
      <c r="J16" s="87">
        <f>J12*J15</f>
        <v/>
      </c>
      <c r="K16" s="87">
        <f>K12*K15</f>
        <v/>
      </c>
      <c r="L16" s="87">
        <f>L12*L15</f>
        <v/>
      </c>
    </row>
    <row r="17" ht="15" customHeight="1"/>
    <row r="18" ht="15" customHeight="1">
      <c r="B18" s="50" t="inlineStr">
        <is>
          <t>Capex (% revenue)</t>
        </is>
      </c>
      <c r="C18" s="51" t="inlineStr">
        <is>
          <t>%</t>
        </is>
      </c>
      <c r="E18" s="20" t="inlineStr"/>
      <c r="F18" s="89">
        <f>'01_CONTROL'!$G$41</f>
        <v/>
      </c>
      <c r="G18" s="89">
        <f>'01_CONTROL'!$G$41</f>
        <v/>
      </c>
      <c r="H18" s="89">
        <f>'01_CONTROL'!$G$41</f>
        <v/>
      </c>
      <c r="I18" s="89">
        <f>'01_CONTROL'!$G$41</f>
        <v/>
      </c>
      <c r="J18" s="89">
        <f>'01_CONTROL'!$G$41</f>
        <v/>
      </c>
      <c r="K18" s="89">
        <f>'01_CONTROL'!$G$41</f>
        <v/>
      </c>
      <c r="L18" s="89">
        <f>'01_CONTROL'!$G$41</f>
        <v/>
      </c>
    </row>
    <row r="19" ht="15" customHeight="1">
      <c r="B19" s="50" t="inlineStr">
        <is>
          <t>D&amp;A (% revenue)</t>
        </is>
      </c>
      <c r="C19" s="51" t="inlineStr">
        <is>
          <t>%</t>
        </is>
      </c>
      <c r="E19" s="20" t="inlineStr"/>
      <c r="F19" s="89">
        <f>'01_CONTROL'!$G$42</f>
        <v/>
      </c>
      <c r="G19" s="89">
        <f>'01_CONTROL'!$G$42</f>
        <v/>
      </c>
      <c r="H19" s="89">
        <f>'01_CONTROL'!$G$42</f>
        <v/>
      </c>
      <c r="I19" s="89">
        <f>'01_CONTROL'!$G$42</f>
        <v/>
      </c>
      <c r="J19" s="89">
        <f>'01_CONTROL'!$G$42</f>
        <v/>
      </c>
      <c r="K19" s="89">
        <f>'01_CONTROL'!$G$42</f>
        <v/>
      </c>
      <c r="L19" s="89">
        <f>'01_CONTROL'!$G$42</f>
        <v/>
      </c>
    </row>
    <row r="20" ht="15" customHeight="1"/>
    <row r="21" ht="15" customHeight="1">
      <c r="B21" s="50" t="inlineStr">
        <is>
          <t>NWC method (active)</t>
        </is>
      </c>
      <c r="C21" s="51" t="inlineStr">
        <is>
          <t>text</t>
        </is>
      </c>
      <c r="E21" s="53">
        <f>'01_CONTROL'!$G$43</f>
        <v/>
      </c>
    </row>
    <row r="22" ht="15" customHeight="1">
      <c r="B22" s="50" t="inlineStr">
        <is>
          <t>NWC (% revenue) if PctRev</t>
        </is>
      </c>
      <c r="C22" s="51" t="inlineStr">
        <is>
          <t>%</t>
        </is>
      </c>
      <c r="F22" s="90">
        <f>'01_CONTROL'!$G$44</f>
        <v/>
      </c>
    </row>
    <row r="23" ht="15" customHeight="1">
      <c r="B23" s="50" t="inlineStr">
        <is>
          <t>DSO / DPO / DIO (days) if DSO</t>
        </is>
      </c>
      <c r="C23" s="51" t="inlineStr">
        <is>
          <t>days</t>
        </is>
      </c>
      <c r="F23" s="53">
        <f>'01_CONTROL'!$G$45</f>
        <v/>
      </c>
      <c r="G23" s="53">
        <f>'01_CONTROL'!$G$46</f>
        <v/>
      </c>
      <c r="H23" s="53">
        <f>'01_CONTROL'!$G$47</f>
        <v/>
      </c>
    </row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pageMargins left="0.3" right="0.3" top="0.5" bottom="0.5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7"/>
  <sheetViews>
    <sheetView showGridLines="0" workbookViewId="0">
      <pane xSplit="4" ySplit="9" topLeftCell="E10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2" customWidth="1" min="2" max="2"/>
    <col width="16" customWidth="1" min="3" max="3"/>
    <col width="2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15" customHeight="1">
      <c r="A1" s="26" t="n"/>
      <c r="B1" s="27" t="inlineStr">
        <is>
          <t>LBO Model Builder (Training Simulation)</t>
        </is>
      </c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</row>
    <row r="2" ht="16" customHeight="1">
      <c r="A2" s="28" t="n"/>
      <c r="B2" s="2" t="inlineStr">
        <is>
          <t>CHECKS:</t>
        </is>
      </c>
      <c r="C2" s="3">
        <f>HYPERLINK("#'90_CHECKS'!B6",'90_CHECKS'!$C$22)</f>
        <v/>
      </c>
      <c r="D2" s="28" t="n"/>
      <c r="E2" s="28" t="n"/>
      <c r="F2" s="28" t="n"/>
      <c r="G2" s="28" t="n"/>
      <c r="H2" s="28" t="n"/>
      <c r="I2" s="28" t="n"/>
      <c r="J2" s="28" t="n"/>
      <c r="K2" s="28" t="n"/>
      <c r="L2" s="28" t="n"/>
      <c r="M2" s="28" t="n"/>
      <c r="N2" s="28" t="n"/>
    </row>
    <row r="3" ht="15" customHeight="1">
      <c r="A3" s="28" t="n"/>
      <c r="B3" s="29" t="inlineStr">
        <is>
          <t>Checks:</t>
        </is>
      </c>
      <c r="C3" s="30">
        <f>HYPERLINK("#'90_CHECKS'!B2","Go to 90_CHECKS")</f>
        <v/>
      </c>
      <c r="D3" s="28" t="n"/>
      <c r="E3" s="28" t="n"/>
      <c r="F3" s="28" t="n"/>
      <c r="G3" s="28" t="n"/>
      <c r="H3" s="28" t="n"/>
      <c r="I3" s="28" t="n"/>
      <c r="J3" s="28" t="n"/>
      <c r="K3" s="28" t="n"/>
      <c r="L3" s="28" t="n"/>
      <c r="M3" s="28" t="n"/>
      <c r="N3" s="28" t="n"/>
    </row>
    <row r="4" ht="15" customHeight="1">
      <c r="A4" s="28" t="n"/>
      <c r="B4" s="29" t="inlineStr">
        <is>
          <t>Units:</t>
        </is>
      </c>
      <c r="C4" s="29" t="inlineStr">
        <is>
          <t>DKKm</t>
        </is>
      </c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</row>
    <row r="5" ht="15" customHeight="1">
      <c r="A5" s="28" t="n"/>
      <c r="B5" s="29" t="inlineStr">
        <is>
          <t>Version:</t>
        </is>
      </c>
      <c r="C5" s="29" t="inlineStr">
        <is>
          <t>v0.1</t>
        </is>
      </c>
      <c r="D5" s="28" t="n"/>
      <c r="E5" s="28" t="n"/>
      <c r="F5" s="28" t="n"/>
      <c r="G5" s="28" t="n"/>
      <c r="H5" s="28" t="n"/>
      <c r="I5" s="28" t="n"/>
      <c r="J5" s="28" t="n"/>
      <c r="K5" s="28" t="n"/>
      <c r="L5" s="28" t="n"/>
      <c r="M5" s="28" t="n"/>
      <c r="N5" s="28" t="n"/>
    </row>
    <row r="6" ht="15" customHeight="1">
      <c r="A6" s="28" t="n"/>
      <c r="B6" s="29" t="inlineStr">
        <is>
          <t>Date:</t>
        </is>
      </c>
      <c r="C6" s="82" t="n">
        <v>46069</v>
      </c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</row>
    <row r="7" ht="15" customHeight="1">
      <c r="B7" s="46" t="inlineStr">
        <is>
          <t>Period end</t>
        </is>
      </c>
      <c r="C7" s="34" t="inlineStr"/>
      <c r="E7" s="88" t="n">
        <v>46022</v>
      </c>
      <c r="F7" s="88" t="n">
        <v>46387</v>
      </c>
      <c r="G7" s="88" t="n">
        <v>46752</v>
      </c>
      <c r="H7" s="88" t="n">
        <v>47118</v>
      </c>
      <c r="I7" s="88" t="n">
        <v>47483</v>
      </c>
      <c r="J7" s="88" t="n">
        <v>47848</v>
      </c>
      <c r="K7" s="88" t="n">
        <v>48213</v>
      </c>
      <c r="L7" s="88" t="n">
        <v>48579</v>
      </c>
    </row>
    <row r="8" ht="15" customHeight="1">
      <c r="B8" s="46" t="inlineStr">
        <is>
          <t>Period</t>
        </is>
      </c>
      <c r="C8" s="34" t="inlineStr"/>
      <c r="E8" s="48" t="inlineStr">
        <is>
          <t>LTM</t>
        </is>
      </c>
      <c r="F8" s="48" t="inlineStr">
        <is>
          <t>2026E</t>
        </is>
      </c>
      <c r="G8" s="48" t="inlineStr">
        <is>
          <t>2027E</t>
        </is>
      </c>
      <c r="H8" s="48" t="inlineStr">
        <is>
          <t>2028E</t>
        </is>
      </c>
      <c r="I8" s="48" t="inlineStr">
        <is>
          <t>2029E</t>
        </is>
      </c>
      <c r="J8" s="48" t="inlineStr">
        <is>
          <t>2030E</t>
        </is>
      </c>
      <c r="K8" s="48" t="inlineStr">
        <is>
          <t>2031E</t>
        </is>
      </c>
      <c r="L8" s="48" t="inlineStr">
        <is>
          <t>2032E</t>
        </is>
      </c>
    </row>
    <row r="9" ht="15" customHeight="1">
      <c r="B9" s="19" t="inlineStr">
        <is>
          <t>Year #</t>
        </is>
      </c>
      <c r="E9" s="49" t="n">
        <v>0</v>
      </c>
      <c r="F9" s="49" t="n">
        <v>1</v>
      </c>
      <c r="G9" s="49" t="n">
        <v>2</v>
      </c>
      <c r="H9" s="49" t="n">
        <v>3</v>
      </c>
      <c r="I9" s="49" t="n">
        <v>4</v>
      </c>
      <c r="J9" s="49" t="n">
        <v>5</v>
      </c>
      <c r="K9" s="49" t="n">
        <v>6</v>
      </c>
      <c r="L9" s="49" t="n">
        <v>7</v>
      </c>
    </row>
    <row r="10" ht="18" customHeight="1">
      <c r="B10" s="32" t="inlineStr">
        <is>
          <t>OPERATING MODEL (3-STATEMENT-LITE)</t>
        </is>
      </c>
      <c r="C10" s="33" t="n"/>
      <c r="D10" s="33" t="n"/>
      <c r="E10" s="33" t="n"/>
      <c r="F10" s="33" t="n"/>
      <c r="G10" s="33" t="n"/>
      <c r="H10" s="33" t="n"/>
      <c r="I10" s="33" t="n"/>
      <c r="J10" s="33" t="n"/>
      <c r="K10" s="33" t="n"/>
      <c r="L10" s="33" t="n"/>
      <c r="M10" s="33" t="n"/>
      <c r="N10" s="33" t="n"/>
    </row>
    <row r="11" ht="15" customHeight="1"/>
    <row r="12" ht="18" customHeight="1">
      <c r="B12" s="32" t="inlineStr">
        <is>
          <t>INCOME STATEMENT (DKKM)</t>
        </is>
      </c>
      <c r="C12" s="33" t="n"/>
      <c r="D12" s="33" t="n"/>
      <c r="E12" s="33" t="n"/>
      <c r="F12" s="33" t="n"/>
      <c r="G12" s="33" t="n"/>
      <c r="H12" s="33" t="n"/>
      <c r="I12" s="33" t="n"/>
      <c r="J12" s="33" t="n"/>
      <c r="K12" s="33" t="n"/>
      <c r="L12" s="33" t="n"/>
      <c r="M12" s="33" t="n"/>
      <c r="N12" s="33" t="n"/>
    </row>
    <row r="13" ht="15" customHeight="1"/>
    <row r="14" ht="15" customHeight="1">
      <c r="B14" s="35" t="inlineStr">
        <is>
          <t>Revenue</t>
        </is>
      </c>
      <c r="C14" s="34" t="inlineStr">
        <is>
          <t>DKKm</t>
        </is>
      </c>
      <c r="E14" s="80">
        <f>'03_DRIVERS_AND_FORECAST'!E12</f>
        <v/>
      </c>
      <c r="F14" s="80">
        <f>'03_DRIVERS_AND_FORECAST'!F12</f>
        <v/>
      </c>
      <c r="G14" s="80">
        <f>'03_DRIVERS_AND_FORECAST'!G12</f>
        <v/>
      </c>
      <c r="H14" s="80">
        <f>'03_DRIVERS_AND_FORECAST'!H12</f>
        <v/>
      </c>
      <c r="I14" s="80">
        <f>'03_DRIVERS_AND_FORECAST'!I12</f>
        <v/>
      </c>
      <c r="J14" s="80">
        <f>'03_DRIVERS_AND_FORECAST'!J12</f>
        <v/>
      </c>
      <c r="K14" s="80">
        <f>'03_DRIVERS_AND_FORECAST'!K12</f>
        <v/>
      </c>
      <c r="L14" s="80">
        <f>'03_DRIVERS_AND_FORECAST'!L12</f>
        <v/>
      </c>
    </row>
    <row r="15" ht="15" customHeight="1">
      <c r="B15" s="35" t="inlineStr">
        <is>
          <t>EBITDA</t>
        </is>
      </c>
      <c r="C15" s="34" t="inlineStr">
        <is>
          <t>DKKm</t>
        </is>
      </c>
      <c r="E15" s="80">
        <f>'03_DRIVERS_AND_FORECAST'!E16</f>
        <v/>
      </c>
      <c r="F15" s="80">
        <f>'03_DRIVERS_AND_FORECAST'!F16</f>
        <v/>
      </c>
      <c r="G15" s="80">
        <f>'03_DRIVERS_AND_FORECAST'!G16</f>
        <v/>
      </c>
      <c r="H15" s="80">
        <f>'03_DRIVERS_AND_FORECAST'!H16</f>
        <v/>
      </c>
      <c r="I15" s="80">
        <f>'03_DRIVERS_AND_FORECAST'!I16</f>
        <v/>
      </c>
      <c r="J15" s="80">
        <f>'03_DRIVERS_AND_FORECAST'!J16</f>
        <v/>
      </c>
      <c r="K15" s="80">
        <f>'03_DRIVERS_AND_FORECAST'!K16</f>
        <v/>
      </c>
      <c r="L15" s="80">
        <f>'03_DRIVERS_AND_FORECAST'!L16</f>
        <v/>
      </c>
    </row>
    <row r="16" ht="15" customHeight="1">
      <c r="B16" s="35" t="inlineStr">
        <is>
          <t>EBITDA margin</t>
        </is>
      </c>
      <c r="C16" s="34" t="inlineStr">
        <is>
          <t>%</t>
        </is>
      </c>
      <c r="E16" s="86">
        <f>IF(E14=0,0,E15/E14)</f>
        <v/>
      </c>
      <c r="F16" s="86">
        <f>IF(F14=0,0,F15/F14)</f>
        <v/>
      </c>
      <c r="G16" s="86">
        <f>IF(G14=0,0,G15/G14)</f>
        <v/>
      </c>
      <c r="H16" s="86">
        <f>IF(H14=0,0,H15/H14)</f>
        <v/>
      </c>
      <c r="I16" s="86">
        <f>IF(I14=0,0,I15/I14)</f>
        <v/>
      </c>
      <c r="J16" s="86">
        <f>IF(J14=0,0,J15/J14)</f>
        <v/>
      </c>
      <c r="K16" s="86">
        <f>IF(K14=0,0,K15/K14)</f>
        <v/>
      </c>
      <c r="L16" s="86">
        <f>IF(L14=0,0,L15/L14)</f>
        <v/>
      </c>
    </row>
    <row r="17" ht="15" customHeight="1">
      <c r="B17" s="35" t="inlineStr">
        <is>
          <t>D&amp;A</t>
        </is>
      </c>
      <c r="C17" s="34" t="inlineStr">
        <is>
          <t>DKKm</t>
        </is>
      </c>
      <c r="E17" s="80">
        <f>E14*'03_DRIVERS_AND_FORECAST'!E19</f>
        <v/>
      </c>
      <c r="F17" s="80">
        <f>F14*'03_DRIVERS_AND_FORECAST'!F19</f>
        <v/>
      </c>
      <c r="G17" s="80">
        <f>G14*'03_DRIVERS_AND_FORECAST'!G19</f>
        <v/>
      </c>
      <c r="H17" s="80">
        <f>H14*'03_DRIVERS_AND_FORECAST'!H19</f>
        <v/>
      </c>
      <c r="I17" s="80">
        <f>I14*'03_DRIVERS_AND_FORECAST'!I19</f>
        <v/>
      </c>
      <c r="J17" s="80">
        <f>J14*'03_DRIVERS_AND_FORECAST'!J19</f>
        <v/>
      </c>
      <c r="K17" s="80">
        <f>K14*'03_DRIVERS_AND_FORECAST'!K19</f>
        <v/>
      </c>
      <c r="L17" s="80">
        <f>L14*'03_DRIVERS_AND_FORECAST'!L19</f>
        <v/>
      </c>
    </row>
    <row r="18" ht="15" customHeight="1">
      <c r="B18" s="35" t="inlineStr">
        <is>
          <t>EBIT</t>
        </is>
      </c>
      <c r="C18" s="34" t="inlineStr">
        <is>
          <t>DKKm</t>
        </is>
      </c>
      <c r="E18" s="87">
        <f>E15-E17</f>
        <v/>
      </c>
      <c r="F18" s="87">
        <f>F15-F17</f>
        <v/>
      </c>
      <c r="G18" s="87">
        <f>G15-G17</f>
        <v/>
      </c>
      <c r="H18" s="87">
        <f>H15-H17</f>
        <v/>
      </c>
      <c r="I18" s="87">
        <f>I15-I17</f>
        <v/>
      </c>
      <c r="J18" s="87">
        <f>J15-J17</f>
        <v/>
      </c>
      <c r="K18" s="87">
        <f>K15-K17</f>
        <v/>
      </c>
      <c r="L18" s="87">
        <f>L15-L17</f>
        <v/>
      </c>
    </row>
    <row r="19" ht="15" customHeight="1">
      <c r="B19" s="35" t="inlineStr">
        <is>
          <t>Unlevered cash taxes</t>
        </is>
      </c>
      <c r="C19" s="34" t="inlineStr">
        <is>
          <t>DKKm</t>
        </is>
      </c>
      <c r="E19" s="80">
        <f>MAX(0,E18)*'01_CONTROL'!$D$26</f>
        <v/>
      </c>
      <c r="F19" s="80">
        <f>MAX(0,F18)*'01_CONTROL'!$D$26</f>
        <v/>
      </c>
      <c r="G19" s="80">
        <f>MAX(0,G18)*'01_CONTROL'!$D$26</f>
        <v/>
      </c>
      <c r="H19" s="80">
        <f>MAX(0,H18)*'01_CONTROL'!$D$26</f>
        <v/>
      </c>
      <c r="I19" s="80">
        <f>MAX(0,I18)*'01_CONTROL'!$D$26</f>
        <v/>
      </c>
      <c r="J19" s="80">
        <f>MAX(0,J18)*'01_CONTROL'!$D$26</f>
        <v/>
      </c>
      <c r="K19" s="80">
        <f>MAX(0,K18)*'01_CONTROL'!$D$26</f>
        <v/>
      </c>
      <c r="L19" s="80">
        <f>MAX(0,L18)*'01_CONTROL'!$D$26</f>
        <v/>
      </c>
    </row>
    <row r="20" ht="15" customHeight="1">
      <c r="B20" s="35" t="inlineStr">
        <is>
          <t>NOPAT</t>
        </is>
      </c>
      <c r="C20" s="34" t="inlineStr">
        <is>
          <t>DKKm</t>
        </is>
      </c>
      <c r="E20" s="87">
        <f>E18-E19</f>
        <v/>
      </c>
      <c r="F20" s="87">
        <f>F18-F19</f>
        <v/>
      </c>
      <c r="G20" s="87">
        <f>G18-G19</f>
        <v/>
      </c>
      <c r="H20" s="87">
        <f>H18-H19</f>
        <v/>
      </c>
      <c r="I20" s="87">
        <f>I18-I19</f>
        <v/>
      </c>
      <c r="J20" s="87">
        <f>J18-J19</f>
        <v/>
      </c>
      <c r="K20" s="87">
        <f>K18-K19</f>
        <v/>
      </c>
      <c r="L20" s="87">
        <f>L18-L19</f>
        <v/>
      </c>
    </row>
    <row r="21" ht="15" customHeight="1"/>
    <row r="22" ht="18" customHeight="1">
      <c r="B22" s="32" t="inlineStr">
        <is>
          <t>WORKING CAPITAL (DKKM)</t>
        </is>
      </c>
      <c r="C22" s="33" t="n"/>
      <c r="D22" s="33" t="n"/>
      <c r="E22" s="33" t="n"/>
      <c r="F22" s="33" t="n"/>
      <c r="G22" s="33" t="n"/>
      <c r="H22" s="33" t="n"/>
      <c r="I22" s="33" t="n"/>
      <c r="J22" s="33" t="n"/>
      <c r="K22" s="33" t="n"/>
      <c r="L22" s="33" t="n"/>
      <c r="M22" s="33" t="n"/>
      <c r="N22" s="33" t="n"/>
    </row>
    <row r="23" ht="15" customHeight="1"/>
    <row r="24" ht="15" customHeight="1">
      <c r="B24" s="34" t="inlineStr">
        <is>
          <t>NWC method flag (1=PctRev,0=DSO)</t>
        </is>
      </c>
      <c r="C24" s="34" t="inlineStr">
        <is>
          <t>flag</t>
        </is>
      </c>
      <c r="E24" s="55">
        <f>IF('03_DRIVERS_AND_FORECAST'!$E$21="PctRev",1,0)</f>
        <v/>
      </c>
      <c r="F24" s="55">
        <f>IF('03_DRIVERS_AND_FORECAST'!$E$21="PctRev",1,0)</f>
        <v/>
      </c>
      <c r="G24" s="55">
        <f>IF('03_DRIVERS_AND_FORECAST'!$E$21="PctRev",1,0)</f>
        <v/>
      </c>
      <c r="H24" s="55">
        <f>IF('03_DRIVERS_AND_FORECAST'!$E$21="PctRev",1,0)</f>
        <v/>
      </c>
      <c r="I24" s="55">
        <f>IF('03_DRIVERS_AND_FORECAST'!$E$21="PctRev",1,0)</f>
        <v/>
      </c>
      <c r="J24" s="55">
        <f>IF('03_DRIVERS_AND_FORECAST'!$E$21="PctRev",1,0)</f>
        <v/>
      </c>
      <c r="K24" s="55">
        <f>IF('03_DRIVERS_AND_FORECAST'!$E$21="PctRev",1,0)</f>
        <v/>
      </c>
      <c r="L24" s="55">
        <f>IF('03_DRIVERS_AND_FORECAST'!$E$21="PctRev",1,0)</f>
        <v/>
      </c>
    </row>
    <row r="25" ht="15" customHeight="1">
      <c r="B25" s="34" t="inlineStr">
        <is>
          <t>NWC (PctRev method)</t>
        </is>
      </c>
      <c r="C25" s="34" t="inlineStr">
        <is>
          <t>DKKm</t>
        </is>
      </c>
      <c r="E25" s="80">
        <f>E14*'03_DRIVERS_AND_FORECAST'!$F$22</f>
        <v/>
      </c>
      <c r="F25" s="80">
        <f>F14*'03_DRIVERS_AND_FORECAST'!$F$22</f>
        <v/>
      </c>
      <c r="G25" s="80">
        <f>G14*'03_DRIVERS_AND_FORECAST'!$F$22</f>
        <v/>
      </c>
      <c r="H25" s="80">
        <f>H14*'03_DRIVERS_AND_FORECAST'!$F$22</f>
        <v/>
      </c>
      <c r="I25" s="80">
        <f>I14*'03_DRIVERS_AND_FORECAST'!$F$22</f>
        <v/>
      </c>
      <c r="J25" s="80">
        <f>J14*'03_DRIVERS_AND_FORECAST'!$F$22</f>
        <v/>
      </c>
      <c r="K25" s="80">
        <f>K14*'03_DRIVERS_AND_FORECAST'!$F$22</f>
        <v/>
      </c>
      <c r="L25" s="80">
        <f>L14*'03_DRIVERS_AND_FORECAST'!$F$22</f>
        <v/>
      </c>
    </row>
    <row r="26" ht="15" customHeight="1"/>
    <row r="27" ht="15" customHeight="1">
      <c r="B27" s="34" t="inlineStr">
        <is>
          <t>Accounts receivable (DSO method)</t>
        </is>
      </c>
      <c r="C27" s="34" t="inlineStr">
        <is>
          <t>DKKm</t>
        </is>
      </c>
      <c r="E27" s="80">
        <f>E14/365*'03_DRIVERS_AND_FORECAST'!$F$23</f>
        <v/>
      </c>
      <c r="F27" s="80">
        <f>F14/365*'03_DRIVERS_AND_FORECAST'!$F$23</f>
        <v/>
      </c>
      <c r="G27" s="80">
        <f>G14/365*'03_DRIVERS_AND_FORECAST'!$F$23</f>
        <v/>
      </c>
      <c r="H27" s="80">
        <f>H14/365*'03_DRIVERS_AND_FORECAST'!$F$23</f>
        <v/>
      </c>
      <c r="I27" s="80">
        <f>I14/365*'03_DRIVERS_AND_FORECAST'!$F$23</f>
        <v/>
      </c>
      <c r="J27" s="80">
        <f>J14/365*'03_DRIVERS_AND_FORECAST'!$F$23</f>
        <v/>
      </c>
      <c r="K27" s="80">
        <f>K14/365*'03_DRIVERS_AND_FORECAST'!$F$23</f>
        <v/>
      </c>
      <c r="L27" s="80">
        <f>L14/365*'03_DRIVERS_AND_FORECAST'!$F$23</f>
        <v/>
      </c>
    </row>
    <row r="28" ht="15" customHeight="1">
      <c r="B28" s="34" t="inlineStr">
        <is>
          <t>Accounts payable (DPO method)</t>
        </is>
      </c>
      <c r="C28" s="34" t="inlineStr">
        <is>
          <t>DKKm</t>
        </is>
      </c>
      <c r="E28" s="80">
        <f>(E14-E15)/365*'03_DRIVERS_AND_FORECAST'!$G$23</f>
        <v/>
      </c>
      <c r="F28" s="80">
        <f>(F14-F15)/365*'03_DRIVERS_AND_FORECAST'!$G$23</f>
        <v/>
      </c>
      <c r="G28" s="80">
        <f>(G14-G15)/365*'03_DRIVERS_AND_FORECAST'!$G$23</f>
        <v/>
      </c>
      <c r="H28" s="80">
        <f>(H14-H15)/365*'03_DRIVERS_AND_FORECAST'!$G$23</f>
        <v/>
      </c>
      <c r="I28" s="80">
        <f>(I14-I15)/365*'03_DRIVERS_AND_FORECAST'!$G$23</f>
        <v/>
      </c>
      <c r="J28" s="80">
        <f>(J14-J15)/365*'03_DRIVERS_AND_FORECAST'!$G$23</f>
        <v/>
      </c>
      <c r="K28" s="80">
        <f>(K14-K15)/365*'03_DRIVERS_AND_FORECAST'!$G$23</f>
        <v/>
      </c>
      <c r="L28" s="80">
        <f>(L14-L15)/365*'03_DRIVERS_AND_FORECAST'!$G$23</f>
        <v/>
      </c>
    </row>
    <row r="29" ht="15" customHeight="1">
      <c r="B29" s="34" t="inlineStr">
        <is>
          <t>Net working capital (DSO method)</t>
        </is>
      </c>
      <c r="C29" s="34" t="inlineStr">
        <is>
          <t>DKKm</t>
        </is>
      </c>
      <c r="E29" s="87">
        <f>E27-E28</f>
        <v/>
      </c>
      <c r="F29" s="87">
        <f>F27-F28</f>
        <v/>
      </c>
      <c r="G29" s="87">
        <f>G27-G28</f>
        <v/>
      </c>
      <c r="H29" s="87">
        <f>H27-H28</f>
        <v/>
      </c>
      <c r="I29" s="87">
        <f>I27-I28</f>
        <v/>
      </c>
      <c r="J29" s="87">
        <f>J27-J28</f>
        <v/>
      </c>
      <c r="K29" s="87">
        <f>K27-K28</f>
        <v/>
      </c>
      <c r="L29" s="87">
        <f>L27-L28</f>
        <v/>
      </c>
    </row>
    <row r="30" ht="15" customHeight="1"/>
    <row r="31" ht="15" customHeight="1">
      <c r="B31" s="34" t="inlineStr">
        <is>
          <t>Selected NWC</t>
        </is>
      </c>
      <c r="C31" s="34" t="inlineStr">
        <is>
          <t>DKKm</t>
        </is>
      </c>
      <c r="E31" s="87">
        <f>IF(E24=1,E25,E29)</f>
        <v/>
      </c>
      <c r="F31" s="87">
        <f>IF(F24=1,F25,F29)</f>
        <v/>
      </c>
      <c r="G31" s="87">
        <f>IF(G24=1,G25,G29)</f>
        <v/>
      </c>
      <c r="H31" s="87">
        <f>IF(H24=1,H25,H29)</f>
        <v/>
      </c>
      <c r="I31" s="87">
        <f>IF(I24=1,I25,I29)</f>
        <v/>
      </c>
      <c r="J31" s="87">
        <f>IF(J24=1,J25,J29)</f>
        <v/>
      </c>
      <c r="K31" s="87">
        <f>IF(K24=1,K25,K29)</f>
        <v/>
      </c>
      <c r="L31" s="87">
        <f>IF(L24=1,L25,L29)</f>
        <v/>
      </c>
    </row>
    <row r="32" ht="15" customHeight="1">
      <c r="B32" s="34" t="inlineStr">
        <is>
          <t>Change in NWC</t>
        </is>
      </c>
      <c r="C32" s="34" t="inlineStr">
        <is>
          <t>DKKm</t>
        </is>
      </c>
      <c r="E32" s="87" t="n">
        <v>0</v>
      </c>
      <c r="F32" s="87">
        <f>F31-E31</f>
        <v/>
      </c>
      <c r="G32" s="87">
        <f>G31-F31</f>
        <v/>
      </c>
      <c r="H32" s="87">
        <f>H31-G31</f>
        <v/>
      </c>
      <c r="I32" s="87">
        <f>I31-H31</f>
        <v/>
      </c>
      <c r="J32" s="87">
        <f>J31-I31</f>
        <v/>
      </c>
      <c r="K32" s="87">
        <f>K31-J31</f>
        <v/>
      </c>
      <c r="L32" s="87">
        <f>L31-K31</f>
        <v/>
      </c>
    </row>
    <row r="33" ht="15" customHeight="1"/>
    <row r="34" ht="18" customHeight="1">
      <c r="B34" s="32" t="inlineStr">
        <is>
          <t>UNLEVERED FREE CASH FLOW (DKKM)</t>
        </is>
      </c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</row>
    <row r="35" ht="15" customHeight="1"/>
    <row r="36" ht="15" customHeight="1">
      <c r="B36" s="34" t="inlineStr">
        <is>
          <t>Capex</t>
        </is>
      </c>
      <c r="C36" s="34" t="inlineStr">
        <is>
          <t>DKKm</t>
        </is>
      </c>
      <c r="E36" s="87" t="n">
        <v>0</v>
      </c>
      <c r="F36" s="80">
        <f>-F14*'03_DRIVERS_AND_FORECAST'!F18</f>
        <v/>
      </c>
      <c r="G36" s="80">
        <f>-G14*'03_DRIVERS_AND_FORECAST'!G18</f>
        <v/>
      </c>
      <c r="H36" s="80">
        <f>-H14*'03_DRIVERS_AND_FORECAST'!H18</f>
        <v/>
      </c>
      <c r="I36" s="80">
        <f>-I14*'03_DRIVERS_AND_FORECAST'!I18</f>
        <v/>
      </c>
      <c r="J36" s="80">
        <f>-J14*'03_DRIVERS_AND_FORECAST'!J18</f>
        <v/>
      </c>
      <c r="K36" s="80">
        <f>-K14*'03_DRIVERS_AND_FORECAST'!K18</f>
        <v/>
      </c>
      <c r="L36" s="80">
        <f>-L14*'03_DRIVERS_AND_FORECAST'!L18</f>
        <v/>
      </c>
    </row>
    <row r="37" ht="15" customHeight="1">
      <c r="B37" s="34" t="inlineStr">
        <is>
          <t>Unlevered FCF</t>
        </is>
      </c>
      <c r="C37" s="34" t="inlineStr">
        <is>
          <t>DKKm</t>
        </is>
      </c>
      <c r="E37" s="87" t="n">
        <v>0</v>
      </c>
      <c r="F37" s="87">
        <f>F20+F17+F36-F32</f>
        <v/>
      </c>
      <c r="G37" s="87">
        <f>G20+G17+G36-G32</f>
        <v/>
      </c>
      <c r="H37" s="87">
        <f>H20+H17+H36-H32</f>
        <v/>
      </c>
      <c r="I37" s="87">
        <f>I20+I17+I36-I32</f>
        <v/>
      </c>
      <c r="J37" s="87">
        <f>J20+J17+J36-J32</f>
        <v/>
      </c>
      <c r="K37" s="87">
        <f>K20+K17+K36-K32</f>
        <v/>
      </c>
      <c r="L37" s="87">
        <f>L20+L17+L36-L32</f>
        <v/>
      </c>
    </row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pageMargins left="0.3" right="0.3" top="0.5" bottom="0.5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5"/>
  <sheetViews>
    <sheetView showGridLines="0" workbookViewId="0">
      <pane xSplit="4" ySplit="9" topLeftCell="E10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2" customWidth="1" min="2" max="2"/>
    <col width="16" customWidth="1" min="3" max="3"/>
    <col width="2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15" customHeight="1">
      <c r="A1" s="26" t="n"/>
      <c r="B1" s="27" t="inlineStr">
        <is>
          <t>LBO Model Builder (Training Simulation)</t>
        </is>
      </c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</row>
    <row r="2" ht="16" customHeight="1">
      <c r="A2" s="28" t="n"/>
      <c r="B2" s="2" t="inlineStr">
        <is>
          <t>CHECKS:</t>
        </is>
      </c>
      <c r="C2" s="3">
        <f>HYPERLINK("#'90_CHECKS'!B6",'90_CHECKS'!$C$22)</f>
        <v/>
      </c>
      <c r="D2" s="28" t="n"/>
      <c r="E2" s="28" t="n"/>
      <c r="F2" s="28" t="n"/>
      <c r="G2" s="28" t="n"/>
      <c r="H2" s="28" t="n"/>
      <c r="I2" s="28" t="n"/>
      <c r="J2" s="28" t="n"/>
      <c r="K2" s="28" t="n"/>
      <c r="L2" s="28" t="n"/>
      <c r="M2" s="28" t="n"/>
      <c r="N2" s="28" t="n"/>
    </row>
    <row r="3" ht="15" customHeight="1">
      <c r="A3" s="28" t="n"/>
      <c r="B3" s="29" t="inlineStr">
        <is>
          <t>Checks:</t>
        </is>
      </c>
      <c r="C3" s="30">
        <f>HYPERLINK("#'90_CHECKS'!B2","Go to 90_CHECKS")</f>
        <v/>
      </c>
      <c r="D3" s="28" t="n"/>
      <c r="E3" s="28" t="n"/>
      <c r="F3" s="28" t="n"/>
      <c r="G3" s="28" t="n"/>
      <c r="H3" s="28" t="n"/>
      <c r="I3" s="28" t="n"/>
      <c r="J3" s="28" t="n"/>
      <c r="K3" s="28" t="n"/>
      <c r="L3" s="28" t="n"/>
      <c r="M3" s="28" t="n"/>
      <c r="N3" s="28" t="n"/>
    </row>
    <row r="4" ht="15" customHeight="1">
      <c r="A4" s="28" t="n"/>
      <c r="B4" s="29" t="inlineStr">
        <is>
          <t>Units:</t>
        </is>
      </c>
      <c r="C4" s="29" t="inlineStr">
        <is>
          <t>DKKm</t>
        </is>
      </c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</row>
    <row r="5" ht="15" customHeight="1">
      <c r="A5" s="28" t="n"/>
      <c r="B5" s="29" t="inlineStr">
        <is>
          <t>Version:</t>
        </is>
      </c>
      <c r="C5" s="29" t="inlineStr">
        <is>
          <t>v0.1</t>
        </is>
      </c>
      <c r="D5" s="28" t="n"/>
      <c r="E5" s="28" t="n"/>
      <c r="F5" s="28" t="n"/>
      <c r="G5" s="28" t="n"/>
      <c r="H5" s="28" t="n"/>
      <c r="I5" s="28" t="n"/>
      <c r="J5" s="28" t="n"/>
      <c r="K5" s="28" t="n"/>
      <c r="L5" s="28" t="n"/>
      <c r="M5" s="28" t="n"/>
      <c r="N5" s="28" t="n"/>
    </row>
    <row r="6" ht="15" customHeight="1">
      <c r="A6" s="28" t="n"/>
      <c r="B6" s="29" t="inlineStr">
        <is>
          <t>Date:</t>
        </is>
      </c>
      <c r="C6" s="82" t="n">
        <v>46069</v>
      </c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</row>
    <row r="7" ht="15" customHeight="1"/>
    <row r="8" ht="15" customHeight="1"/>
    <row r="9" ht="15" customHeight="1"/>
    <row r="10" ht="18" customHeight="1">
      <c r="B10" s="32" t="inlineStr">
        <is>
          <t>SOURCES &amp; USES (ENTRY)</t>
        </is>
      </c>
      <c r="C10" s="33" t="n"/>
      <c r="D10" s="33" t="n"/>
      <c r="E10" s="33" t="n"/>
      <c r="F10" s="33" t="n"/>
      <c r="G10" s="33" t="n"/>
      <c r="H10" s="33" t="n"/>
    </row>
    <row r="11" ht="15" customHeight="1"/>
    <row r="12" ht="18" customHeight="1">
      <c r="B12" s="32" t="inlineStr">
        <is>
          <t>ENTRY VALUATION</t>
        </is>
      </c>
      <c r="C12" s="33" t="n"/>
      <c r="D12" s="33" t="n"/>
      <c r="E12" s="33" t="n"/>
      <c r="F12" s="33" t="n"/>
      <c r="G12" s="33" t="n"/>
      <c r="H12" s="33" t="n"/>
    </row>
    <row r="13" ht="15" customHeight="1"/>
    <row r="14" ht="15" customHeight="1">
      <c r="B14" s="35" t="inlineStr">
        <is>
          <t>LTM EBITDA (DKKm)</t>
        </is>
      </c>
      <c r="D14" s="80">
        <f>'01_CONTROL'!$D$32</f>
        <v/>
      </c>
    </row>
    <row r="15" ht="15" customHeight="1">
      <c r="B15" s="35" t="inlineStr">
        <is>
          <t>Entry EV multiple (x)</t>
        </is>
      </c>
      <c r="D15" s="22">
        <f>'01_CONTROL'!$D$16</f>
        <v/>
      </c>
    </row>
    <row r="16" ht="15" customHeight="1">
      <c r="B16" s="35" t="inlineStr">
        <is>
          <t>Entry Enterprise Value (EV) (DKKm)</t>
        </is>
      </c>
      <c r="D16" s="87">
        <f>D14*D15</f>
        <v/>
      </c>
    </row>
    <row r="17" ht="15" customHeight="1">
      <c r="B17" s="35" t="inlineStr">
        <is>
          <t>Existing net debt refinanced (DKKm)</t>
        </is>
      </c>
      <c r="D17" s="80">
        <f>'01_CONTROL'!$D$34</f>
        <v/>
      </c>
    </row>
    <row r="18" ht="15" customHeight="1">
      <c r="B18" s="35" t="inlineStr">
        <is>
          <t>Equity purchase price (to seller) (DKKm)</t>
        </is>
      </c>
      <c r="D18" s="87">
        <f>D16-D17</f>
        <v/>
      </c>
    </row>
    <row r="19" ht="15" customHeight="1">
      <c r="D19" s="56" t="n"/>
    </row>
    <row r="20" ht="18" customHeight="1">
      <c r="B20" s="32" t="inlineStr">
        <is>
          <t>USES</t>
        </is>
      </c>
      <c r="C20" s="33" t="n"/>
      <c r="D20" s="33" t="n"/>
      <c r="E20" s="33" t="n"/>
      <c r="F20" s="33" t="n"/>
      <c r="G20" s="33" t="n"/>
      <c r="H20" s="33" t="n"/>
    </row>
    <row r="21" ht="15" customHeight="1">
      <c r="D21" s="56" t="n"/>
    </row>
    <row r="22" ht="15" customHeight="1">
      <c r="B22" s="35" t="inlineStr">
        <is>
          <t>Equity purchase price</t>
        </is>
      </c>
      <c r="D22" s="20">
        <f>D18</f>
        <v/>
      </c>
    </row>
    <row r="23" ht="15" customHeight="1">
      <c r="B23" s="35" t="inlineStr">
        <is>
          <t>Refinance existing net debt</t>
        </is>
      </c>
      <c r="D23" s="20">
        <f>D17</f>
        <v/>
      </c>
    </row>
    <row r="24" ht="15" customHeight="1">
      <c r="B24" s="35" t="inlineStr">
        <is>
          <t>Advisory fees</t>
        </is>
      </c>
      <c r="D24" s="80">
        <f>D16*'01_CONTROL'!$G$56</f>
        <v/>
      </c>
    </row>
    <row r="25" ht="15" customHeight="1">
      <c r="B25" s="35" t="inlineStr">
        <is>
          <t>Financing fees</t>
        </is>
      </c>
      <c r="D25" s="80">
        <f>D37*'01_CONTROL'!$G$57</f>
        <v/>
      </c>
    </row>
    <row r="26" ht="15" customHeight="1">
      <c r="B26" s="35" t="inlineStr">
        <is>
          <t>Working capital adjustment</t>
        </is>
      </c>
      <c r="D26" s="87" t="n">
        <v>0</v>
      </c>
    </row>
    <row r="27" ht="15" customHeight="1">
      <c r="D27" s="56" t="n"/>
    </row>
    <row r="28" ht="15" customHeight="1">
      <c r="B28" s="35" t="inlineStr">
        <is>
          <t>Total uses</t>
        </is>
      </c>
      <c r="D28" s="91">
        <f>SUM(D22:D26)</f>
        <v/>
      </c>
    </row>
    <row r="29" ht="15" customHeight="1">
      <c r="D29" s="56" t="n"/>
    </row>
    <row r="30" ht="18" customHeight="1">
      <c r="B30" s="32" t="inlineStr">
        <is>
          <t>SOURCES</t>
        </is>
      </c>
      <c r="C30" s="33" t="n"/>
      <c r="D30" s="33" t="n"/>
      <c r="E30" s="33" t="n"/>
      <c r="F30" s="33" t="n"/>
      <c r="G30" s="33" t="n"/>
      <c r="H30" s="33" t="n"/>
    </row>
    <row r="31" ht="15" customHeight="1">
      <c r="D31" s="56" t="n"/>
    </row>
    <row r="32" ht="15" customHeight="1">
      <c r="B32" s="35" t="inlineStr">
        <is>
          <t>Debt structure flag (1=Standard,0=Simple)</t>
        </is>
      </c>
      <c r="D32" s="55">
        <f>IF('01_CONTROL'!$D$20="Standard",1,0)</f>
        <v/>
      </c>
    </row>
    <row r="33" ht="15" customHeight="1">
      <c r="B33" s="35" t="inlineStr">
        <is>
          <t>Term Loan A</t>
        </is>
      </c>
      <c r="D33" s="80">
        <f>D32*'01_CONTROL'!$G$50*D14</f>
        <v/>
      </c>
    </row>
    <row r="34" ht="15" customHeight="1">
      <c r="B34" s="35" t="inlineStr">
        <is>
          <t>Term Loan B</t>
        </is>
      </c>
      <c r="D34" s="80">
        <f>IF(D32=1,'01_CONTROL'!$G$51*D14, '01_CONTROL'!$G$48*D14)</f>
        <v/>
      </c>
    </row>
    <row r="35" ht="15" customHeight="1">
      <c r="B35" s="35" t="inlineStr">
        <is>
          <t>Senior Secured Notes</t>
        </is>
      </c>
      <c r="D35" s="80">
        <f>D32*'01_CONTROL'!$G$52*D14</f>
        <v/>
      </c>
    </row>
    <row r="36" ht="15" customHeight="1">
      <c r="B36" s="35" t="inlineStr">
        <is>
          <t>Mezz / PIK</t>
        </is>
      </c>
      <c r="D36" s="80">
        <f>D32*'01_CONTROL'!$G$53*D14</f>
        <v/>
      </c>
    </row>
    <row r="37" ht="15" customHeight="1">
      <c r="B37" s="35" t="inlineStr">
        <is>
          <t>Total new term debt (ex revolver)</t>
        </is>
      </c>
      <c r="D37" s="91">
        <f>SUM(D33:D36)</f>
        <v/>
      </c>
    </row>
    <row r="38" ht="15" customHeight="1">
      <c r="B38" s="35" t="inlineStr">
        <is>
          <t>Sponsor equity (plug)</t>
        </is>
      </c>
      <c r="D38" s="87">
        <f>D40-D39</f>
        <v/>
      </c>
    </row>
    <row r="39" ht="15" customHeight="1">
      <c r="B39" s="35" t="inlineStr">
        <is>
          <t>Mgmt rollover equity</t>
        </is>
      </c>
      <c r="D39" s="80">
        <f>D40*'01_CONTROL'!$G$55</f>
        <v/>
      </c>
    </row>
    <row r="40" ht="15" customHeight="1">
      <c r="B40" s="35" t="inlineStr">
        <is>
          <t>Total equity</t>
        </is>
      </c>
      <c r="D40" s="91">
        <f>D28-D37</f>
        <v/>
      </c>
    </row>
    <row r="41" ht="15" customHeight="1">
      <c r="B41" s="35" t="inlineStr">
        <is>
          <t>Total sources</t>
        </is>
      </c>
      <c r="D41" s="91">
        <f>D37+D40</f>
        <v/>
      </c>
    </row>
    <row r="42" ht="15" customHeight="1">
      <c r="D42" s="56" t="n"/>
    </row>
    <row r="43" ht="18" customHeight="1">
      <c r="B43" s="32" t="inlineStr">
        <is>
          <t>CHECKS</t>
        </is>
      </c>
      <c r="C43" s="33" t="n"/>
      <c r="D43" s="33" t="n"/>
      <c r="E43" s="33" t="n"/>
      <c r="F43" s="33" t="n"/>
      <c r="G43" s="33" t="n"/>
      <c r="H43" s="33" t="n"/>
    </row>
    <row r="44" ht="15" customHeight="1">
      <c r="B44" s="113" t="inlineStr">
        <is>
          <t>Sources - Uses check</t>
        </is>
      </c>
      <c r="C44" s="113" t="inlineStr">
        <is>
          <t>DKKm</t>
        </is>
      </c>
      <c r="D44" s="114">
        <f>D37+D40-D28</f>
        <v/>
      </c>
    </row>
    <row r="45" ht="15" customHeight="1">
      <c r="B45" s="35" t="inlineStr">
        <is>
          <t>Sources - Uses (must be 0)</t>
        </is>
      </c>
      <c r="D45" s="91">
        <f>D41-D28</f>
        <v/>
      </c>
    </row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pageMargins left="0.3" right="0.3" top="0.5" bottom="0.5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7"/>
  <sheetViews>
    <sheetView showGridLines="0" workbookViewId="0">
      <pane xSplit="4" ySplit="9" topLeftCell="E10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2" customWidth="1" min="2" max="2"/>
    <col width="16" customWidth="1" min="3" max="3"/>
    <col width="2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15" customHeight="1">
      <c r="A1" s="26" t="n"/>
      <c r="B1" s="27" t="inlineStr">
        <is>
          <t>LBO Model Builder (Training Simulation)</t>
        </is>
      </c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</row>
    <row r="2" ht="16" customHeight="1">
      <c r="A2" s="28" t="n"/>
      <c r="B2" s="2" t="inlineStr">
        <is>
          <t>CHECKS:</t>
        </is>
      </c>
      <c r="C2" s="3">
        <f>HYPERLINK("#'90_CHECKS'!B6",'90_CHECKS'!$C$22)</f>
        <v/>
      </c>
      <c r="D2" s="28" t="n"/>
      <c r="E2" s="28" t="n"/>
      <c r="F2" s="28" t="n"/>
      <c r="G2" s="28" t="n"/>
      <c r="H2" s="28" t="n"/>
      <c r="I2" s="28" t="n"/>
      <c r="J2" s="28" t="n"/>
      <c r="K2" s="28" t="n"/>
      <c r="L2" s="28" t="n"/>
      <c r="M2" s="28" t="n"/>
      <c r="N2" s="28" t="n"/>
    </row>
    <row r="3" ht="15" customHeight="1">
      <c r="A3" s="28" t="n"/>
      <c r="B3" s="29" t="inlineStr">
        <is>
          <t>Checks:</t>
        </is>
      </c>
      <c r="C3" s="30">
        <f>HYPERLINK("#'90_CHECKS'!B2","Go to 90_CHECKS")</f>
        <v/>
      </c>
      <c r="D3" s="28" t="n"/>
      <c r="E3" s="28" t="n"/>
      <c r="F3" s="28" t="n"/>
      <c r="G3" s="28" t="n"/>
      <c r="H3" s="28" t="n"/>
      <c r="I3" s="28" t="n"/>
      <c r="J3" s="28" t="n"/>
      <c r="K3" s="28" t="n"/>
      <c r="L3" s="28" t="n"/>
      <c r="M3" s="28" t="n"/>
      <c r="N3" s="28" t="n"/>
    </row>
    <row r="4" ht="15" customHeight="1">
      <c r="A4" s="28" t="n"/>
      <c r="B4" s="29" t="inlineStr">
        <is>
          <t>Units:</t>
        </is>
      </c>
      <c r="C4" s="29" t="inlineStr">
        <is>
          <t>DKKm</t>
        </is>
      </c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</row>
    <row r="5" ht="15" customHeight="1">
      <c r="A5" s="28" t="n"/>
      <c r="B5" s="29" t="inlineStr">
        <is>
          <t>Version:</t>
        </is>
      </c>
      <c r="C5" s="29" t="inlineStr">
        <is>
          <t>v0.1</t>
        </is>
      </c>
      <c r="D5" s="28" t="n"/>
      <c r="E5" s="28" t="n"/>
      <c r="F5" s="28" t="n"/>
      <c r="G5" s="28" t="n"/>
      <c r="H5" s="28" t="n"/>
      <c r="I5" s="28" t="n"/>
      <c r="J5" s="28" t="n"/>
      <c r="K5" s="28" t="n"/>
      <c r="L5" s="28" t="n"/>
      <c r="M5" s="28" t="n"/>
      <c r="N5" s="28" t="n"/>
    </row>
    <row r="6" ht="15" customHeight="1">
      <c r="A6" s="28" t="n"/>
      <c r="B6" s="29" t="inlineStr">
        <is>
          <t>Date:</t>
        </is>
      </c>
      <c r="C6" s="82" t="n">
        <v>46069</v>
      </c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</row>
    <row r="7" ht="15" customHeight="1">
      <c r="B7" s="46" t="inlineStr">
        <is>
          <t>Period end</t>
        </is>
      </c>
      <c r="C7" s="34" t="inlineStr"/>
      <c r="E7" s="88" t="n">
        <v>46022</v>
      </c>
      <c r="F7" s="88" t="n">
        <v>46387</v>
      </c>
      <c r="G7" s="88" t="n">
        <v>46752</v>
      </c>
      <c r="H7" s="88" t="n">
        <v>47118</v>
      </c>
      <c r="I7" s="88" t="n">
        <v>47483</v>
      </c>
      <c r="J7" s="88" t="n">
        <v>47848</v>
      </c>
      <c r="K7" s="88" t="n">
        <v>48213</v>
      </c>
      <c r="L7" s="88" t="n">
        <v>48579</v>
      </c>
    </row>
    <row r="8" ht="15" customHeight="1">
      <c r="B8" s="46" t="inlineStr">
        <is>
          <t>Period</t>
        </is>
      </c>
      <c r="C8" s="34" t="inlineStr"/>
      <c r="E8" s="48" t="inlineStr">
        <is>
          <t>LTM</t>
        </is>
      </c>
      <c r="F8" s="48" t="inlineStr">
        <is>
          <t>2026E</t>
        </is>
      </c>
      <c r="G8" s="48" t="inlineStr">
        <is>
          <t>2027E</t>
        </is>
      </c>
      <c r="H8" s="48" t="inlineStr">
        <is>
          <t>2028E</t>
        </is>
      </c>
      <c r="I8" s="48" t="inlineStr">
        <is>
          <t>2029E</t>
        </is>
      </c>
      <c r="J8" s="48" t="inlineStr">
        <is>
          <t>2030E</t>
        </is>
      </c>
      <c r="K8" s="48" t="inlineStr">
        <is>
          <t>2031E</t>
        </is>
      </c>
      <c r="L8" s="48" t="inlineStr">
        <is>
          <t>2032E</t>
        </is>
      </c>
    </row>
    <row r="9" ht="15" customHeight="1">
      <c r="B9" s="19" t="inlineStr">
        <is>
          <t>Year #</t>
        </is>
      </c>
      <c r="E9" s="49" t="n">
        <v>0</v>
      </c>
      <c r="F9" s="49" t="n">
        <v>1</v>
      </c>
      <c r="G9" s="49" t="n">
        <v>2</v>
      </c>
      <c r="H9" s="49" t="n">
        <v>3</v>
      </c>
      <c r="I9" s="49" t="n">
        <v>4</v>
      </c>
      <c r="J9" s="49" t="n">
        <v>5</v>
      </c>
      <c r="K9" s="49" t="n">
        <v>6</v>
      </c>
      <c r="L9" s="49" t="n">
        <v>7</v>
      </c>
    </row>
    <row r="10" ht="18" customHeight="1">
      <c r="B10" s="32" t="inlineStr">
        <is>
          <t>DEBT SCHEDULES (ALL TRANCHES)</t>
        </is>
      </c>
      <c r="C10" s="33" t="n"/>
      <c r="D10" s="33" t="n"/>
      <c r="E10" s="33" t="n"/>
      <c r="F10" s="33" t="n"/>
      <c r="G10" s="33" t="n"/>
      <c r="H10" s="33" t="n"/>
      <c r="I10" s="33" t="n"/>
      <c r="J10" s="33" t="n"/>
      <c r="K10" s="33" t="n"/>
      <c r="L10" s="33" t="n"/>
      <c r="M10" s="33" t="n"/>
      <c r="N10" s="33" t="n"/>
    </row>
    <row r="11" ht="15" customHeight="1"/>
    <row r="12" ht="18" customHeight="1">
      <c r="B12" s="32" t="inlineStr">
        <is>
          <t>INPUTS</t>
        </is>
      </c>
      <c r="C12" s="33" t="n"/>
      <c r="D12" s="33" t="n"/>
      <c r="E12" s="33" t="n"/>
      <c r="F12" s="33" t="n"/>
      <c r="G12" s="33" t="n"/>
      <c r="H12" s="33" t="n"/>
      <c r="I12" s="33" t="n"/>
      <c r="J12" s="33" t="n"/>
      <c r="K12" s="33" t="n"/>
      <c r="L12" s="33" t="n"/>
      <c r="M12" s="33" t="n"/>
      <c r="N12" s="33" t="n"/>
    </row>
    <row r="13" ht="15" customHeight="1"/>
    <row r="14" ht="15" customHeight="1">
      <c r="B14" s="34" t="inlineStr">
        <is>
          <t>Revolver limit (DKKm)</t>
        </is>
      </c>
      <c r="C14" s="34" t="inlineStr">
        <is>
          <t>DKKm</t>
        </is>
      </c>
      <c r="E14" s="80">
        <f>'01_CONTROL'!$G$49</f>
        <v/>
      </c>
      <c r="F14" s="20" t="inlineStr"/>
      <c r="G14" s="20" t="inlineStr"/>
      <c r="H14" s="20" t="inlineStr"/>
      <c r="I14" s="20" t="inlineStr"/>
      <c r="J14" s="20" t="inlineStr"/>
      <c r="K14" s="20" t="inlineStr"/>
      <c r="L14" s="20" t="inlineStr"/>
    </row>
    <row r="15" ht="15" customHeight="1">
      <c r="B15" s="34" t="inlineStr">
        <is>
          <t>TLA opening balance at close (DKKm)</t>
        </is>
      </c>
      <c r="C15" s="34" t="inlineStr">
        <is>
          <t>DKKm</t>
        </is>
      </c>
      <c r="E15" s="58">
        <f>'05_SOURCES_AND_USES'!$D$33</f>
        <v/>
      </c>
      <c r="F15" s="20" t="inlineStr"/>
      <c r="G15" s="20" t="inlineStr"/>
      <c r="H15" s="20" t="inlineStr"/>
      <c r="I15" s="20" t="inlineStr"/>
      <c r="J15" s="20" t="inlineStr"/>
      <c r="K15" s="20" t="inlineStr"/>
      <c r="L15" s="20" t="inlineStr"/>
    </row>
    <row r="16" ht="15" customHeight="1">
      <c r="B16" s="34" t="inlineStr">
        <is>
          <t>TLB opening balance at close (DKKm)</t>
        </is>
      </c>
      <c r="C16" s="34" t="inlineStr">
        <is>
          <t>DKKm</t>
        </is>
      </c>
      <c r="E16" s="58">
        <f>'05_SOURCES_AND_USES'!$D$34</f>
        <v/>
      </c>
      <c r="F16" s="20" t="inlineStr"/>
      <c r="G16" s="20" t="inlineStr"/>
      <c r="H16" s="20" t="inlineStr"/>
      <c r="I16" s="20" t="inlineStr"/>
      <c r="J16" s="20" t="inlineStr"/>
      <c r="K16" s="20" t="inlineStr"/>
      <c r="L16" s="20" t="inlineStr"/>
    </row>
    <row r="17" ht="15" customHeight="1">
      <c r="B17" s="34" t="inlineStr">
        <is>
          <t>SSN opening balance at close (DKKm)</t>
        </is>
      </c>
      <c r="C17" s="34" t="inlineStr">
        <is>
          <t>DKKm</t>
        </is>
      </c>
      <c r="E17" s="58">
        <f>'05_SOURCES_AND_USES'!$D$35</f>
        <v/>
      </c>
      <c r="F17" s="20" t="inlineStr"/>
      <c r="G17" s="20" t="inlineStr"/>
      <c r="H17" s="20" t="inlineStr"/>
      <c r="I17" s="20" t="inlineStr"/>
      <c r="J17" s="20" t="inlineStr"/>
      <c r="K17" s="20" t="inlineStr"/>
      <c r="L17" s="20" t="inlineStr"/>
    </row>
    <row r="18" ht="15" customHeight="1">
      <c r="B18" s="34" t="inlineStr">
        <is>
          <t>Mezz/PIK opening balance at close (DKKm)</t>
        </is>
      </c>
      <c r="C18" s="34" t="inlineStr">
        <is>
          <t>DKKm</t>
        </is>
      </c>
      <c r="E18" s="58">
        <f>'05_SOURCES_AND_USES'!$D$36</f>
        <v/>
      </c>
      <c r="F18" s="20" t="inlineStr"/>
      <c r="G18" s="20" t="inlineStr"/>
      <c r="H18" s="20" t="inlineStr"/>
      <c r="I18" s="20" t="inlineStr"/>
      <c r="J18" s="20" t="inlineStr"/>
      <c r="K18" s="20" t="inlineStr"/>
      <c r="L18" s="20" t="inlineStr"/>
    </row>
    <row r="19" ht="15" customHeight="1"/>
    <row r="20" ht="18" customHeight="1">
      <c r="B20" s="32" t="inlineStr">
        <is>
          <t>REVOLVER (DRAW/REPAY)</t>
        </is>
      </c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</row>
    <row r="21" ht="15" customHeight="1"/>
    <row r="22" ht="15" customHeight="1">
      <c r="B22" s="35" t="inlineStr">
        <is>
          <t>Opening balance</t>
        </is>
      </c>
      <c r="C22" s="34" t="inlineStr">
        <is>
          <t>DKKm</t>
        </is>
      </c>
      <c r="E22" s="87" t="n">
        <v>0</v>
      </c>
      <c r="F22" s="87">
        <f>E25</f>
        <v/>
      </c>
      <c r="G22" s="87">
        <f>F25</f>
        <v/>
      </c>
      <c r="H22" s="87">
        <f>G25</f>
        <v/>
      </c>
      <c r="I22" s="87">
        <f>H25</f>
        <v/>
      </c>
      <c r="J22" s="87">
        <f>I25</f>
        <v/>
      </c>
      <c r="K22" s="87">
        <f>J25</f>
        <v/>
      </c>
      <c r="L22" s="87">
        <f>K25</f>
        <v/>
      </c>
    </row>
    <row r="23" ht="15" customHeight="1">
      <c r="B23" s="35" t="inlineStr">
        <is>
          <t>Draws</t>
        </is>
      </c>
      <c r="C23" s="34" t="inlineStr">
        <is>
          <t>DKKm</t>
        </is>
      </c>
      <c r="E23" s="87" t="n">
        <v>0</v>
      </c>
      <c r="F23" s="80">
        <f>'07_CASH_FLOW_WATERFALL'!F30</f>
        <v/>
      </c>
      <c r="G23" s="80">
        <f>'07_CASH_FLOW_WATERFALL'!G30</f>
        <v/>
      </c>
      <c r="H23" s="80">
        <f>'07_CASH_FLOW_WATERFALL'!H30</f>
        <v/>
      </c>
      <c r="I23" s="80">
        <f>'07_CASH_FLOW_WATERFALL'!I30</f>
        <v/>
      </c>
      <c r="J23" s="80">
        <f>'07_CASH_FLOW_WATERFALL'!J30</f>
        <v/>
      </c>
      <c r="K23" s="80">
        <f>'07_CASH_FLOW_WATERFALL'!K30</f>
        <v/>
      </c>
      <c r="L23" s="80">
        <f>'07_CASH_FLOW_WATERFALL'!L30</f>
        <v/>
      </c>
    </row>
    <row r="24" ht="15" customHeight="1">
      <c r="B24" s="35" t="inlineStr">
        <is>
          <t>Repayments</t>
        </is>
      </c>
      <c r="C24" s="34" t="inlineStr">
        <is>
          <t>DKKm</t>
        </is>
      </c>
      <c r="E24" s="87" t="n">
        <v>0</v>
      </c>
      <c r="F24" s="80">
        <f>'07_CASH_FLOW_WATERFALL'!F31</f>
        <v/>
      </c>
      <c r="G24" s="80">
        <f>'07_CASH_FLOW_WATERFALL'!G31</f>
        <v/>
      </c>
      <c r="H24" s="80">
        <f>'07_CASH_FLOW_WATERFALL'!H31</f>
        <v/>
      </c>
      <c r="I24" s="80">
        <f>'07_CASH_FLOW_WATERFALL'!I31</f>
        <v/>
      </c>
      <c r="J24" s="80">
        <f>'07_CASH_FLOW_WATERFALL'!J31</f>
        <v/>
      </c>
      <c r="K24" s="80">
        <f>'07_CASH_FLOW_WATERFALL'!K31</f>
        <v/>
      </c>
      <c r="L24" s="80">
        <f>'07_CASH_FLOW_WATERFALL'!L31</f>
        <v/>
      </c>
    </row>
    <row r="25" ht="15" customHeight="1">
      <c r="B25" s="35" t="inlineStr">
        <is>
          <t>Ending balance</t>
        </is>
      </c>
      <c r="C25" s="34" t="inlineStr">
        <is>
          <t>DKKm</t>
        </is>
      </c>
      <c r="E25" s="87">
        <f>E22+E23-E24</f>
        <v/>
      </c>
      <c r="F25" s="87">
        <f>F22+F23-F24</f>
        <v/>
      </c>
      <c r="G25" s="87">
        <f>G22+G23-G24</f>
        <v/>
      </c>
      <c r="H25" s="87">
        <f>H22+H23-H24</f>
        <v/>
      </c>
      <c r="I25" s="87">
        <f>I22+I23-I24</f>
        <v/>
      </c>
      <c r="J25" s="87">
        <f>J22+J23-J24</f>
        <v/>
      </c>
      <c r="K25" s="87">
        <f>K22+K23-K24</f>
        <v/>
      </c>
      <c r="L25" s="87">
        <f>L22+L23-L24</f>
        <v/>
      </c>
    </row>
    <row r="26" ht="15" customHeight="1">
      <c r="B26" s="35" t="inlineStr">
        <is>
          <t>All-in rate</t>
        </is>
      </c>
      <c r="C26" s="34" t="inlineStr">
        <is>
          <t>%</t>
        </is>
      </c>
      <c r="E26" s="86" t="inlineStr"/>
      <c r="F26" s="89">
        <f>IF(IR_Mode="Fixed",'01_CONTROL'!$F$63,MAX(Bench_Rate+'01_CONTROL'!$D$63,'01_CONTROL'!$E$63))</f>
        <v/>
      </c>
      <c r="G26" s="89">
        <f>IF(IR_Mode="Fixed",'01_CONTROL'!$F$63,MAX(Bench_Rate+'01_CONTROL'!$D$63,'01_CONTROL'!$E$63))</f>
        <v/>
      </c>
      <c r="H26" s="89">
        <f>IF(IR_Mode="Fixed",'01_CONTROL'!$F$63,MAX(Bench_Rate+'01_CONTROL'!$D$63,'01_CONTROL'!$E$63))</f>
        <v/>
      </c>
      <c r="I26" s="89">
        <f>IF(IR_Mode="Fixed",'01_CONTROL'!$F$63,MAX(Bench_Rate+'01_CONTROL'!$D$63,'01_CONTROL'!$E$63))</f>
        <v/>
      </c>
      <c r="J26" s="89">
        <f>IF(IR_Mode="Fixed",'01_CONTROL'!$F$63,MAX(Bench_Rate+'01_CONTROL'!$D$63,'01_CONTROL'!$E$63))</f>
        <v/>
      </c>
      <c r="K26" s="89">
        <f>IF(IR_Mode="Fixed",'01_CONTROL'!$F$63,MAX(Bench_Rate+'01_CONTROL'!$D$63,'01_CONTROL'!$E$63))</f>
        <v/>
      </c>
      <c r="L26" s="89">
        <f>IF(IR_Mode="Fixed",'01_CONTROL'!$F$63,MAX(Bench_Rate+'01_CONTROL'!$D$63,'01_CONTROL'!$E$63))</f>
        <v/>
      </c>
    </row>
    <row r="27" ht="15" customHeight="1">
      <c r="B27" s="35" t="inlineStr">
        <is>
          <t>Cash interest</t>
        </is>
      </c>
      <c r="C27" s="34" t="inlineStr">
        <is>
          <t>DKKm</t>
        </is>
      </c>
      <c r="E27" s="87" t="n">
        <v>0</v>
      </c>
      <c r="F27" s="87">
        <f>F22*F26</f>
        <v/>
      </c>
      <c r="G27" s="87">
        <f>G22*G26</f>
        <v/>
      </c>
      <c r="H27" s="87">
        <f>H22*H26</f>
        <v/>
      </c>
      <c r="I27" s="87">
        <f>I22*I26</f>
        <v/>
      </c>
      <c r="J27" s="87">
        <f>J22*J26</f>
        <v/>
      </c>
      <c r="K27" s="87">
        <f>K22*K26</f>
        <v/>
      </c>
      <c r="L27" s="87">
        <f>L22*L26</f>
        <v/>
      </c>
    </row>
    <row r="28" ht="15" customHeight="1"/>
    <row r="29" ht="18" customHeight="1">
      <c r="B29" s="32" t="inlineStr">
        <is>
          <t>TERM LOAN A</t>
        </is>
      </c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</row>
    <row r="30" ht="15" customHeight="1"/>
    <row r="31" ht="15" customHeight="1">
      <c r="B31" s="35" t="inlineStr">
        <is>
          <t>Opening balance</t>
        </is>
      </c>
      <c r="C31" s="34" t="inlineStr">
        <is>
          <t>DKKm</t>
        </is>
      </c>
      <c r="E31" s="80">
        <f>'06_DEBT_SCHEDULES'!$E$15</f>
        <v/>
      </c>
      <c r="F31" s="87">
        <f>E34</f>
        <v/>
      </c>
      <c r="G31" s="87">
        <f>F34</f>
        <v/>
      </c>
      <c r="H31" s="87">
        <f>G34</f>
        <v/>
      </c>
      <c r="I31" s="87">
        <f>H34</f>
        <v/>
      </c>
      <c r="J31" s="87">
        <f>I34</f>
        <v/>
      </c>
      <c r="K31" s="87">
        <f>J34</f>
        <v/>
      </c>
      <c r="L31" s="87">
        <f>K34</f>
        <v/>
      </c>
    </row>
    <row r="32" ht="15" customHeight="1">
      <c r="B32" s="35" t="inlineStr">
        <is>
          <t>Mandatory amortization</t>
        </is>
      </c>
      <c r="C32" s="34" t="inlineStr">
        <is>
          <t>DKKm</t>
        </is>
      </c>
      <c r="E32" s="87" t="n">
        <v>0</v>
      </c>
      <c r="F32" s="80">
        <f>MIN(F31,'01_CONTROL'!$C$64*F31)</f>
        <v/>
      </c>
      <c r="G32" s="80">
        <f>MIN(G31,'01_CONTROL'!$C$64*G31)</f>
        <v/>
      </c>
      <c r="H32" s="80">
        <f>MIN(H31,'01_CONTROL'!$C$64*H31)</f>
        <v/>
      </c>
      <c r="I32" s="80">
        <f>MIN(I31,'01_CONTROL'!$C$64*I31)</f>
        <v/>
      </c>
      <c r="J32" s="80">
        <f>MIN(J31,'01_CONTROL'!$C$64*J31)</f>
        <v/>
      </c>
      <c r="K32" s="80">
        <f>MIN(K31,'01_CONTROL'!$C$64*K31)</f>
        <v/>
      </c>
      <c r="L32" s="80">
        <f>MIN(L31,'01_CONTROL'!$C$64*L31)</f>
        <v/>
      </c>
    </row>
    <row r="33" ht="15" customHeight="1">
      <c r="B33" s="35" t="inlineStr">
        <is>
          <t>Optional sweep</t>
        </is>
      </c>
      <c r="C33" s="34" t="inlineStr">
        <is>
          <t>DKKm</t>
        </is>
      </c>
      <c r="E33" s="87" t="n">
        <v>0</v>
      </c>
      <c r="F33" s="80">
        <f>'07_CASH_FLOW_WATERFALL'!F33</f>
        <v/>
      </c>
      <c r="G33" s="80">
        <f>'07_CASH_FLOW_WATERFALL'!G33</f>
        <v/>
      </c>
      <c r="H33" s="80">
        <f>'07_CASH_FLOW_WATERFALL'!H33</f>
        <v/>
      </c>
      <c r="I33" s="80">
        <f>'07_CASH_FLOW_WATERFALL'!I33</f>
        <v/>
      </c>
      <c r="J33" s="80">
        <f>'07_CASH_FLOW_WATERFALL'!J33</f>
        <v/>
      </c>
      <c r="K33" s="80">
        <f>'07_CASH_FLOW_WATERFALL'!K33</f>
        <v/>
      </c>
      <c r="L33" s="80">
        <f>'07_CASH_FLOW_WATERFALL'!L33</f>
        <v/>
      </c>
    </row>
    <row r="34" ht="15" customHeight="1">
      <c r="B34" s="35" t="inlineStr">
        <is>
          <t>Ending balance</t>
        </is>
      </c>
      <c r="C34" s="34" t="inlineStr">
        <is>
          <t>DKKm</t>
        </is>
      </c>
      <c r="E34" s="87">
        <f>E31-E32-E33</f>
        <v/>
      </c>
      <c r="F34" s="87">
        <f>F31-F32-F33</f>
        <v/>
      </c>
      <c r="G34" s="87">
        <f>G31-G32-G33</f>
        <v/>
      </c>
      <c r="H34" s="87">
        <f>H31-H32-H33</f>
        <v/>
      </c>
      <c r="I34" s="87">
        <f>I31-I32-I33</f>
        <v/>
      </c>
      <c r="J34" s="87">
        <f>J31-J32-J33</f>
        <v/>
      </c>
      <c r="K34" s="87">
        <f>K31-K32-K33</f>
        <v/>
      </c>
      <c r="L34" s="87">
        <f>L31-L32-L33</f>
        <v/>
      </c>
    </row>
    <row r="35" ht="15" customHeight="1">
      <c r="B35" s="35" t="inlineStr">
        <is>
          <t>All-in rate</t>
        </is>
      </c>
      <c r="C35" s="34" t="inlineStr">
        <is>
          <t>%</t>
        </is>
      </c>
      <c r="E35" s="86" t="inlineStr"/>
      <c r="F35" s="89">
        <f>IF(IR_Mode="Fixed",'01_CONTROL'!$F$64,MAX(Bench_Rate+'01_CONTROL'!$D$64,'01_CONTROL'!$E$64))</f>
        <v/>
      </c>
      <c r="G35" s="89">
        <f>IF(IR_Mode="Fixed",'01_CONTROL'!$F$64,MAX(Bench_Rate+'01_CONTROL'!$D$64,'01_CONTROL'!$E$64))</f>
        <v/>
      </c>
      <c r="H35" s="89">
        <f>IF(IR_Mode="Fixed",'01_CONTROL'!$F$64,MAX(Bench_Rate+'01_CONTROL'!$D$64,'01_CONTROL'!$E$64))</f>
        <v/>
      </c>
      <c r="I35" s="89">
        <f>IF(IR_Mode="Fixed",'01_CONTROL'!$F$64,MAX(Bench_Rate+'01_CONTROL'!$D$64,'01_CONTROL'!$E$64))</f>
        <v/>
      </c>
      <c r="J35" s="89">
        <f>IF(IR_Mode="Fixed",'01_CONTROL'!$F$64,MAX(Bench_Rate+'01_CONTROL'!$D$64,'01_CONTROL'!$E$64))</f>
        <v/>
      </c>
      <c r="K35" s="89">
        <f>IF(IR_Mode="Fixed",'01_CONTROL'!$F$64,MAX(Bench_Rate+'01_CONTROL'!$D$64,'01_CONTROL'!$E$64))</f>
        <v/>
      </c>
      <c r="L35" s="89">
        <f>IF(IR_Mode="Fixed",'01_CONTROL'!$F$64,MAX(Bench_Rate+'01_CONTROL'!$D$64,'01_CONTROL'!$E$64))</f>
        <v/>
      </c>
    </row>
    <row r="36" ht="15" customHeight="1">
      <c r="B36" s="35" t="inlineStr">
        <is>
          <t>Cash interest</t>
        </is>
      </c>
      <c r="C36" s="34" t="inlineStr">
        <is>
          <t>DKKm</t>
        </is>
      </c>
      <c r="E36" s="87" t="n">
        <v>0</v>
      </c>
      <c r="F36" s="87">
        <f>F31*F35</f>
        <v/>
      </c>
      <c r="G36" s="87">
        <f>G31*G35</f>
        <v/>
      </c>
      <c r="H36" s="87">
        <f>H31*H35</f>
        <v/>
      </c>
      <c r="I36" s="87">
        <f>I31*I35</f>
        <v/>
      </c>
      <c r="J36" s="87">
        <f>J31*J35</f>
        <v/>
      </c>
      <c r="K36" s="87">
        <f>K31*K35</f>
        <v/>
      </c>
      <c r="L36" s="87">
        <f>L31*L35</f>
        <v/>
      </c>
    </row>
    <row r="37" ht="15" customHeight="1"/>
    <row r="38" ht="18" customHeight="1">
      <c r="B38" s="32" t="inlineStr">
        <is>
          <t>TERM LOAN B</t>
        </is>
      </c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</row>
    <row r="39" ht="15" customHeight="1"/>
    <row r="40" ht="15" customHeight="1">
      <c r="B40" s="35" t="inlineStr">
        <is>
          <t>Opening balance</t>
        </is>
      </c>
      <c r="C40" s="34" t="inlineStr">
        <is>
          <t>DKKm</t>
        </is>
      </c>
      <c r="E40" s="80">
        <f>'06_DEBT_SCHEDULES'!$E$16</f>
        <v/>
      </c>
      <c r="F40" s="87">
        <f>E43</f>
        <v/>
      </c>
      <c r="G40" s="87">
        <f>F43</f>
        <v/>
      </c>
      <c r="H40" s="87">
        <f>G43</f>
        <v/>
      </c>
      <c r="I40" s="87">
        <f>H43</f>
        <v/>
      </c>
      <c r="J40" s="87">
        <f>I43</f>
        <v/>
      </c>
      <c r="K40" s="87">
        <f>J43</f>
        <v/>
      </c>
      <c r="L40" s="87">
        <f>K43</f>
        <v/>
      </c>
    </row>
    <row r="41" ht="15" customHeight="1">
      <c r="B41" s="35" t="inlineStr">
        <is>
          <t>Mandatory amortization</t>
        </is>
      </c>
      <c r="C41" s="34" t="inlineStr">
        <is>
          <t>DKKm</t>
        </is>
      </c>
      <c r="E41" s="87" t="n">
        <v>0</v>
      </c>
      <c r="F41" s="80">
        <f>MIN(F40,'01_CONTROL'!$C$65*F40)</f>
        <v/>
      </c>
      <c r="G41" s="80">
        <f>MIN(G40,'01_CONTROL'!$C$65*G40)</f>
        <v/>
      </c>
      <c r="H41" s="80">
        <f>MIN(H40,'01_CONTROL'!$C$65*H40)</f>
        <v/>
      </c>
      <c r="I41" s="80">
        <f>MIN(I40,'01_CONTROL'!$C$65*I40)</f>
        <v/>
      </c>
      <c r="J41" s="80">
        <f>MIN(J40,'01_CONTROL'!$C$65*J40)</f>
        <v/>
      </c>
      <c r="K41" s="80">
        <f>MIN(K40,'01_CONTROL'!$C$65*K40)</f>
        <v/>
      </c>
      <c r="L41" s="80">
        <f>MIN(L40,'01_CONTROL'!$C$65*L40)</f>
        <v/>
      </c>
    </row>
    <row r="42" ht="15" customHeight="1">
      <c r="B42" s="35" t="inlineStr">
        <is>
          <t>Optional sweep</t>
        </is>
      </c>
      <c r="C42" s="34" t="inlineStr">
        <is>
          <t>DKKm</t>
        </is>
      </c>
      <c r="E42" s="87" t="n">
        <v>0</v>
      </c>
      <c r="F42" s="80">
        <f>'07_CASH_FLOW_WATERFALL'!F34</f>
        <v/>
      </c>
      <c r="G42" s="80">
        <f>'07_CASH_FLOW_WATERFALL'!G34</f>
        <v/>
      </c>
      <c r="H42" s="80">
        <f>'07_CASH_FLOW_WATERFALL'!H34</f>
        <v/>
      </c>
      <c r="I42" s="80">
        <f>'07_CASH_FLOW_WATERFALL'!I34</f>
        <v/>
      </c>
      <c r="J42" s="80">
        <f>'07_CASH_FLOW_WATERFALL'!J34</f>
        <v/>
      </c>
      <c r="K42" s="80">
        <f>'07_CASH_FLOW_WATERFALL'!K34</f>
        <v/>
      </c>
      <c r="L42" s="80">
        <f>'07_CASH_FLOW_WATERFALL'!L34</f>
        <v/>
      </c>
    </row>
    <row r="43" ht="15" customHeight="1">
      <c r="B43" s="35" t="inlineStr">
        <is>
          <t>Ending balance</t>
        </is>
      </c>
      <c r="C43" s="34" t="inlineStr">
        <is>
          <t>DKKm</t>
        </is>
      </c>
      <c r="E43" s="87">
        <f>E40-E41-E42</f>
        <v/>
      </c>
      <c r="F43" s="87">
        <f>F40-F41-F42</f>
        <v/>
      </c>
      <c r="G43" s="87">
        <f>G40-G41-G42</f>
        <v/>
      </c>
      <c r="H43" s="87">
        <f>H40-H41-H42</f>
        <v/>
      </c>
      <c r="I43" s="87">
        <f>I40-I41-I42</f>
        <v/>
      </c>
      <c r="J43" s="87">
        <f>J40-J41-J42</f>
        <v/>
      </c>
      <c r="K43" s="87">
        <f>K40-K41-K42</f>
        <v/>
      </c>
      <c r="L43" s="87">
        <f>L40-L41-L42</f>
        <v/>
      </c>
    </row>
    <row r="44" ht="15" customHeight="1">
      <c r="B44" s="35" t="inlineStr">
        <is>
          <t>All-in rate</t>
        </is>
      </c>
      <c r="C44" s="34" t="inlineStr">
        <is>
          <t>%</t>
        </is>
      </c>
      <c r="E44" s="86" t="inlineStr"/>
      <c r="F44" s="89">
        <f>IF(IR_Mode="Fixed",'01_CONTROL'!$F$65,MAX(Bench_Rate+'01_CONTROL'!$D$65,'01_CONTROL'!$E$65))</f>
        <v/>
      </c>
      <c r="G44" s="89">
        <f>IF(IR_Mode="Fixed",'01_CONTROL'!$F$65,MAX(Bench_Rate+'01_CONTROL'!$D$65,'01_CONTROL'!$E$65))</f>
        <v/>
      </c>
      <c r="H44" s="89">
        <f>IF(IR_Mode="Fixed",'01_CONTROL'!$F$65,MAX(Bench_Rate+'01_CONTROL'!$D$65,'01_CONTROL'!$E$65))</f>
        <v/>
      </c>
      <c r="I44" s="89">
        <f>IF(IR_Mode="Fixed",'01_CONTROL'!$F$65,MAX(Bench_Rate+'01_CONTROL'!$D$65,'01_CONTROL'!$E$65))</f>
        <v/>
      </c>
      <c r="J44" s="89">
        <f>IF(IR_Mode="Fixed",'01_CONTROL'!$F$65,MAX(Bench_Rate+'01_CONTROL'!$D$65,'01_CONTROL'!$E$65))</f>
        <v/>
      </c>
      <c r="K44" s="89">
        <f>IF(IR_Mode="Fixed",'01_CONTROL'!$F$65,MAX(Bench_Rate+'01_CONTROL'!$D$65,'01_CONTROL'!$E$65))</f>
        <v/>
      </c>
      <c r="L44" s="89">
        <f>IF(IR_Mode="Fixed",'01_CONTROL'!$F$65,MAX(Bench_Rate+'01_CONTROL'!$D$65,'01_CONTROL'!$E$65))</f>
        <v/>
      </c>
    </row>
    <row r="45" ht="15" customHeight="1">
      <c r="B45" s="35" t="inlineStr">
        <is>
          <t>Cash interest</t>
        </is>
      </c>
      <c r="C45" s="34" t="inlineStr">
        <is>
          <t>DKKm</t>
        </is>
      </c>
      <c r="E45" s="87" t="n">
        <v>0</v>
      </c>
      <c r="F45" s="87">
        <f>F40*F44</f>
        <v/>
      </c>
      <c r="G45" s="87">
        <f>G40*G44</f>
        <v/>
      </c>
      <c r="H45" s="87">
        <f>H40*H44</f>
        <v/>
      </c>
      <c r="I45" s="87">
        <f>I40*I44</f>
        <v/>
      </c>
      <c r="J45" s="87">
        <f>J40*J44</f>
        <v/>
      </c>
      <c r="K45" s="87">
        <f>K40*K44</f>
        <v/>
      </c>
      <c r="L45" s="87">
        <f>L40*L44</f>
        <v/>
      </c>
    </row>
    <row r="46" ht="15" customHeight="1"/>
    <row r="47" ht="18" customHeight="1">
      <c r="B47" s="32" t="inlineStr">
        <is>
          <t>SENIOR SECURED NOTES</t>
        </is>
      </c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</row>
    <row r="48" ht="15" customHeight="1"/>
    <row r="49" ht="15" customHeight="1">
      <c r="B49" s="35" t="inlineStr">
        <is>
          <t>Opening balance</t>
        </is>
      </c>
      <c r="C49" s="34" t="inlineStr">
        <is>
          <t>DKKm</t>
        </is>
      </c>
      <c r="E49" s="80">
        <f>'06_DEBT_SCHEDULES'!$E$17</f>
        <v/>
      </c>
      <c r="F49" s="87">
        <f>E52</f>
        <v/>
      </c>
      <c r="G49" s="87">
        <f>F52</f>
        <v/>
      </c>
      <c r="H49" s="87">
        <f>G52</f>
        <v/>
      </c>
      <c r="I49" s="87">
        <f>H52</f>
        <v/>
      </c>
      <c r="J49" s="87">
        <f>I52</f>
        <v/>
      </c>
      <c r="K49" s="87">
        <f>J52</f>
        <v/>
      </c>
      <c r="L49" s="87">
        <f>K52</f>
        <v/>
      </c>
    </row>
    <row r="50" ht="15" customHeight="1">
      <c r="B50" s="35" t="inlineStr">
        <is>
          <t>Mandatory amortization</t>
        </is>
      </c>
      <c r="C50" s="34" t="inlineStr">
        <is>
          <t>DKKm</t>
        </is>
      </c>
      <c r="E50" s="87" t="n">
        <v>0</v>
      </c>
      <c r="F50" s="80">
        <f>MIN(F49,'01_CONTROL'!$C$66*F49)</f>
        <v/>
      </c>
      <c r="G50" s="80">
        <f>MIN(G49,'01_CONTROL'!$C$66*G49)</f>
        <v/>
      </c>
      <c r="H50" s="80">
        <f>MIN(H49,'01_CONTROL'!$C$66*H49)</f>
        <v/>
      </c>
      <c r="I50" s="80">
        <f>MIN(I49,'01_CONTROL'!$C$66*I49)</f>
        <v/>
      </c>
      <c r="J50" s="80">
        <f>MIN(J49,'01_CONTROL'!$C$66*J49)</f>
        <v/>
      </c>
      <c r="K50" s="80">
        <f>MIN(K49,'01_CONTROL'!$C$66*K49)</f>
        <v/>
      </c>
      <c r="L50" s="80">
        <f>MIN(L49,'01_CONTROL'!$C$66*L49)</f>
        <v/>
      </c>
    </row>
    <row r="51" ht="15" customHeight="1">
      <c r="B51" s="35" t="inlineStr">
        <is>
          <t>Optional sweep</t>
        </is>
      </c>
      <c r="C51" s="34" t="inlineStr">
        <is>
          <t>DKKm</t>
        </is>
      </c>
      <c r="E51" s="87" t="n">
        <v>0</v>
      </c>
      <c r="F51" s="80">
        <f>'07_CASH_FLOW_WATERFALL'!F35</f>
        <v/>
      </c>
      <c r="G51" s="80">
        <f>'07_CASH_FLOW_WATERFALL'!G35</f>
        <v/>
      </c>
      <c r="H51" s="80">
        <f>'07_CASH_FLOW_WATERFALL'!H35</f>
        <v/>
      </c>
      <c r="I51" s="80">
        <f>'07_CASH_FLOW_WATERFALL'!I35</f>
        <v/>
      </c>
      <c r="J51" s="80">
        <f>'07_CASH_FLOW_WATERFALL'!J35</f>
        <v/>
      </c>
      <c r="K51" s="80">
        <f>'07_CASH_FLOW_WATERFALL'!K35</f>
        <v/>
      </c>
      <c r="L51" s="80">
        <f>'07_CASH_FLOW_WATERFALL'!L35</f>
        <v/>
      </c>
    </row>
    <row r="52" ht="15" customHeight="1">
      <c r="B52" s="35" t="inlineStr">
        <is>
          <t>Ending balance</t>
        </is>
      </c>
      <c r="C52" s="34" t="inlineStr">
        <is>
          <t>DKKm</t>
        </is>
      </c>
      <c r="E52" s="87">
        <f>E49-E50-E51</f>
        <v/>
      </c>
      <c r="F52" s="87">
        <f>F49-F50-F51</f>
        <v/>
      </c>
      <c r="G52" s="87">
        <f>G49-G50-G51</f>
        <v/>
      </c>
      <c r="H52" s="87">
        <f>H49-H50-H51</f>
        <v/>
      </c>
      <c r="I52" s="87">
        <f>I49-I50-I51</f>
        <v/>
      </c>
      <c r="J52" s="87">
        <f>J49-J50-J51</f>
        <v/>
      </c>
      <c r="K52" s="87">
        <f>K49-K50-K51</f>
        <v/>
      </c>
      <c r="L52" s="87">
        <f>L49-L50-L51</f>
        <v/>
      </c>
    </row>
    <row r="53" ht="15" customHeight="1">
      <c r="B53" s="35" t="inlineStr">
        <is>
          <t>All-in rate</t>
        </is>
      </c>
      <c r="C53" s="34" t="inlineStr">
        <is>
          <t>%</t>
        </is>
      </c>
      <c r="E53" s="86" t="inlineStr"/>
      <c r="F53" s="89">
        <f>IF(IR_Mode="Fixed",'01_CONTROL'!$F$66,MAX(Bench_Rate+'01_CONTROL'!$D$66,'01_CONTROL'!$E$66))</f>
        <v/>
      </c>
      <c r="G53" s="89">
        <f>IF(IR_Mode="Fixed",'01_CONTROL'!$F$66,MAX(Bench_Rate+'01_CONTROL'!$D$66,'01_CONTROL'!$E$66))</f>
        <v/>
      </c>
      <c r="H53" s="89">
        <f>IF(IR_Mode="Fixed",'01_CONTROL'!$F$66,MAX(Bench_Rate+'01_CONTROL'!$D$66,'01_CONTROL'!$E$66))</f>
        <v/>
      </c>
      <c r="I53" s="89">
        <f>IF(IR_Mode="Fixed",'01_CONTROL'!$F$66,MAX(Bench_Rate+'01_CONTROL'!$D$66,'01_CONTROL'!$E$66))</f>
        <v/>
      </c>
      <c r="J53" s="89">
        <f>IF(IR_Mode="Fixed",'01_CONTROL'!$F$66,MAX(Bench_Rate+'01_CONTROL'!$D$66,'01_CONTROL'!$E$66))</f>
        <v/>
      </c>
      <c r="K53" s="89">
        <f>IF(IR_Mode="Fixed",'01_CONTROL'!$F$66,MAX(Bench_Rate+'01_CONTROL'!$D$66,'01_CONTROL'!$E$66))</f>
        <v/>
      </c>
      <c r="L53" s="89">
        <f>IF(IR_Mode="Fixed",'01_CONTROL'!$F$66,MAX(Bench_Rate+'01_CONTROL'!$D$66,'01_CONTROL'!$E$66))</f>
        <v/>
      </c>
    </row>
    <row r="54" ht="15" customHeight="1">
      <c r="B54" s="35" t="inlineStr">
        <is>
          <t>Cash interest</t>
        </is>
      </c>
      <c r="C54" s="34" t="inlineStr">
        <is>
          <t>DKKm</t>
        </is>
      </c>
      <c r="E54" s="87" t="n">
        <v>0</v>
      </c>
      <c r="F54" s="87">
        <f>F49*F53</f>
        <v/>
      </c>
      <c r="G54" s="87">
        <f>G49*G53</f>
        <v/>
      </c>
      <c r="H54" s="87">
        <f>H49*H53</f>
        <v/>
      </c>
      <c r="I54" s="87">
        <f>I49*I53</f>
        <v/>
      </c>
      <c r="J54" s="87">
        <f>J49*J53</f>
        <v/>
      </c>
      <c r="K54" s="87">
        <f>K49*K53</f>
        <v/>
      </c>
      <c r="L54" s="87">
        <f>L49*L53</f>
        <v/>
      </c>
    </row>
    <row r="55" ht="15" customHeight="1"/>
    <row r="56" ht="18" customHeight="1">
      <c r="B56" s="32" t="inlineStr">
        <is>
          <t>MEZZANINE / PIK</t>
        </is>
      </c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</row>
    <row r="57" ht="15" customHeight="1"/>
    <row r="58" ht="15" customHeight="1">
      <c r="B58" s="35" t="inlineStr">
        <is>
          <t>Opening balance</t>
        </is>
      </c>
      <c r="C58" s="34" t="inlineStr">
        <is>
          <t>DKKm</t>
        </is>
      </c>
      <c r="E58" s="80">
        <f>'06_DEBT_SCHEDULES'!$E$18</f>
        <v/>
      </c>
      <c r="F58" s="87">
        <f>E61</f>
        <v/>
      </c>
      <c r="G58" s="87">
        <f>F61</f>
        <v/>
      </c>
      <c r="H58" s="87">
        <f>G61</f>
        <v/>
      </c>
      <c r="I58" s="87">
        <f>H61</f>
        <v/>
      </c>
      <c r="J58" s="87">
        <f>I61</f>
        <v/>
      </c>
      <c r="K58" s="87">
        <f>J61</f>
        <v/>
      </c>
      <c r="L58" s="87">
        <f>K61</f>
        <v/>
      </c>
    </row>
    <row r="59" ht="15" customHeight="1">
      <c r="B59" s="35" t="inlineStr">
        <is>
          <t>Mandatory amortization</t>
        </is>
      </c>
      <c r="C59" s="34" t="inlineStr">
        <is>
          <t>DKKm</t>
        </is>
      </c>
      <c r="E59" s="87" t="n">
        <v>0</v>
      </c>
      <c r="F59" s="80">
        <f>MIN(F58,'01_CONTROL'!$C$67*F58)</f>
        <v/>
      </c>
      <c r="G59" s="80">
        <f>MIN(G58,'01_CONTROL'!$C$67*G58)</f>
        <v/>
      </c>
      <c r="H59" s="80">
        <f>MIN(H58,'01_CONTROL'!$C$67*H58)</f>
        <v/>
      </c>
      <c r="I59" s="80">
        <f>MIN(I58,'01_CONTROL'!$C$67*I58)</f>
        <v/>
      </c>
      <c r="J59" s="80">
        <f>MIN(J58,'01_CONTROL'!$C$67*J58)</f>
        <v/>
      </c>
      <c r="K59" s="80">
        <f>MIN(K58,'01_CONTROL'!$C$67*K58)</f>
        <v/>
      </c>
      <c r="L59" s="80">
        <f>MIN(L58,'01_CONTROL'!$C$67*L58)</f>
        <v/>
      </c>
    </row>
    <row r="60" ht="15" customHeight="1">
      <c r="B60" s="35" t="inlineStr">
        <is>
          <t>Optional sweep</t>
        </is>
      </c>
      <c r="C60" s="34" t="inlineStr">
        <is>
          <t>DKKm</t>
        </is>
      </c>
      <c r="E60" s="87" t="n">
        <v>0</v>
      </c>
      <c r="F60" s="80">
        <f>'07_CASH_FLOW_WATERFALL'!F36</f>
        <v/>
      </c>
      <c r="G60" s="80">
        <f>'07_CASH_FLOW_WATERFALL'!G36</f>
        <v/>
      </c>
      <c r="H60" s="80">
        <f>'07_CASH_FLOW_WATERFALL'!H36</f>
        <v/>
      </c>
      <c r="I60" s="80">
        <f>'07_CASH_FLOW_WATERFALL'!I36</f>
        <v/>
      </c>
      <c r="J60" s="80">
        <f>'07_CASH_FLOW_WATERFALL'!J36</f>
        <v/>
      </c>
      <c r="K60" s="80">
        <f>'07_CASH_FLOW_WATERFALL'!K36</f>
        <v/>
      </c>
      <c r="L60" s="80">
        <f>'07_CASH_FLOW_WATERFALL'!L36</f>
        <v/>
      </c>
    </row>
    <row r="61" ht="15" customHeight="1">
      <c r="B61" s="35" t="inlineStr">
        <is>
          <t>Ending balance</t>
        </is>
      </c>
      <c r="C61" s="34" t="inlineStr">
        <is>
          <t>DKKm</t>
        </is>
      </c>
      <c r="E61" s="87">
        <f>E58-E59-E60</f>
        <v/>
      </c>
      <c r="F61" s="87">
        <f>F58-F59-F60</f>
        <v/>
      </c>
      <c r="G61" s="87">
        <f>G58-G59-G60</f>
        <v/>
      </c>
      <c r="H61" s="87">
        <f>H58-H59-H60</f>
        <v/>
      </c>
      <c r="I61" s="87">
        <f>I58-I59-I60</f>
        <v/>
      </c>
      <c r="J61" s="87">
        <f>J58-J59-J60</f>
        <v/>
      </c>
      <c r="K61" s="87">
        <f>K58-K59-K60</f>
        <v/>
      </c>
      <c r="L61" s="87">
        <f>L58-L59-L60</f>
        <v/>
      </c>
    </row>
    <row r="62" ht="15" customHeight="1">
      <c r="B62" s="35" t="inlineStr">
        <is>
          <t>All-in rate</t>
        </is>
      </c>
      <c r="C62" s="34" t="inlineStr">
        <is>
          <t>%</t>
        </is>
      </c>
      <c r="E62" s="86" t="inlineStr"/>
      <c r="F62" s="89">
        <f>IF(IR_Mode="Fixed",'01_CONTROL'!$F$67,MAX(Bench_Rate+'01_CONTROL'!$D$67,'01_CONTROL'!$E$67))</f>
        <v/>
      </c>
      <c r="G62" s="89">
        <f>IF(IR_Mode="Fixed",'01_CONTROL'!$F$67,MAX(Bench_Rate+'01_CONTROL'!$D$67,'01_CONTROL'!$E$67))</f>
        <v/>
      </c>
      <c r="H62" s="89">
        <f>IF(IR_Mode="Fixed",'01_CONTROL'!$F$67,MAX(Bench_Rate+'01_CONTROL'!$D$67,'01_CONTROL'!$E$67))</f>
        <v/>
      </c>
      <c r="I62" s="89">
        <f>IF(IR_Mode="Fixed",'01_CONTROL'!$F$67,MAX(Bench_Rate+'01_CONTROL'!$D$67,'01_CONTROL'!$E$67))</f>
        <v/>
      </c>
      <c r="J62" s="89">
        <f>IF(IR_Mode="Fixed",'01_CONTROL'!$F$67,MAX(Bench_Rate+'01_CONTROL'!$D$67,'01_CONTROL'!$E$67))</f>
        <v/>
      </c>
      <c r="K62" s="89">
        <f>IF(IR_Mode="Fixed",'01_CONTROL'!$F$67,MAX(Bench_Rate+'01_CONTROL'!$D$67,'01_CONTROL'!$E$67))</f>
        <v/>
      </c>
      <c r="L62" s="89">
        <f>IF(IR_Mode="Fixed",'01_CONTROL'!$F$67,MAX(Bench_Rate+'01_CONTROL'!$D$67,'01_CONTROL'!$E$67))</f>
        <v/>
      </c>
    </row>
    <row r="63" ht="15" customHeight="1">
      <c r="B63" s="35" t="inlineStr">
        <is>
          <t>Cash interest</t>
        </is>
      </c>
      <c r="C63" s="34" t="inlineStr">
        <is>
          <t>DKKm</t>
        </is>
      </c>
      <c r="E63" s="87" t="n">
        <v>0</v>
      </c>
      <c r="F63" s="87">
        <f>F58*F62</f>
        <v/>
      </c>
      <c r="G63" s="87">
        <f>G58*G62</f>
        <v/>
      </c>
      <c r="H63" s="87">
        <f>H58*H62</f>
        <v/>
      </c>
      <c r="I63" s="87">
        <f>I58*I62</f>
        <v/>
      </c>
      <c r="J63" s="87">
        <f>J58*J62</f>
        <v/>
      </c>
      <c r="K63" s="87">
        <f>K58*K62</f>
        <v/>
      </c>
      <c r="L63" s="87">
        <f>L58*L62</f>
        <v/>
      </c>
    </row>
    <row r="64" ht="15" customHeight="1"/>
    <row r="65" ht="18" customHeight="1">
      <c r="B65" s="32" t="inlineStr">
        <is>
          <t>DEBT TOTALS</t>
        </is>
      </c>
      <c r="C65" s="33" t="n"/>
      <c r="D65" s="33" t="n"/>
      <c r="E65" s="33" t="n"/>
      <c r="F65" s="33" t="n"/>
      <c r="G65" s="33" t="n"/>
      <c r="H65" s="33" t="n"/>
      <c r="I65" s="33" t="n"/>
      <c r="J65" s="33" t="n"/>
      <c r="K65" s="33" t="n"/>
      <c r="L65" s="33" t="n"/>
      <c r="M65" s="33" t="n"/>
      <c r="N65" s="33" t="n"/>
    </row>
    <row r="66" ht="15" customHeight="1"/>
    <row r="67" ht="15" customHeight="1">
      <c r="B67" s="34" t="inlineStr">
        <is>
          <t>Total debt (ending)</t>
        </is>
      </c>
      <c r="C67" s="34" t="inlineStr">
        <is>
          <t>DKKm</t>
        </is>
      </c>
      <c r="E67" s="87">
        <f>SUM(E25,E34,E43,E52,E61)</f>
        <v/>
      </c>
      <c r="F67" s="87">
        <f>SUM(F25,F34,F43,F52,F61)</f>
        <v/>
      </c>
      <c r="G67" s="87">
        <f>SUM(G25,G34,G43,G52,G61)</f>
        <v/>
      </c>
      <c r="H67" s="87">
        <f>SUM(H25,H34,H43,H52,H61)</f>
        <v/>
      </c>
      <c r="I67" s="87">
        <f>SUM(I25,I34,I43,I52,I61)</f>
        <v/>
      </c>
      <c r="J67" s="87">
        <f>SUM(J25,J34,J43,J52,J61)</f>
        <v/>
      </c>
      <c r="K67" s="87">
        <f>SUM(K25,K34,K43,K52,K61)</f>
        <v/>
      </c>
      <c r="L67" s="87">
        <f>SUM(L25,L34,L43,L52,L61)</f>
        <v/>
      </c>
    </row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pageMargins left="0.3" right="0.3" top="0.5" bottom="0.5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2"/>
  <sheetViews>
    <sheetView showGridLines="0" workbookViewId="0">
      <pane xSplit="4" ySplit="9" topLeftCell="E10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2" customWidth="1" min="2" max="2"/>
    <col width="16" customWidth="1" min="3" max="3"/>
    <col width="2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15" customHeight="1">
      <c r="A1" s="26" t="n"/>
      <c r="B1" s="27" t="inlineStr">
        <is>
          <t>LBO Model Builder (Training Simulation)</t>
        </is>
      </c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</row>
    <row r="2" ht="16" customHeight="1">
      <c r="A2" s="28" t="n"/>
      <c r="B2" s="2" t="inlineStr">
        <is>
          <t>CHECKS:</t>
        </is>
      </c>
      <c r="C2" s="3">
        <f>HYPERLINK("#'90_CHECKS'!B6",'90_CHECKS'!$C$22)</f>
        <v/>
      </c>
      <c r="D2" s="28" t="n"/>
      <c r="E2" s="28" t="n"/>
      <c r="F2" s="28" t="n"/>
      <c r="G2" s="28" t="n"/>
      <c r="H2" s="28" t="n"/>
      <c r="I2" s="28" t="n"/>
      <c r="J2" s="28" t="n"/>
      <c r="K2" s="28" t="n"/>
      <c r="L2" s="28" t="n"/>
      <c r="M2" s="28" t="n"/>
      <c r="N2" s="28" t="n"/>
    </row>
    <row r="3" ht="15" customHeight="1">
      <c r="A3" s="28" t="n"/>
      <c r="B3" s="29" t="inlineStr">
        <is>
          <t>Checks:</t>
        </is>
      </c>
      <c r="C3" s="30">
        <f>HYPERLINK("#'90_CHECKS'!B2","Go to 90_CHECKS")</f>
        <v/>
      </c>
      <c r="D3" s="28" t="n"/>
      <c r="E3" s="28" t="n"/>
      <c r="F3" s="28" t="n"/>
      <c r="G3" s="28" t="n"/>
      <c r="H3" s="28" t="n"/>
      <c r="I3" s="28" t="n"/>
      <c r="J3" s="28" t="n"/>
      <c r="K3" s="28" t="n"/>
      <c r="L3" s="28" t="n"/>
      <c r="M3" s="28" t="n"/>
      <c r="N3" s="28" t="n"/>
    </row>
    <row r="4" ht="15" customHeight="1">
      <c r="A4" s="28" t="n"/>
      <c r="B4" s="29" t="inlineStr">
        <is>
          <t>Units:</t>
        </is>
      </c>
      <c r="C4" s="29" t="inlineStr">
        <is>
          <t>DKKm</t>
        </is>
      </c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</row>
    <row r="5" ht="15" customHeight="1">
      <c r="A5" s="28" t="n"/>
      <c r="B5" s="29" t="inlineStr">
        <is>
          <t>Version:</t>
        </is>
      </c>
      <c r="C5" s="29" t="inlineStr">
        <is>
          <t>v0.1</t>
        </is>
      </c>
      <c r="D5" s="28" t="n"/>
      <c r="E5" s="28" t="n"/>
      <c r="F5" s="28" t="n"/>
      <c r="G5" s="28" t="n"/>
      <c r="H5" s="28" t="n"/>
      <c r="I5" s="28" t="n"/>
      <c r="J5" s="28" t="n"/>
      <c r="K5" s="28" t="n"/>
      <c r="L5" s="28" t="n"/>
      <c r="M5" s="28" t="n"/>
      <c r="N5" s="28" t="n"/>
    </row>
    <row r="6" ht="15" customHeight="1">
      <c r="A6" s="28" t="n"/>
      <c r="B6" s="29" t="inlineStr">
        <is>
          <t>Date:</t>
        </is>
      </c>
      <c r="C6" s="82" t="n">
        <v>46069</v>
      </c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</row>
    <row r="7" ht="15" customHeight="1">
      <c r="B7" s="46" t="inlineStr">
        <is>
          <t>Period end</t>
        </is>
      </c>
      <c r="C7" s="34" t="inlineStr"/>
      <c r="E7" s="88" t="n">
        <v>46022</v>
      </c>
      <c r="F7" s="88" t="n">
        <v>46387</v>
      </c>
      <c r="G7" s="88" t="n">
        <v>46752</v>
      </c>
      <c r="H7" s="88" t="n">
        <v>47118</v>
      </c>
      <c r="I7" s="88" t="n">
        <v>47483</v>
      </c>
      <c r="J7" s="88" t="n">
        <v>47848</v>
      </c>
      <c r="K7" s="88" t="n">
        <v>48213</v>
      </c>
      <c r="L7" s="88" t="n">
        <v>48579</v>
      </c>
    </row>
    <row r="8" ht="15" customHeight="1">
      <c r="B8" s="46" t="inlineStr">
        <is>
          <t>Period</t>
        </is>
      </c>
      <c r="C8" s="34" t="inlineStr"/>
      <c r="E8" s="48" t="inlineStr">
        <is>
          <t>LTM</t>
        </is>
      </c>
      <c r="F8" s="48" t="inlineStr">
        <is>
          <t>2026E</t>
        </is>
      </c>
      <c r="G8" s="48" t="inlineStr">
        <is>
          <t>2027E</t>
        </is>
      </c>
      <c r="H8" s="48" t="inlineStr">
        <is>
          <t>2028E</t>
        </is>
      </c>
      <c r="I8" s="48" t="inlineStr">
        <is>
          <t>2029E</t>
        </is>
      </c>
      <c r="J8" s="48" t="inlineStr">
        <is>
          <t>2030E</t>
        </is>
      </c>
      <c r="K8" s="48" t="inlineStr">
        <is>
          <t>2031E</t>
        </is>
      </c>
      <c r="L8" s="48" t="inlineStr">
        <is>
          <t>2032E</t>
        </is>
      </c>
    </row>
    <row r="9" ht="15" customHeight="1">
      <c r="B9" s="19" t="inlineStr">
        <is>
          <t>Year #</t>
        </is>
      </c>
      <c r="E9" s="49" t="n">
        <v>0</v>
      </c>
      <c r="F9" s="49" t="n">
        <v>1</v>
      </c>
      <c r="G9" s="49" t="n">
        <v>2</v>
      </c>
      <c r="H9" s="49" t="n">
        <v>3</v>
      </c>
      <c r="I9" s="49" t="n">
        <v>4</v>
      </c>
      <c r="J9" s="49" t="n">
        <v>5</v>
      </c>
      <c r="K9" s="49" t="n">
        <v>6</v>
      </c>
      <c r="L9" s="49" t="n">
        <v>7</v>
      </c>
    </row>
    <row r="10" ht="18" customHeight="1">
      <c r="B10" s="32" t="inlineStr">
        <is>
          <t>CASH FLOW WATERFALL (NON-CIRCULAR)</t>
        </is>
      </c>
      <c r="C10" s="33" t="n"/>
      <c r="D10" s="33" t="n"/>
      <c r="E10" s="33" t="n"/>
      <c r="F10" s="33" t="n"/>
      <c r="G10" s="33" t="n"/>
      <c r="H10" s="33" t="n"/>
      <c r="I10" s="33" t="n"/>
      <c r="J10" s="33" t="n"/>
      <c r="K10" s="33" t="n"/>
      <c r="L10" s="33" t="n"/>
      <c r="M10" s="33" t="n"/>
      <c r="N10" s="33" t="n"/>
    </row>
    <row r="11" ht="15" customHeight="1"/>
    <row r="12" ht="18" customHeight="1">
      <c r="B12" s="32" t="inlineStr">
        <is>
          <t>CASH AVAILABLE FOR DEBT SERVICE (DKKM)</t>
        </is>
      </c>
      <c r="C12" s="33" t="n"/>
      <c r="D12" s="33" t="n"/>
      <c r="E12" s="33" t="n"/>
      <c r="F12" s="33" t="n"/>
      <c r="G12" s="33" t="n"/>
      <c r="H12" s="33" t="n"/>
      <c r="I12" s="33" t="n"/>
      <c r="J12" s="33" t="n"/>
      <c r="K12" s="33" t="n"/>
      <c r="L12" s="33" t="n"/>
      <c r="M12" s="33" t="n"/>
      <c r="N12" s="33" t="n"/>
    </row>
    <row r="13" ht="15" customHeight="1"/>
    <row r="14" ht="15" customHeight="1">
      <c r="B14" s="35" t="inlineStr">
        <is>
          <t>EBITDA</t>
        </is>
      </c>
      <c r="C14" s="34" t="inlineStr">
        <is>
          <t>DKKm</t>
        </is>
      </c>
      <c r="E14" s="80">
        <f>'04_OPERATING_MODEL'!E15</f>
        <v/>
      </c>
      <c r="F14" s="80">
        <f>'04_OPERATING_MODEL'!F15</f>
        <v/>
      </c>
      <c r="G14" s="80">
        <f>'04_OPERATING_MODEL'!G15</f>
        <v/>
      </c>
      <c r="H14" s="80">
        <f>'04_OPERATING_MODEL'!H15</f>
        <v/>
      </c>
      <c r="I14" s="80">
        <f>'04_OPERATING_MODEL'!I15</f>
        <v/>
      </c>
      <c r="J14" s="80">
        <f>'04_OPERATING_MODEL'!J15</f>
        <v/>
      </c>
      <c r="K14" s="80">
        <f>'04_OPERATING_MODEL'!K15</f>
        <v/>
      </c>
      <c r="L14" s="80">
        <f>'04_OPERATING_MODEL'!L15</f>
        <v/>
      </c>
    </row>
    <row r="15" ht="15" customHeight="1">
      <c r="B15" s="35" t="inlineStr">
        <is>
          <t>Cash taxes (levered)</t>
        </is>
      </c>
      <c r="C15" s="34" t="inlineStr">
        <is>
          <t>DKKm</t>
        </is>
      </c>
      <c r="E15" s="80">
        <f>-MAX(0,'04_OPERATING_MODEL'!E18-E28)*'01_CONTROL'!$D$26</f>
        <v/>
      </c>
      <c r="F15" s="80">
        <f>-MAX(0,'04_OPERATING_MODEL'!F18-F28)*'01_CONTROL'!$D$26</f>
        <v/>
      </c>
      <c r="G15" s="80">
        <f>-MAX(0,'04_OPERATING_MODEL'!G18-G28)*'01_CONTROL'!$D$26</f>
        <v/>
      </c>
      <c r="H15" s="80">
        <f>-MAX(0,'04_OPERATING_MODEL'!H18-H28)*'01_CONTROL'!$D$26</f>
        <v/>
      </c>
      <c r="I15" s="80">
        <f>-MAX(0,'04_OPERATING_MODEL'!I18-I28)*'01_CONTROL'!$D$26</f>
        <v/>
      </c>
      <c r="J15" s="80">
        <f>-MAX(0,'04_OPERATING_MODEL'!J18-J28)*'01_CONTROL'!$D$26</f>
        <v/>
      </c>
      <c r="K15" s="80">
        <f>-MAX(0,'04_OPERATING_MODEL'!K18-K28)*'01_CONTROL'!$D$26</f>
        <v/>
      </c>
      <c r="L15" s="80">
        <f>-MAX(0,'04_OPERATING_MODEL'!L18-L28)*'01_CONTROL'!$D$26</f>
        <v/>
      </c>
    </row>
    <row r="16" ht="15" customHeight="1">
      <c r="B16" s="35" t="inlineStr">
        <is>
          <t>Change in NWC (cash effect)</t>
        </is>
      </c>
      <c r="C16" s="34" t="inlineStr">
        <is>
          <t>DKKm</t>
        </is>
      </c>
      <c r="E16" s="80">
        <f>-'04_OPERATING_MODEL'!E32</f>
        <v/>
      </c>
      <c r="F16" s="80">
        <f>-'04_OPERATING_MODEL'!F32</f>
        <v/>
      </c>
      <c r="G16" s="80">
        <f>-'04_OPERATING_MODEL'!G32</f>
        <v/>
      </c>
      <c r="H16" s="80">
        <f>-'04_OPERATING_MODEL'!H32</f>
        <v/>
      </c>
      <c r="I16" s="80">
        <f>-'04_OPERATING_MODEL'!I32</f>
        <v/>
      </c>
      <c r="J16" s="80">
        <f>-'04_OPERATING_MODEL'!J32</f>
        <v/>
      </c>
      <c r="K16" s="80">
        <f>-'04_OPERATING_MODEL'!K32</f>
        <v/>
      </c>
      <c r="L16" s="80">
        <f>-'04_OPERATING_MODEL'!L32</f>
        <v/>
      </c>
    </row>
    <row r="17" ht="15" customHeight="1">
      <c r="B17" s="35" t="inlineStr">
        <is>
          <t>Capex (cash effect)</t>
        </is>
      </c>
      <c r="C17" s="34" t="inlineStr">
        <is>
          <t>DKKm</t>
        </is>
      </c>
      <c r="E17" s="80">
        <f>'04_OPERATING_MODEL'!E36</f>
        <v/>
      </c>
      <c r="F17" s="80">
        <f>'04_OPERATING_MODEL'!F36</f>
        <v/>
      </c>
      <c r="G17" s="80">
        <f>'04_OPERATING_MODEL'!G36</f>
        <v/>
      </c>
      <c r="H17" s="80">
        <f>'04_OPERATING_MODEL'!H36</f>
        <v/>
      </c>
      <c r="I17" s="80">
        <f>'04_OPERATING_MODEL'!I36</f>
        <v/>
      </c>
      <c r="J17" s="80">
        <f>'04_OPERATING_MODEL'!J36</f>
        <v/>
      </c>
      <c r="K17" s="80">
        <f>'04_OPERATING_MODEL'!K36</f>
        <v/>
      </c>
      <c r="L17" s="80">
        <f>'04_OPERATING_MODEL'!L36</f>
        <v/>
      </c>
    </row>
    <row r="18" ht="15" customHeight="1">
      <c r="B18" s="35" t="inlineStr">
        <is>
          <t>Other (cash)</t>
        </is>
      </c>
      <c r="C18" s="34" t="inlineStr">
        <is>
          <t>DKKm</t>
        </is>
      </c>
      <c r="E18" s="87" t="n">
        <v>0</v>
      </c>
      <c r="F18" s="87" t="n">
        <v>0</v>
      </c>
      <c r="G18" s="87" t="n">
        <v>0</v>
      </c>
      <c r="H18" s="87" t="n">
        <v>0</v>
      </c>
      <c r="I18" s="87" t="n">
        <v>0</v>
      </c>
      <c r="J18" s="87" t="n">
        <v>0</v>
      </c>
      <c r="K18" s="87" t="n">
        <v>0</v>
      </c>
      <c r="L18" s="87" t="n">
        <v>0</v>
      </c>
    </row>
    <row r="19" ht="15" customHeight="1">
      <c r="B19" s="35" t="inlineStr">
        <is>
          <t>Cash before debt service</t>
        </is>
      </c>
      <c r="C19" s="34" t="inlineStr">
        <is>
          <t>DKKm</t>
        </is>
      </c>
      <c r="E19" s="87">
        <f>SUM(E14:E18)</f>
        <v/>
      </c>
      <c r="F19" s="87">
        <f>SUM(F14:F18)</f>
        <v/>
      </c>
      <c r="G19" s="87">
        <f>SUM(G14:G18)</f>
        <v/>
      </c>
      <c r="H19" s="87">
        <f>SUM(H14:H18)</f>
        <v/>
      </c>
      <c r="I19" s="87">
        <f>SUM(I14:I18)</f>
        <v/>
      </c>
      <c r="J19" s="87">
        <f>SUM(J14:J18)</f>
        <v/>
      </c>
      <c r="K19" s="87">
        <f>SUM(K14:K18)</f>
        <v/>
      </c>
      <c r="L19" s="87">
        <f>SUM(L14:L18)</f>
        <v/>
      </c>
    </row>
    <row r="20" ht="15" customHeight="1">
      <c r="B20" s="35" t="inlineStr">
        <is>
          <t>Cash interest (total)</t>
        </is>
      </c>
      <c r="C20" s="34" t="inlineStr">
        <is>
          <t>DKKm</t>
        </is>
      </c>
      <c r="E20" s="80">
        <f>-('06_DEBT_SCHEDULES'!E27+'06_DEBT_SCHEDULES'!E36+'06_DEBT_SCHEDULES'!E45+'06_DEBT_SCHEDULES'!E54+'06_DEBT_SCHEDULES'!E63)</f>
        <v/>
      </c>
      <c r="F20" s="80">
        <f>-('06_DEBT_SCHEDULES'!F27+'06_DEBT_SCHEDULES'!F36+'06_DEBT_SCHEDULES'!F45+'06_DEBT_SCHEDULES'!F54+'06_DEBT_SCHEDULES'!F63)</f>
        <v/>
      </c>
      <c r="G20" s="80">
        <f>-('06_DEBT_SCHEDULES'!G27+'06_DEBT_SCHEDULES'!G36+'06_DEBT_SCHEDULES'!G45+'06_DEBT_SCHEDULES'!G54+'06_DEBT_SCHEDULES'!G63)</f>
        <v/>
      </c>
      <c r="H20" s="80">
        <f>-('06_DEBT_SCHEDULES'!H27+'06_DEBT_SCHEDULES'!H36+'06_DEBT_SCHEDULES'!H45+'06_DEBT_SCHEDULES'!H54+'06_DEBT_SCHEDULES'!H63)</f>
        <v/>
      </c>
      <c r="I20" s="80">
        <f>-('06_DEBT_SCHEDULES'!I27+'06_DEBT_SCHEDULES'!I36+'06_DEBT_SCHEDULES'!I45+'06_DEBT_SCHEDULES'!I54+'06_DEBT_SCHEDULES'!I63)</f>
        <v/>
      </c>
      <c r="J20" s="80">
        <f>-('06_DEBT_SCHEDULES'!J27+'06_DEBT_SCHEDULES'!J36+'06_DEBT_SCHEDULES'!J45+'06_DEBT_SCHEDULES'!J54+'06_DEBT_SCHEDULES'!J63)</f>
        <v/>
      </c>
      <c r="K20" s="80">
        <f>-('06_DEBT_SCHEDULES'!K27+'06_DEBT_SCHEDULES'!K36+'06_DEBT_SCHEDULES'!K45+'06_DEBT_SCHEDULES'!K54+'06_DEBT_SCHEDULES'!K63)</f>
        <v/>
      </c>
      <c r="L20" s="80">
        <f>-('06_DEBT_SCHEDULES'!L27+'06_DEBT_SCHEDULES'!L36+'06_DEBT_SCHEDULES'!L45+'06_DEBT_SCHEDULES'!L54+'06_DEBT_SCHEDULES'!L63)</f>
        <v/>
      </c>
    </row>
    <row r="21" ht="15" customHeight="1">
      <c r="B21" s="35" t="inlineStr">
        <is>
          <t>Cash after interest</t>
        </is>
      </c>
      <c r="C21" s="34" t="inlineStr">
        <is>
          <t>DKKm</t>
        </is>
      </c>
      <c r="E21" s="87">
        <f>E19+E20</f>
        <v/>
      </c>
      <c r="F21" s="87">
        <f>F19+F20</f>
        <v/>
      </c>
      <c r="G21" s="87">
        <f>G19+G20</f>
        <v/>
      </c>
      <c r="H21" s="87">
        <f>H19+H20</f>
        <v/>
      </c>
      <c r="I21" s="87">
        <f>I19+I20</f>
        <v/>
      </c>
      <c r="J21" s="87">
        <f>J19+J20</f>
        <v/>
      </c>
      <c r="K21" s="87">
        <f>K19+K20</f>
        <v/>
      </c>
      <c r="L21" s="87">
        <f>L19+L20</f>
        <v/>
      </c>
    </row>
    <row r="22" ht="15" customHeight="1">
      <c r="B22" s="35" t="inlineStr">
        <is>
          <t>Mandatory amort (total)</t>
        </is>
      </c>
      <c r="C22" s="34" t="inlineStr">
        <is>
          <t>DKKm</t>
        </is>
      </c>
      <c r="E22" s="80">
        <f>-('06_DEBT_SCHEDULES'!E32+'06_DEBT_SCHEDULES'!E41+'06_DEBT_SCHEDULES'!E50+'06_DEBT_SCHEDULES'!E59)</f>
        <v/>
      </c>
      <c r="F22" s="80">
        <f>-('06_DEBT_SCHEDULES'!F32+'06_DEBT_SCHEDULES'!F41+'06_DEBT_SCHEDULES'!F50+'06_DEBT_SCHEDULES'!F59)</f>
        <v/>
      </c>
      <c r="G22" s="80">
        <f>-('06_DEBT_SCHEDULES'!G32+'06_DEBT_SCHEDULES'!G41+'06_DEBT_SCHEDULES'!G50+'06_DEBT_SCHEDULES'!G59)</f>
        <v/>
      </c>
      <c r="H22" s="80">
        <f>-('06_DEBT_SCHEDULES'!H32+'06_DEBT_SCHEDULES'!H41+'06_DEBT_SCHEDULES'!H50+'06_DEBT_SCHEDULES'!H59)</f>
        <v/>
      </c>
      <c r="I22" s="80">
        <f>-('06_DEBT_SCHEDULES'!I32+'06_DEBT_SCHEDULES'!I41+'06_DEBT_SCHEDULES'!I50+'06_DEBT_SCHEDULES'!I59)</f>
        <v/>
      </c>
      <c r="J22" s="80">
        <f>-('06_DEBT_SCHEDULES'!J32+'06_DEBT_SCHEDULES'!J41+'06_DEBT_SCHEDULES'!J50+'06_DEBT_SCHEDULES'!J59)</f>
        <v/>
      </c>
      <c r="K22" s="80">
        <f>-('06_DEBT_SCHEDULES'!K32+'06_DEBT_SCHEDULES'!K41+'06_DEBT_SCHEDULES'!K50+'06_DEBT_SCHEDULES'!K59)</f>
        <v/>
      </c>
      <c r="L22" s="80">
        <f>-('06_DEBT_SCHEDULES'!L32+'06_DEBT_SCHEDULES'!L41+'06_DEBT_SCHEDULES'!L50+'06_DEBT_SCHEDULES'!L59)</f>
        <v/>
      </c>
    </row>
    <row r="23" ht="15" customHeight="1">
      <c r="B23" s="35" t="inlineStr">
        <is>
          <t>Cash after mandatory amort</t>
        </is>
      </c>
      <c r="C23" s="34" t="inlineStr">
        <is>
          <t>DKKm</t>
        </is>
      </c>
      <c r="E23" s="87">
        <f>E21+E22</f>
        <v/>
      </c>
      <c r="F23" s="87">
        <f>F21+F22</f>
        <v/>
      </c>
      <c r="G23" s="87">
        <f>G21+G22</f>
        <v/>
      </c>
      <c r="H23" s="87">
        <f>H21+H22</f>
        <v/>
      </c>
      <c r="I23" s="87">
        <f>I21+I22</f>
        <v/>
      </c>
      <c r="J23" s="87">
        <f>J21+J22</f>
        <v/>
      </c>
      <c r="K23" s="87">
        <f>K21+K22</f>
        <v/>
      </c>
      <c r="L23" s="87">
        <f>L21+L22</f>
        <v/>
      </c>
    </row>
    <row r="24" ht="15" customHeight="1">
      <c r="B24" s="35" t="inlineStr">
        <is>
          <t>Sweep % (active)</t>
        </is>
      </c>
      <c r="C24" s="34" t="inlineStr">
        <is>
          <t>%</t>
        </is>
      </c>
      <c r="E24" s="89">
        <f>'01_CONTROL'!$G$54</f>
        <v/>
      </c>
      <c r="F24" s="89">
        <f>'01_CONTROL'!$G$54</f>
        <v/>
      </c>
      <c r="G24" s="89">
        <f>'01_CONTROL'!$G$54</f>
        <v/>
      </c>
      <c r="H24" s="89">
        <f>'01_CONTROL'!$G$54</f>
        <v/>
      </c>
      <c r="I24" s="89">
        <f>'01_CONTROL'!$G$54</f>
        <v/>
      </c>
      <c r="J24" s="89">
        <f>'01_CONTROL'!$G$54</f>
        <v/>
      </c>
      <c r="K24" s="89">
        <f>'01_CONTROL'!$G$54</f>
        <v/>
      </c>
      <c r="L24" s="89">
        <f>'01_CONTROL'!$G$54</f>
        <v/>
      </c>
    </row>
    <row r="25" ht="15" customHeight="1">
      <c r="B25" s="35" t="inlineStr">
        <is>
          <t>Cash available for optional sweep</t>
        </is>
      </c>
      <c r="C25" s="34" t="inlineStr">
        <is>
          <t>DKKm</t>
        </is>
      </c>
      <c r="E25" s="87">
        <f>MAX(0,E23)*E24</f>
        <v/>
      </c>
      <c r="F25" s="87">
        <f>MAX(0,F23)*F24</f>
        <v/>
      </c>
      <c r="G25" s="87">
        <f>MAX(0,G23)*G24</f>
        <v/>
      </c>
      <c r="H25" s="87">
        <f>MAX(0,H23)*H24</f>
        <v/>
      </c>
      <c r="I25" s="87">
        <f>MAX(0,I23)*I24</f>
        <v/>
      </c>
      <c r="J25" s="87">
        <f>MAX(0,J23)*J24</f>
        <v/>
      </c>
      <c r="K25" s="87">
        <f>MAX(0,K23)*K24</f>
        <v/>
      </c>
      <c r="L25" s="87">
        <f>MAX(0,L23)*L24</f>
        <v/>
      </c>
    </row>
    <row r="26" ht="15" customHeight="1">
      <c r="B26" s="35" t="inlineStr">
        <is>
          <t>Retained cash (non-swept)</t>
        </is>
      </c>
      <c r="C26" s="34" t="inlineStr">
        <is>
          <t>DKKm</t>
        </is>
      </c>
      <c r="E26" s="87">
        <f>MAX(0,E23)-E25</f>
        <v/>
      </c>
      <c r="F26" s="87">
        <f>MAX(0,F23)-F25</f>
        <v/>
      </c>
      <c r="G26" s="87">
        <f>MAX(0,G23)-G25</f>
        <v/>
      </c>
      <c r="H26" s="87">
        <f>MAX(0,H23)-H25</f>
        <v/>
      </c>
      <c r="I26" s="87">
        <f>MAX(0,I23)-I25</f>
        <v/>
      </c>
      <c r="J26" s="87">
        <f>MAX(0,J23)-J25</f>
        <v/>
      </c>
      <c r="K26" s="87">
        <f>MAX(0,K23)-K25</f>
        <v/>
      </c>
      <c r="L26" s="87">
        <f>MAX(0,L23)-L25</f>
        <v/>
      </c>
    </row>
    <row r="27" ht="15" customHeight="1">
      <c r="B27" s="35" t="inlineStr">
        <is>
          <t>Cash deficit (requires revolver draw)</t>
        </is>
      </c>
      <c r="C27" s="34" t="inlineStr">
        <is>
          <t>DKKm</t>
        </is>
      </c>
      <c r="E27" s="87">
        <f>-MIN(0,E23)</f>
        <v/>
      </c>
      <c r="F27" s="87">
        <f>-MIN(0,F23)</f>
        <v/>
      </c>
      <c r="G27" s="87">
        <f>-MIN(0,G23)</f>
        <v/>
      </c>
      <c r="H27" s="87">
        <f>-MIN(0,H23)</f>
        <v/>
      </c>
      <c r="I27" s="87">
        <f>-MIN(0,I23)</f>
        <v/>
      </c>
      <c r="J27" s="87">
        <f>-MIN(0,J23)</f>
        <v/>
      </c>
      <c r="K27" s="87">
        <f>-MIN(0,K23)</f>
        <v/>
      </c>
      <c r="L27" s="87">
        <f>-MIN(0,L23)</f>
        <v/>
      </c>
    </row>
    <row r="28" ht="15" customHeight="1">
      <c r="B28" s="35" t="inlineStr">
        <is>
          <t>Interest sum helper (positive)</t>
        </is>
      </c>
      <c r="C28" s="34" t="inlineStr">
        <is>
          <t>DKKm</t>
        </is>
      </c>
      <c r="E28" s="87" t="n">
        <v>0</v>
      </c>
      <c r="F28" s="80">
        <f>('06_DEBT_SCHEDULES'!F27+'06_DEBT_SCHEDULES'!F36+'06_DEBT_SCHEDULES'!F45+'06_DEBT_SCHEDULES'!F54+'06_DEBT_SCHEDULES'!F63)</f>
        <v/>
      </c>
      <c r="G28" s="80">
        <f>('06_DEBT_SCHEDULES'!G27+'06_DEBT_SCHEDULES'!G36+'06_DEBT_SCHEDULES'!G45+'06_DEBT_SCHEDULES'!G54+'06_DEBT_SCHEDULES'!G63)</f>
        <v/>
      </c>
      <c r="H28" s="80">
        <f>('06_DEBT_SCHEDULES'!H27+'06_DEBT_SCHEDULES'!H36+'06_DEBT_SCHEDULES'!H45+'06_DEBT_SCHEDULES'!H54+'06_DEBT_SCHEDULES'!H63)</f>
        <v/>
      </c>
      <c r="I28" s="80">
        <f>('06_DEBT_SCHEDULES'!I27+'06_DEBT_SCHEDULES'!I36+'06_DEBT_SCHEDULES'!I45+'06_DEBT_SCHEDULES'!I54+'06_DEBT_SCHEDULES'!I63)</f>
        <v/>
      </c>
      <c r="J28" s="80">
        <f>('06_DEBT_SCHEDULES'!J27+'06_DEBT_SCHEDULES'!J36+'06_DEBT_SCHEDULES'!J45+'06_DEBT_SCHEDULES'!J54+'06_DEBT_SCHEDULES'!J63)</f>
        <v/>
      </c>
      <c r="K28" s="80">
        <f>('06_DEBT_SCHEDULES'!K27+'06_DEBT_SCHEDULES'!K36+'06_DEBT_SCHEDULES'!K45+'06_DEBT_SCHEDULES'!K54+'06_DEBT_SCHEDULES'!K63)</f>
        <v/>
      </c>
      <c r="L28" s="80">
        <f>('06_DEBT_SCHEDULES'!L27+'06_DEBT_SCHEDULES'!L36+'06_DEBT_SCHEDULES'!L45+'06_DEBT_SCHEDULES'!L54+'06_DEBT_SCHEDULES'!L63)</f>
        <v/>
      </c>
    </row>
    <row r="29" ht="18" customHeight="1">
      <c r="B29" s="32" t="inlineStr">
        <is>
          <t>ALLOCATION: REVOLVER THEN SWEEP ORDER</t>
        </is>
      </c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</row>
    <row r="30" ht="15" customHeight="1">
      <c r="B30" s="35" t="inlineStr">
        <is>
          <t>Revolver draw</t>
        </is>
      </c>
      <c r="C30" s="34" t="inlineStr">
        <is>
          <t>DKKm</t>
        </is>
      </c>
      <c r="E30" s="87" t="n">
        <v>0</v>
      </c>
      <c r="F30" s="80">
        <f>MIN('06_DEBT_SCHEDULES'!$E$14-'06_DEBT_SCHEDULES'!F22, F27)</f>
        <v/>
      </c>
      <c r="G30" s="80">
        <f>MIN('06_DEBT_SCHEDULES'!$E$14-'06_DEBT_SCHEDULES'!G22, G27)</f>
        <v/>
      </c>
      <c r="H30" s="80">
        <f>MIN('06_DEBT_SCHEDULES'!$E$14-'06_DEBT_SCHEDULES'!H22, H27)</f>
        <v/>
      </c>
      <c r="I30" s="80">
        <f>MIN('06_DEBT_SCHEDULES'!$E$14-'06_DEBT_SCHEDULES'!I22, I27)</f>
        <v/>
      </c>
      <c r="J30" s="80">
        <f>MIN('06_DEBT_SCHEDULES'!$E$14-'06_DEBT_SCHEDULES'!J22, J27)</f>
        <v/>
      </c>
      <c r="K30" s="80">
        <f>MIN('06_DEBT_SCHEDULES'!$E$14-'06_DEBT_SCHEDULES'!K22, K27)</f>
        <v/>
      </c>
      <c r="L30" s="80">
        <f>MIN('06_DEBT_SCHEDULES'!$E$14-'06_DEBT_SCHEDULES'!L22, L27)</f>
        <v/>
      </c>
    </row>
    <row r="31" ht="15" customHeight="1">
      <c r="B31" s="35" t="inlineStr">
        <is>
          <t>Revolver repay</t>
        </is>
      </c>
      <c r="C31" s="34" t="inlineStr">
        <is>
          <t>DKKm</t>
        </is>
      </c>
      <c r="E31" s="87" t="n">
        <v>0</v>
      </c>
      <c r="F31" s="80">
        <f>MIN('06_DEBT_SCHEDULES'!F22, F25)</f>
        <v/>
      </c>
      <c r="G31" s="80">
        <f>MIN('06_DEBT_SCHEDULES'!G22, G25)</f>
        <v/>
      </c>
      <c r="H31" s="80">
        <f>MIN('06_DEBT_SCHEDULES'!H22, H25)</f>
        <v/>
      </c>
      <c r="I31" s="80">
        <f>MIN('06_DEBT_SCHEDULES'!I22, I25)</f>
        <v/>
      </c>
      <c r="J31" s="80">
        <f>MIN('06_DEBT_SCHEDULES'!J22, J25)</f>
        <v/>
      </c>
      <c r="K31" s="80">
        <f>MIN('06_DEBT_SCHEDULES'!K22, K25)</f>
        <v/>
      </c>
      <c r="L31" s="80">
        <f>MIN('06_DEBT_SCHEDULES'!L22, L25)</f>
        <v/>
      </c>
    </row>
    <row r="32" ht="15" customHeight="1">
      <c r="B32" s="35" t="inlineStr">
        <is>
          <t>Remaining sweep after revolver</t>
        </is>
      </c>
      <c r="C32" s="34" t="inlineStr">
        <is>
          <t>DKKm</t>
        </is>
      </c>
      <c r="E32" s="87" t="n">
        <v>0</v>
      </c>
      <c r="F32" s="87">
        <f>MAX(0,F25-F31)</f>
        <v/>
      </c>
      <c r="G32" s="87">
        <f>MAX(0,G25-G31)</f>
        <v/>
      </c>
      <c r="H32" s="87">
        <f>MAX(0,H25-H31)</f>
        <v/>
      </c>
      <c r="I32" s="87">
        <f>MAX(0,I25-I31)</f>
        <v/>
      </c>
      <c r="J32" s="87">
        <f>MAX(0,J25-J31)</f>
        <v/>
      </c>
      <c r="K32" s="87">
        <f>MAX(0,K25-K31)</f>
        <v/>
      </c>
      <c r="L32" s="87">
        <f>MAX(0,L25-L31)</f>
        <v/>
      </c>
    </row>
    <row r="33" ht="15" customHeight="1">
      <c r="B33" s="35" t="inlineStr">
        <is>
          <t>Sweep to Term Loan B</t>
        </is>
      </c>
      <c r="C33" s="34" t="inlineStr">
        <is>
          <t>DKKm</t>
        </is>
      </c>
      <c r="E33" s="87" t="n">
        <v>0</v>
      </c>
      <c r="F33" s="80">
        <f>MIN(F32, MAX(0,'06_DEBT_SCHEDULES'!F40-'06_DEBT_SCHEDULES'!F41))</f>
        <v/>
      </c>
      <c r="G33" s="80">
        <f>MIN(G32, MAX(0,'06_DEBT_SCHEDULES'!G40-'06_DEBT_SCHEDULES'!G41))</f>
        <v/>
      </c>
      <c r="H33" s="80">
        <f>MIN(H32, MAX(0,'06_DEBT_SCHEDULES'!H40-'06_DEBT_SCHEDULES'!H41))</f>
        <v/>
      </c>
      <c r="I33" s="80">
        <f>MIN(I32, MAX(0,'06_DEBT_SCHEDULES'!I40-'06_DEBT_SCHEDULES'!I41))</f>
        <v/>
      </c>
      <c r="J33" s="80">
        <f>MIN(J32, MAX(0,'06_DEBT_SCHEDULES'!J40-'06_DEBT_SCHEDULES'!J41))</f>
        <v/>
      </c>
      <c r="K33" s="80">
        <f>MIN(K32, MAX(0,'06_DEBT_SCHEDULES'!K40-'06_DEBT_SCHEDULES'!K41))</f>
        <v/>
      </c>
      <c r="L33" s="80">
        <f>MIN(L32, MAX(0,'06_DEBT_SCHEDULES'!L40-'06_DEBT_SCHEDULES'!L41))</f>
        <v/>
      </c>
    </row>
    <row r="34" ht="15" customHeight="1">
      <c r="B34" s="35" t="inlineStr">
        <is>
          <t>Sweep to Term Loan A</t>
        </is>
      </c>
      <c r="C34" s="34" t="inlineStr">
        <is>
          <t>DKKm</t>
        </is>
      </c>
      <c r="E34" s="87" t="n">
        <v>0</v>
      </c>
      <c r="F34" s="80">
        <f>MIN(MAX(0,F32-F33), MAX(0,'06_DEBT_SCHEDULES'!F31-'06_DEBT_SCHEDULES'!F32))</f>
        <v/>
      </c>
      <c r="G34" s="80">
        <f>MIN(MAX(0,G32-G33), MAX(0,'06_DEBT_SCHEDULES'!G31-'06_DEBT_SCHEDULES'!G32))</f>
        <v/>
      </c>
      <c r="H34" s="80">
        <f>MIN(MAX(0,H32-H33), MAX(0,'06_DEBT_SCHEDULES'!H31-'06_DEBT_SCHEDULES'!H32))</f>
        <v/>
      </c>
      <c r="I34" s="80">
        <f>MIN(MAX(0,I32-I33), MAX(0,'06_DEBT_SCHEDULES'!I31-'06_DEBT_SCHEDULES'!I32))</f>
        <v/>
      </c>
      <c r="J34" s="80">
        <f>MIN(MAX(0,J32-J33), MAX(0,'06_DEBT_SCHEDULES'!J31-'06_DEBT_SCHEDULES'!J32))</f>
        <v/>
      </c>
      <c r="K34" s="80">
        <f>MIN(MAX(0,K32-K33), MAX(0,'06_DEBT_SCHEDULES'!K31-'06_DEBT_SCHEDULES'!K32))</f>
        <v/>
      </c>
      <c r="L34" s="80">
        <f>MIN(MAX(0,L32-L33), MAX(0,'06_DEBT_SCHEDULES'!L31-'06_DEBT_SCHEDULES'!L32))</f>
        <v/>
      </c>
    </row>
    <row r="35" ht="15" customHeight="1">
      <c r="B35" s="35" t="inlineStr">
        <is>
          <t>Sweep to SSN</t>
        </is>
      </c>
      <c r="C35" s="34" t="inlineStr">
        <is>
          <t>DKKm</t>
        </is>
      </c>
      <c r="E35" s="87" t="n">
        <v>0</v>
      </c>
      <c r="F35" s="80">
        <f>MIN(MAX(0,F32-F33-F34), MAX(0,'06_DEBT_SCHEDULES'!F49-'06_DEBT_SCHEDULES'!F50))</f>
        <v/>
      </c>
      <c r="G35" s="80">
        <f>MIN(MAX(0,G32-G33-G34), MAX(0,'06_DEBT_SCHEDULES'!G49-'06_DEBT_SCHEDULES'!G50))</f>
        <v/>
      </c>
      <c r="H35" s="80">
        <f>MIN(MAX(0,H32-H33-H34), MAX(0,'06_DEBT_SCHEDULES'!H49-'06_DEBT_SCHEDULES'!H50))</f>
        <v/>
      </c>
      <c r="I35" s="80">
        <f>MIN(MAX(0,I32-I33-I34), MAX(0,'06_DEBT_SCHEDULES'!I49-'06_DEBT_SCHEDULES'!I50))</f>
        <v/>
      </c>
      <c r="J35" s="80">
        <f>MIN(MAX(0,J32-J33-J34), MAX(0,'06_DEBT_SCHEDULES'!J49-'06_DEBT_SCHEDULES'!J50))</f>
        <v/>
      </c>
      <c r="K35" s="80">
        <f>MIN(MAX(0,K32-K33-K34), MAX(0,'06_DEBT_SCHEDULES'!K49-'06_DEBT_SCHEDULES'!K50))</f>
        <v/>
      </c>
      <c r="L35" s="80">
        <f>MIN(MAX(0,L32-L33-L34), MAX(0,'06_DEBT_SCHEDULES'!L49-'06_DEBT_SCHEDULES'!L50))</f>
        <v/>
      </c>
    </row>
    <row r="36" ht="15" customHeight="1">
      <c r="B36" s="35" t="inlineStr">
        <is>
          <t>Sweep to Mezz/PIK</t>
        </is>
      </c>
      <c r="C36" s="34" t="inlineStr">
        <is>
          <t>DKKm</t>
        </is>
      </c>
      <c r="E36" s="87" t="n">
        <v>0</v>
      </c>
      <c r="F36" s="80">
        <f>MIN(MAX(0,F32-F33-F34-F35), MAX(0,'06_DEBT_SCHEDULES'!F58-'06_DEBT_SCHEDULES'!F59))</f>
        <v/>
      </c>
      <c r="G36" s="80">
        <f>MIN(MAX(0,G32-G33-G34-G35), MAX(0,'06_DEBT_SCHEDULES'!G58-'06_DEBT_SCHEDULES'!G59))</f>
        <v/>
      </c>
      <c r="H36" s="80">
        <f>MIN(MAX(0,H32-H33-H34-H35), MAX(0,'06_DEBT_SCHEDULES'!H58-'06_DEBT_SCHEDULES'!H59))</f>
        <v/>
      </c>
      <c r="I36" s="80">
        <f>MIN(MAX(0,I32-I33-I34-I35), MAX(0,'06_DEBT_SCHEDULES'!I58-'06_DEBT_SCHEDULES'!I59))</f>
        <v/>
      </c>
      <c r="J36" s="80">
        <f>MIN(MAX(0,J32-J33-J34-J35), MAX(0,'06_DEBT_SCHEDULES'!J58-'06_DEBT_SCHEDULES'!J59))</f>
        <v/>
      </c>
      <c r="K36" s="80">
        <f>MIN(MAX(0,K32-K33-K34-K35), MAX(0,'06_DEBT_SCHEDULES'!K58-'06_DEBT_SCHEDULES'!K59))</f>
        <v/>
      </c>
      <c r="L36" s="80">
        <f>MIN(MAX(0,L32-L33-L34-L35), MAX(0,'06_DEBT_SCHEDULES'!L58-'06_DEBT_SCHEDULES'!L59))</f>
        <v/>
      </c>
    </row>
    <row r="37" ht="15" customHeight="1"/>
    <row r="38" ht="18" customHeight="1">
      <c r="B38" s="32" t="inlineStr">
        <is>
          <t>CASH BALANCE</t>
        </is>
      </c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</row>
    <row r="39" ht="15" customHeight="1"/>
    <row r="40" ht="15" customHeight="1">
      <c r="B40" s="35" t="inlineStr">
        <is>
          <t>Residual sweep (not allocated)</t>
        </is>
      </c>
      <c r="C40" s="34" t="inlineStr">
        <is>
          <t>DKKm</t>
        </is>
      </c>
      <c r="E40" s="87" t="n">
        <v>0</v>
      </c>
      <c r="F40" s="87">
        <f>MAX(0,F32-F33-F34-F35-F36)</f>
        <v/>
      </c>
      <c r="G40" s="87">
        <f>MAX(0,G32-G33-G34-G35-G36)</f>
        <v/>
      </c>
      <c r="H40" s="87">
        <f>MAX(0,H32-H33-H34-H35-H36)</f>
        <v/>
      </c>
      <c r="I40" s="87">
        <f>MAX(0,I32-I33-I34-I35-I36)</f>
        <v/>
      </c>
      <c r="J40" s="87">
        <f>MAX(0,J32-J33-J34-J35-J36)</f>
        <v/>
      </c>
      <c r="K40" s="87">
        <f>MAX(0,K32-K33-K34-K35-K36)</f>
        <v/>
      </c>
      <c r="L40" s="87">
        <f>MAX(0,L32-L33-L34-L35-L36)</f>
        <v/>
      </c>
    </row>
    <row r="41" ht="15" customHeight="1">
      <c r="B41" s="35" t="inlineStr">
        <is>
          <t>Ending cash balance</t>
        </is>
      </c>
      <c r="C41" s="34" t="inlineStr">
        <is>
          <t>DKKm</t>
        </is>
      </c>
      <c r="E41" s="80">
        <f>'01_CONTROL'!$D$33</f>
        <v/>
      </c>
      <c r="F41" s="87">
        <f>IF(F27&gt;0,0,F26+F40)</f>
        <v/>
      </c>
      <c r="G41" s="87">
        <f>IF(G27&gt;0,0,G26+G40)</f>
        <v/>
      </c>
      <c r="H41" s="87">
        <f>IF(H27&gt;0,0,H26+H40)</f>
        <v/>
      </c>
      <c r="I41" s="87">
        <f>IF(I27&gt;0,0,I26+I40)</f>
        <v/>
      </c>
      <c r="J41" s="87">
        <f>IF(J27&gt;0,0,J26+J40)</f>
        <v/>
      </c>
      <c r="K41" s="87">
        <f>IF(K27&gt;0,0,K26+K40)</f>
        <v/>
      </c>
      <c r="L41" s="87">
        <f>IF(L27&gt;0,0,L26+L40)</f>
        <v/>
      </c>
    </row>
    <row r="42" ht="15" customHeight="1">
      <c r="B42" s="35" t="inlineStr">
        <is>
          <t>Cash bridge check (should be 0)</t>
        </is>
      </c>
      <c r="C42" s="34" t="inlineStr">
        <is>
          <t>DKKm</t>
        </is>
      </c>
      <c r="E42" s="87" t="n">
        <v>0</v>
      </c>
      <c r="F42" s="87">
        <f>F23 - (F26+F31+F33+F34+F35+F36+F40) + F30</f>
        <v/>
      </c>
      <c r="G42" s="87">
        <f>G23 - (G26+G31+G33+G34+G35+G36+G40) + G30</f>
        <v/>
      </c>
      <c r="H42" s="87">
        <f>H23 - (H26+H31+H33+H34+H35+H36+H40) + H30</f>
        <v/>
      </c>
      <c r="I42" s="87">
        <f>I23 - (I26+I31+I33+I34+I35+I36+I40) + I30</f>
        <v/>
      </c>
      <c r="J42" s="87">
        <f>J23 - (J26+J31+J33+J34+J35+J36+J40) + J30</f>
        <v/>
      </c>
      <c r="K42" s="87">
        <f>K23 - (K26+K31+K33+K34+K35+K36+K40) + K30</f>
        <v/>
      </c>
      <c r="L42" s="87">
        <f>L23 - (L26+L31+L33+L34+L35+L36+L40) + L30</f>
        <v/>
      </c>
    </row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pageMargins left="0.3" right="0.3" top="0.5" bottom="0.5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22" customWidth="1" min="3" max="3"/>
    <col width="22" customWidth="1" min="4" max="4"/>
    <col width="22" customWidth="1" min="5" max="5"/>
  </cols>
  <sheetData>
    <row r="1" ht="15" customHeight="1">
      <c r="A1" s="26" t="n"/>
      <c r="B1" s="27" t="inlineStr">
        <is>
          <t>LBO Model Builder (Training Simulation)</t>
        </is>
      </c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</row>
    <row r="2" ht="16" customHeight="1">
      <c r="A2" s="28" t="n"/>
      <c r="B2" s="2" t="inlineStr">
        <is>
          <t>CHECKS:</t>
        </is>
      </c>
      <c r="C2" s="3">
        <f>HYPERLINK("#'90_CHECKS'!B6",'90_CHECKS'!$C$22)</f>
        <v/>
      </c>
      <c r="D2" s="28" t="n"/>
      <c r="E2" s="28" t="n"/>
      <c r="F2" s="28" t="n"/>
      <c r="G2" s="28" t="n"/>
      <c r="H2" s="28" t="n"/>
      <c r="I2" s="28" t="n"/>
      <c r="J2" s="28" t="n"/>
      <c r="K2" s="28" t="n"/>
      <c r="L2" s="28" t="n"/>
      <c r="M2" s="28" t="n"/>
      <c r="N2" s="28" t="n"/>
    </row>
    <row r="3" ht="15" customHeight="1">
      <c r="A3" s="28" t="n"/>
      <c r="B3" s="29" t="inlineStr">
        <is>
          <t>Checks:</t>
        </is>
      </c>
      <c r="C3" s="30">
        <f>HYPERLINK("#'90_CHECKS'!B2","Go to 90_CHECKS")</f>
        <v/>
      </c>
      <c r="D3" s="28" t="n"/>
      <c r="E3" s="28" t="n"/>
      <c r="F3" s="28" t="n"/>
      <c r="G3" s="28" t="n"/>
      <c r="H3" s="28" t="n"/>
      <c r="I3" s="28" t="n"/>
      <c r="J3" s="28" t="n"/>
      <c r="K3" s="28" t="n"/>
      <c r="L3" s="28" t="n"/>
      <c r="M3" s="28" t="n"/>
      <c r="N3" s="28" t="n"/>
    </row>
    <row r="4" ht="15" customHeight="1">
      <c r="A4" s="28" t="n"/>
      <c r="B4" s="29" t="inlineStr">
        <is>
          <t>Units:</t>
        </is>
      </c>
      <c r="C4" s="29" t="inlineStr">
        <is>
          <t>DKKm</t>
        </is>
      </c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</row>
    <row r="5" ht="15" customHeight="1">
      <c r="A5" s="28" t="n"/>
      <c r="B5" s="29" t="inlineStr">
        <is>
          <t>Version:</t>
        </is>
      </c>
      <c r="C5" s="29" t="inlineStr">
        <is>
          <t>v0.1</t>
        </is>
      </c>
      <c r="D5" s="28" t="n"/>
      <c r="E5" s="28" t="n"/>
      <c r="F5" s="28" t="n"/>
      <c r="G5" s="28" t="n"/>
      <c r="H5" s="28" t="n"/>
      <c r="I5" s="28" t="n"/>
      <c r="J5" s="28" t="n"/>
      <c r="K5" s="28" t="n"/>
      <c r="L5" s="28" t="n"/>
      <c r="M5" s="28" t="n"/>
      <c r="N5" s="28" t="n"/>
    </row>
    <row r="6" ht="15" customHeight="1">
      <c r="A6" s="28" t="n"/>
      <c r="B6" s="29" t="inlineStr">
        <is>
          <t>Date:</t>
        </is>
      </c>
      <c r="C6" s="82" t="n">
        <v>46069</v>
      </c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</row>
    <row r="7" ht="15" customHeight="1"/>
    <row r="8" ht="15" customHeight="1"/>
    <row r="9" ht="15" customHeight="1"/>
    <row r="10" ht="18" customHeight="1">
      <c r="B10" s="32" t="inlineStr">
        <is>
          <t>EXIT AND EQUITY BRIDGE</t>
        </is>
      </c>
      <c r="C10" s="33" t="n"/>
      <c r="D10" s="33" t="n"/>
      <c r="E10" s="33" t="n"/>
      <c r="F10" s="33" t="n"/>
      <c r="G10" s="33" t="n"/>
      <c r="H10" s="33" t="n"/>
    </row>
    <row r="11" ht="15" customHeight="1"/>
    <row r="12" ht="18" customHeight="1">
      <c r="B12" s="32" t="inlineStr">
        <is>
          <t>EXIT ASSUMPTIONS AND EV</t>
        </is>
      </c>
      <c r="C12" s="33" t="n"/>
      <c r="D12" s="33" t="n"/>
      <c r="E12" s="33" t="n"/>
      <c r="F12" s="33" t="n"/>
      <c r="G12" s="33" t="n"/>
      <c r="H12" s="33" t="n"/>
    </row>
    <row r="13" ht="15" customHeight="1"/>
    <row r="14" ht="15" customHeight="1">
      <c r="B14" s="34" t="inlineStr">
        <is>
          <t>Exit year (hold period, years)</t>
        </is>
      </c>
      <c r="D14" s="58">
        <f>'01_CONTROL'!$D$14</f>
        <v/>
      </c>
    </row>
    <row r="15" ht="15" customHeight="1">
      <c r="B15" s="34" t="inlineStr">
        <is>
          <t>Exit EBITDA (DKKm)</t>
        </is>
      </c>
      <c r="D15" s="80">
        <f>INDEX('04_OPERATING_MODEL'!$E$15:$L$15,1,Hold_Col)</f>
        <v/>
      </c>
    </row>
    <row r="16" ht="15" customHeight="1">
      <c r="B16" s="34" t="inlineStr">
        <is>
          <t>Exit method</t>
        </is>
      </c>
      <c r="D16" s="58">
        <f>'01_CONTROL'!$D$17</f>
        <v/>
      </c>
    </row>
    <row r="17" ht="15" customHeight="1">
      <c r="B17" s="34" t="inlineStr">
        <is>
          <t>Exit multiple (x)</t>
        </is>
      </c>
      <c r="D17" s="22">
        <f>'01_CONTROL'!$D$18</f>
        <v/>
      </c>
    </row>
    <row r="18" ht="15" customHeight="1">
      <c r="B18" s="34" t="inlineStr">
        <is>
          <t>Exit equity value target (DKKm)</t>
        </is>
      </c>
      <c r="D18" s="80">
        <f>'01_CONTROL'!$D$19</f>
        <v/>
      </c>
    </row>
    <row r="19" ht="15" customHeight="1">
      <c r="B19" s="34" t="inlineStr">
        <is>
          <t>Exit fees (% EV)</t>
        </is>
      </c>
      <c r="D19" s="89">
        <f>'01_CONTROL'!$D$35</f>
        <v/>
      </c>
    </row>
    <row r="20" ht="15" customHeight="1">
      <c r="D20" s="56" t="n"/>
    </row>
    <row r="21" ht="18" customHeight="1">
      <c r="B21" s="32" t="inlineStr">
        <is>
          <t>EV TO EQUITY BRIDGE (DKKM)</t>
        </is>
      </c>
      <c r="C21" s="33" t="n"/>
      <c r="D21" s="33" t="n"/>
      <c r="E21" s="33" t="n"/>
      <c r="F21" s="33" t="n"/>
      <c r="G21" s="33" t="n"/>
      <c r="H21" s="33" t="n"/>
    </row>
    <row r="22" ht="15" customHeight="1">
      <c r="D22" s="56" t="n"/>
    </row>
    <row r="23" ht="15" customHeight="1">
      <c r="B23" s="35" t="inlineStr">
        <is>
          <t>Exit EV (DKKm)</t>
        </is>
      </c>
      <c r="D23" s="87">
        <f>IF(Exit_Method="Exit Multiple", D15*Exit_Multiple, (Exit_Equity_Target + D24 - D25)/(1-D19))</f>
        <v/>
      </c>
    </row>
    <row r="24" ht="15" customHeight="1">
      <c r="B24" s="35" t="inlineStr">
        <is>
          <t>Less: net debt at exit</t>
        </is>
      </c>
      <c r="D24" s="80">
        <f>INDEX('06_DEBT_SCHEDULES'!$E$67:$L$67,1,Hold_Col)</f>
        <v/>
      </c>
    </row>
    <row r="25" ht="15" customHeight="1">
      <c r="B25" s="35" t="inlineStr">
        <is>
          <t>Plus: cash at exit</t>
        </is>
      </c>
      <c r="D25" s="80">
        <f>INDEX('07_CASH_FLOW_WATERFALL'!$E$41:$L$41,1,Hold_Col)</f>
        <v/>
      </c>
    </row>
    <row r="26" ht="15" customHeight="1">
      <c r="B26" s="35" t="inlineStr">
        <is>
          <t>Less: exit fees</t>
        </is>
      </c>
      <c r="D26" s="87">
        <f>D23*D19</f>
        <v/>
      </c>
    </row>
    <row r="27" ht="15" customHeight="1">
      <c r="B27" s="35" t="inlineStr">
        <is>
          <t>Exit equity proceeds</t>
        </is>
      </c>
      <c r="D27" s="91">
        <f>D23-D24+D25-D26</f>
        <v/>
      </c>
    </row>
    <row r="28" ht="15" customHeight="1"/>
    <row r="29" ht="18" customHeight="1">
      <c r="B29" s="32" t="inlineStr">
        <is>
          <t>EQUITY PROCEEDS SPLIT (DKKM)</t>
        </is>
      </c>
      <c r="C29" s="33" t="n"/>
      <c r="D29" s="33" t="n"/>
      <c r="E29" s="33" t="n"/>
      <c r="F29" s="33" t="n"/>
      <c r="G29" s="33" t="n"/>
      <c r="H29" s="33" t="n"/>
    </row>
    <row r="30" ht="15" customHeight="1"/>
    <row r="31" ht="15" customHeight="1">
      <c r="B31" s="35" t="inlineStr">
        <is>
          <t>Sponsor equity invested</t>
        </is>
      </c>
      <c r="D31" s="58">
        <f>'05_SOURCES_AND_USES'!$D$38</f>
        <v/>
      </c>
    </row>
    <row r="32" ht="15" customHeight="1">
      <c r="B32" s="35" t="inlineStr">
        <is>
          <t>Mgmt equity invested</t>
        </is>
      </c>
      <c r="D32" s="58">
        <f>'05_SOURCES_AND_USES'!$D$39</f>
        <v/>
      </c>
    </row>
    <row r="33" ht="15" customHeight="1">
      <c r="B33" s="35" t="inlineStr">
        <is>
          <t>Total equity invested</t>
        </is>
      </c>
      <c r="D33" s="58">
        <f>'05_SOURCES_AND_USES'!$D$40</f>
        <v/>
      </c>
    </row>
    <row r="34" ht="15" customHeight="1">
      <c r="B34" s="35" t="inlineStr">
        <is>
          <t>Sponsor ownership (%)</t>
        </is>
      </c>
      <c r="D34" s="86">
        <f>IF(D33=0,0,D31/D33)</f>
        <v/>
      </c>
    </row>
    <row r="35" ht="15" customHeight="1">
      <c r="B35" s="35" t="inlineStr">
        <is>
          <t>Sponsor proceeds at exit</t>
        </is>
      </c>
      <c r="D35" s="87">
        <f>D27*D34</f>
        <v/>
      </c>
    </row>
    <row r="36" ht="15" customHeight="1">
      <c r="B36" s="35" t="inlineStr">
        <is>
          <t>Mgmt proceeds at exit</t>
        </is>
      </c>
      <c r="D36" s="87">
        <f>D27-D35</f>
        <v/>
      </c>
    </row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pageMargins left="0.3" right="0.3" top="0.5" bottom="0.5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5"/>
  <sheetViews>
    <sheetView showGridLines="0" workbookViewId="0">
      <pane xSplit="4" ySplit="9" topLeftCell="E10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2" customWidth="1" min="2" max="2"/>
    <col width="16" customWidth="1" min="3" max="3"/>
    <col width="2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15" customHeight="1">
      <c r="A1" s="26" t="n"/>
      <c r="B1" s="27" t="inlineStr">
        <is>
          <t>LBO Model Builder (Training Simulation)</t>
        </is>
      </c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</row>
    <row r="2" ht="16" customHeight="1">
      <c r="A2" s="28" t="n"/>
      <c r="B2" s="2" t="inlineStr">
        <is>
          <t>CHECKS:</t>
        </is>
      </c>
      <c r="C2" s="3">
        <f>HYPERLINK("#'90_CHECKS'!B6",'90_CHECKS'!$C$22)</f>
        <v/>
      </c>
      <c r="D2" s="28" t="n"/>
      <c r="E2" s="28" t="n"/>
      <c r="F2" s="28" t="n"/>
      <c r="G2" s="28" t="n"/>
      <c r="H2" s="28" t="n"/>
      <c r="I2" s="28" t="n"/>
      <c r="J2" s="28" t="n"/>
      <c r="K2" s="28" t="n"/>
      <c r="L2" s="28" t="n"/>
      <c r="M2" s="28" t="n"/>
      <c r="N2" s="28" t="n"/>
    </row>
    <row r="3" ht="15" customHeight="1">
      <c r="A3" s="28" t="n"/>
      <c r="B3" s="29" t="inlineStr">
        <is>
          <t>Checks:</t>
        </is>
      </c>
      <c r="C3" s="30">
        <f>HYPERLINK("#'90_CHECKS'!B2","Go to 90_CHECKS")</f>
        <v/>
      </c>
      <c r="D3" s="28" t="n"/>
      <c r="E3" s="28" t="n"/>
      <c r="F3" s="28" t="n"/>
      <c r="G3" s="28" t="n"/>
      <c r="H3" s="28" t="n"/>
      <c r="I3" s="28" t="n"/>
      <c r="J3" s="28" t="n"/>
      <c r="K3" s="28" t="n"/>
      <c r="L3" s="28" t="n"/>
      <c r="M3" s="28" t="n"/>
      <c r="N3" s="28" t="n"/>
    </row>
    <row r="4" ht="15" customHeight="1">
      <c r="A4" s="28" t="n"/>
      <c r="B4" s="29" t="inlineStr">
        <is>
          <t>Units:</t>
        </is>
      </c>
      <c r="C4" s="29" t="inlineStr">
        <is>
          <t>DKKm</t>
        </is>
      </c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</row>
    <row r="5" ht="15" customHeight="1">
      <c r="A5" s="28" t="n"/>
      <c r="B5" s="29" t="inlineStr">
        <is>
          <t>Version:</t>
        </is>
      </c>
      <c r="C5" s="29" t="inlineStr">
        <is>
          <t>v0.1</t>
        </is>
      </c>
      <c r="D5" s="28" t="n"/>
      <c r="E5" s="28" t="n"/>
      <c r="F5" s="28" t="n"/>
      <c r="G5" s="28" t="n"/>
      <c r="H5" s="28" t="n"/>
      <c r="I5" s="28" t="n"/>
      <c r="J5" s="28" t="n"/>
      <c r="K5" s="28" t="n"/>
      <c r="L5" s="28" t="n"/>
      <c r="M5" s="28" t="n"/>
      <c r="N5" s="28" t="n"/>
    </row>
    <row r="6" ht="15" customHeight="1">
      <c r="A6" s="28" t="n"/>
      <c r="B6" s="29" t="inlineStr">
        <is>
          <t>Date:</t>
        </is>
      </c>
      <c r="C6" s="82" t="n">
        <v>46069</v>
      </c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</row>
    <row r="7" ht="15" customHeight="1"/>
    <row r="8" ht="15" customHeight="1"/>
    <row r="9" ht="15" customHeight="1">
      <c r="E9">
        <f>'04_OPERATING_MODEL'!E9</f>
        <v/>
      </c>
      <c r="F9">
        <f>'04_OPERATING_MODEL'!F9</f>
        <v/>
      </c>
      <c r="G9">
        <f>'04_OPERATING_MODEL'!G9</f>
        <v/>
      </c>
      <c r="H9">
        <f>'04_OPERATING_MODEL'!H9</f>
        <v/>
      </c>
      <c r="I9">
        <f>'04_OPERATING_MODEL'!I9</f>
        <v/>
      </c>
      <c r="J9">
        <f>'04_OPERATING_MODEL'!J9</f>
        <v/>
      </c>
      <c r="K9">
        <f>'04_OPERATING_MODEL'!K9</f>
        <v/>
      </c>
      <c r="L9">
        <f>'04_OPERATING_MODEL'!L9</f>
        <v/>
      </c>
    </row>
    <row r="10" ht="18" customHeight="1">
      <c r="B10" s="32" t="inlineStr">
        <is>
          <t>RETURNS</t>
        </is>
      </c>
      <c r="C10" s="33" t="n"/>
      <c r="D10" s="33" t="n"/>
      <c r="E10" s="33" t="n"/>
      <c r="F10" s="33" t="n"/>
      <c r="G10" s="33" t="n"/>
      <c r="H10" s="33" t="n"/>
      <c r="I10" s="33" t="n"/>
      <c r="J10" s="33" t="n"/>
      <c r="K10" s="33" t="n"/>
      <c r="L10" s="33" t="n"/>
      <c r="M10" s="33" t="n"/>
      <c r="N10" s="33" t="n"/>
    </row>
    <row r="11" ht="15" customHeight="1"/>
    <row r="12" ht="18" customHeight="1">
      <c r="B12" s="32" t="inlineStr">
        <is>
          <t>EQUITY CASH FLOWS (DKKM)</t>
        </is>
      </c>
      <c r="C12" s="33" t="n"/>
      <c r="D12" s="33" t="n"/>
      <c r="E12" s="33" t="n"/>
      <c r="F12" s="33" t="n"/>
      <c r="G12" s="33" t="n"/>
      <c r="H12" s="33" t="n"/>
      <c r="I12" s="33" t="n"/>
      <c r="J12" s="33" t="n"/>
      <c r="K12" s="33" t="n"/>
      <c r="L12" s="33" t="n"/>
      <c r="M12" s="33" t="n"/>
      <c r="N12" s="33" t="n"/>
    </row>
    <row r="13" ht="15" customHeight="1"/>
    <row r="14" ht="15" customHeight="1">
      <c r="B14" s="35" t="inlineStr">
        <is>
          <t>Sponsor equity CF</t>
        </is>
      </c>
      <c r="C14" s="34" t="inlineStr">
        <is>
          <t>DKKm</t>
        </is>
      </c>
      <c r="E14" s="80">
        <f>-'05_SOURCES_AND_USES'!$D$38</f>
        <v/>
      </c>
      <c r="F14" s="80">
        <f>IF(F9=Hold_Y,'08_EXIT_AND_EQUITY_BRIDGE'!$D$35,0)</f>
        <v/>
      </c>
      <c r="G14" s="80">
        <f>IF(G9=Hold_Y,'08_EXIT_AND_EQUITY_BRIDGE'!$D$35,0)</f>
        <v/>
      </c>
      <c r="H14" s="80">
        <f>IF(H9=Hold_Y,'08_EXIT_AND_EQUITY_BRIDGE'!$D$35,0)</f>
        <v/>
      </c>
      <c r="I14" s="80">
        <f>IF(I9=Hold_Y,'08_EXIT_AND_EQUITY_BRIDGE'!$D$35,0)</f>
        <v/>
      </c>
      <c r="J14" s="80">
        <f>IF(J9=Hold_Y,'08_EXIT_AND_EQUITY_BRIDGE'!$D$35,0)</f>
        <v/>
      </c>
      <c r="K14" s="80">
        <f>IF(K9=Hold_Y,'08_EXIT_AND_EQUITY_BRIDGE'!$D$35,0)</f>
        <v/>
      </c>
      <c r="L14" s="80">
        <f>IF(L9=Hold_Y,'08_EXIT_AND_EQUITY_BRIDGE'!$D$35,0)</f>
        <v/>
      </c>
    </row>
    <row r="15" ht="15" customHeight="1">
      <c r="B15" s="35" t="inlineStr">
        <is>
          <t>Mgmt equity CF</t>
        </is>
      </c>
      <c r="C15" s="34" t="inlineStr">
        <is>
          <t>DKKm</t>
        </is>
      </c>
      <c r="E15" s="80">
        <f>-'05_SOURCES_AND_USES'!$D$39</f>
        <v/>
      </c>
      <c r="F15" s="80">
        <f>IF(F9=Hold_Y,'08_EXIT_AND_EQUITY_BRIDGE'!$D$36,0)</f>
        <v/>
      </c>
      <c r="G15" s="80">
        <f>IF(G9=Hold_Y,'08_EXIT_AND_EQUITY_BRIDGE'!$D$36,0)</f>
        <v/>
      </c>
      <c r="H15" s="80">
        <f>IF(H9=Hold_Y,'08_EXIT_AND_EQUITY_BRIDGE'!$D$36,0)</f>
        <v/>
      </c>
      <c r="I15" s="80">
        <f>IF(I9=Hold_Y,'08_EXIT_AND_EQUITY_BRIDGE'!$D$36,0)</f>
        <v/>
      </c>
      <c r="J15" s="80">
        <f>IF(J9=Hold_Y,'08_EXIT_AND_EQUITY_BRIDGE'!$D$36,0)</f>
        <v/>
      </c>
      <c r="K15" s="80">
        <f>IF(K9=Hold_Y,'08_EXIT_AND_EQUITY_BRIDGE'!$D$36,0)</f>
        <v/>
      </c>
      <c r="L15" s="80">
        <f>IF(L9=Hold_Y,'08_EXIT_AND_EQUITY_BRIDGE'!$D$36,0)</f>
        <v/>
      </c>
    </row>
    <row r="16" ht="15" customHeight="1">
      <c r="B16" s="35" t="inlineStr">
        <is>
          <t>Total equity CF</t>
        </is>
      </c>
      <c r="C16" s="34" t="inlineStr">
        <is>
          <t>DKKm</t>
        </is>
      </c>
      <c r="E16" s="87">
        <f>E14+E15</f>
        <v/>
      </c>
      <c r="F16" s="87">
        <f>F14+F15</f>
        <v/>
      </c>
      <c r="G16" s="87">
        <f>G14+G15</f>
        <v/>
      </c>
      <c r="H16" s="87">
        <f>H14+H15</f>
        <v/>
      </c>
      <c r="I16" s="87">
        <f>I14+I15</f>
        <v/>
      </c>
      <c r="J16" s="87">
        <f>J14+J15</f>
        <v/>
      </c>
      <c r="K16" s="87">
        <f>K14+K15</f>
        <v/>
      </c>
      <c r="L16" s="87">
        <f>L14+L15</f>
        <v/>
      </c>
    </row>
    <row r="17" ht="15" customHeight="1"/>
    <row r="18" ht="18" customHeight="1">
      <c r="B18" s="32" t="inlineStr">
        <is>
          <t>KEY METRICS</t>
        </is>
      </c>
      <c r="C18" s="33" t="n"/>
      <c r="D18" s="33" t="n"/>
      <c r="E18" s="33" t="n"/>
      <c r="F18" s="33" t="n"/>
      <c r="G18" s="33" t="n"/>
      <c r="H18" s="33" t="n"/>
    </row>
    <row r="19" ht="15" customHeight="1"/>
    <row r="20" ht="15" customHeight="1">
      <c r="B20" s="35" t="inlineStr">
        <is>
          <t>Sponsor IRR</t>
        </is>
      </c>
      <c r="D20" s="86">
        <f>IRR(OFFSET($E$14,0,0,1,Hold_Col))</f>
        <v/>
      </c>
    </row>
    <row r="21" ht="15" customHeight="1">
      <c r="B21" s="35" t="inlineStr">
        <is>
          <t>Sponsor MOIC</t>
        </is>
      </c>
      <c r="D21" s="92">
        <f>IF('05_SOURCES_AND_USES'!$D$38=0,0,'08_EXIT_AND_EQUITY_BRIDGE'!$D$35/'05_SOURCES_AND_USES'!$D$38)</f>
        <v/>
      </c>
    </row>
    <row r="22" ht="15" customHeight="1">
      <c r="B22" s="35" t="inlineStr">
        <is>
          <t>Mgmt IRR</t>
        </is>
      </c>
      <c r="D22" s="86">
        <f>IRR(OFFSET($E$15,0,0,1,Hold_Col))</f>
        <v/>
      </c>
    </row>
    <row r="23" ht="15" customHeight="1">
      <c r="B23" s="35" t="inlineStr">
        <is>
          <t>Total equity IRR</t>
        </is>
      </c>
      <c r="D23" s="86">
        <f>IRR(OFFSET($E$16,0,0,1,Hold_Col))</f>
        <v/>
      </c>
    </row>
    <row r="24" ht="15" customHeight="1">
      <c r="B24" s="35" t="inlineStr">
        <is>
          <t>Total equity MOIC</t>
        </is>
      </c>
      <c r="D24" s="92">
        <f>IF('05_SOURCES_AND_USES'!$D$40=0,0,'08_EXIT_AND_EQUITY_BRIDGE'!$D$27/'05_SOURCES_AND_USES'!$D$40)</f>
        <v/>
      </c>
    </row>
    <row r="25" ht="15" customHeight="1">
      <c r="B25" s="35" t="inlineStr">
        <is>
          <t>Deleveraging (Net debt entry -&gt; exit)</t>
        </is>
      </c>
      <c r="D25" s="80">
        <f>'05_SOURCES_AND_USES'!$D$37 - '08_EXIT_AND_EQUITY_BRIDGE'!$D$24</f>
        <v/>
      </c>
    </row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pageMargins left="0.3" right="0.3" top="0.5" bottom="0.5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7"/>
  <sheetViews>
    <sheetView showGridLines="0" workbookViewId="0">
      <pane xSplit="4" ySplit="9" topLeftCell="E10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2" customWidth="1" min="2" max="2"/>
    <col width="16" customWidth="1" min="3" max="3"/>
    <col width="2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15" customHeight="1">
      <c r="A1" s="26" t="n"/>
      <c r="B1" s="27" t="inlineStr">
        <is>
          <t>LBO Model Builder (Training Simulation)</t>
        </is>
      </c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</row>
    <row r="2" ht="16" customHeight="1">
      <c r="A2" s="28" t="n"/>
      <c r="B2" s="2" t="inlineStr">
        <is>
          <t>CHECKS:</t>
        </is>
      </c>
      <c r="C2" s="3">
        <f>HYPERLINK("#'90_CHECKS'!B6",'90_CHECKS'!$C$22)</f>
        <v/>
      </c>
      <c r="D2" s="28" t="n"/>
      <c r="E2" s="28" t="n"/>
      <c r="F2" s="28" t="n"/>
      <c r="G2" s="28" t="n"/>
      <c r="H2" s="28" t="n"/>
      <c r="I2" s="28" t="n"/>
      <c r="J2" s="28" t="n"/>
      <c r="K2" s="28" t="n"/>
      <c r="L2" s="28" t="n"/>
      <c r="M2" s="28" t="n"/>
      <c r="N2" s="28" t="n"/>
    </row>
    <row r="3" ht="15" customHeight="1">
      <c r="A3" s="28" t="n"/>
      <c r="B3" s="29" t="inlineStr">
        <is>
          <t>Checks:</t>
        </is>
      </c>
      <c r="C3" s="30">
        <f>HYPERLINK("#'90_CHECKS'!B2","Go to 90_CHECKS")</f>
        <v/>
      </c>
      <c r="D3" s="28" t="n"/>
      <c r="E3" s="28" t="n"/>
      <c r="F3" s="28" t="n"/>
      <c r="G3" s="28" t="n"/>
      <c r="H3" s="28" t="n"/>
      <c r="I3" s="28" t="n"/>
      <c r="J3" s="28" t="n"/>
      <c r="K3" s="28" t="n"/>
      <c r="L3" s="28" t="n"/>
      <c r="M3" s="28" t="n"/>
      <c r="N3" s="28" t="n"/>
    </row>
    <row r="4" ht="15" customHeight="1">
      <c r="A4" s="28" t="n"/>
      <c r="B4" s="29" t="inlineStr">
        <is>
          <t>Units:</t>
        </is>
      </c>
      <c r="C4" s="29" t="inlineStr">
        <is>
          <t>DKKm</t>
        </is>
      </c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</row>
    <row r="5" ht="15" customHeight="1">
      <c r="A5" s="28" t="n"/>
      <c r="B5" s="29" t="inlineStr">
        <is>
          <t>Version:</t>
        </is>
      </c>
      <c r="C5" s="29" t="inlineStr">
        <is>
          <t>v0.1</t>
        </is>
      </c>
      <c r="D5" s="28" t="n"/>
      <c r="E5" s="28" t="n"/>
      <c r="F5" s="28" t="n"/>
      <c r="G5" s="28" t="n"/>
      <c r="H5" s="28" t="n"/>
      <c r="I5" s="28" t="n"/>
      <c r="J5" s="28" t="n"/>
      <c r="K5" s="28" t="n"/>
      <c r="L5" s="28" t="n"/>
      <c r="M5" s="28" t="n"/>
      <c r="N5" s="28" t="n"/>
    </row>
    <row r="6" ht="15" customHeight="1">
      <c r="A6" s="28" t="n"/>
      <c r="B6" s="29" t="inlineStr">
        <is>
          <t>Date:</t>
        </is>
      </c>
      <c r="C6" s="82" t="n">
        <v>46069</v>
      </c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</row>
    <row r="7" ht="15" customHeight="1">
      <c r="B7" s="46" t="inlineStr">
        <is>
          <t>Period end</t>
        </is>
      </c>
      <c r="C7" s="34" t="inlineStr"/>
      <c r="E7" s="88" t="n">
        <v>46022</v>
      </c>
      <c r="F7" s="88" t="n">
        <v>46387</v>
      </c>
      <c r="G7" s="88" t="n">
        <v>46752</v>
      </c>
      <c r="H7" s="88" t="n">
        <v>47118</v>
      </c>
      <c r="I7" s="88" t="n">
        <v>47483</v>
      </c>
      <c r="J7" s="88" t="n">
        <v>47848</v>
      </c>
      <c r="K7" s="88" t="n">
        <v>48213</v>
      </c>
      <c r="L7" s="88" t="n">
        <v>48579</v>
      </c>
    </row>
    <row r="8" ht="15" customHeight="1">
      <c r="B8" s="46" t="inlineStr">
        <is>
          <t>Period</t>
        </is>
      </c>
      <c r="C8" s="34" t="inlineStr"/>
      <c r="E8" s="48" t="inlineStr">
        <is>
          <t>LTM</t>
        </is>
      </c>
      <c r="F8" s="48" t="inlineStr">
        <is>
          <t>2026E</t>
        </is>
      </c>
      <c r="G8" s="48" t="inlineStr">
        <is>
          <t>2027E</t>
        </is>
      </c>
      <c r="H8" s="48" t="inlineStr">
        <is>
          <t>2028E</t>
        </is>
      </c>
      <c r="I8" s="48" t="inlineStr">
        <is>
          <t>2029E</t>
        </is>
      </c>
      <c r="J8" s="48" t="inlineStr">
        <is>
          <t>2030E</t>
        </is>
      </c>
      <c r="K8" s="48" t="inlineStr">
        <is>
          <t>2031E</t>
        </is>
      </c>
      <c r="L8" s="48" t="inlineStr">
        <is>
          <t>2032E</t>
        </is>
      </c>
    </row>
    <row r="9" ht="15" customHeight="1">
      <c r="B9" s="19" t="inlineStr">
        <is>
          <t>Year #</t>
        </is>
      </c>
      <c r="E9" s="49" t="n">
        <v>0</v>
      </c>
      <c r="F9" s="49" t="n">
        <v>1</v>
      </c>
      <c r="G9" s="49" t="n">
        <v>2</v>
      </c>
      <c r="H9" s="49" t="n">
        <v>3</v>
      </c>
      <c r="I9" s="49" t="n">
        <v>4</v>
      </c>
      <c r="J9" s="49" t="n">
        <v>5</v>
      </c>
      <c r="K9" s="49" t="n">
        <v>6</v>
      </c>
      <c r="L9" s="49" t="n">
        <v>7</v>
      </c>
    </row>
    <row r="10" ht="18" customHeight="1">
      <c r="B10" s="32" t="inlineStr">
        <is>
          <t>COVENANTS AND CREDIT METRICS</t>
        </is>
      </c>
      <c r="C10" s="33" t="n"/>
      <c r="D10" s="33" t="n"/>
      <c r="E10" s="33" t="n"/>
      <c r="F10" s="33" t="n"/>
      <c r="G10" s="33" t="n"/>
      <c r="H10" s="33" t="n"/>
      <c r="I10" s="33" t="n"/>
      <c r="J10" s="33" t="n"/>
      <c r="K10" s="33" t="n"/>
      <c r="L10" s="33" t="n"/>
      <c r="M10" s="33" t="n"/>
      <c r="N10" s="33" t="n"/>
    </row>
    <row r="11" ht="15" customHeight="1"/>
    <row r="12" ht="18" customHeight="1">
      <c r="B12" s="32" t="inlineStr">
        <is>
          <t>CREDIT METRICS (DKKM / X)</t>
        </is>
      </c>
      <c r="C12" s="33" t="n"/>
      <c r="D12" s="33" t="n"/>
      <c r="E12" s="33" t="n"/>
      <c r="F12" s="33" t="n"/>
      <c r="G12" s="33" t="n"/>
      <c r="H12" s="33" t="n"/>
      <c r="I12" s="33" t="n"/>
      <c r="J12" s="33" t="n"/>
      <c r="K12" s="33" t="n"/>
      <c r="L12" s="33" t="n"/>
      <c r="M12" s="33" t="n"/>
      <c r="N12" s="33" t="n"/>
    </row>
    <row r="13" ht="15" customHeight="1"/>
    <row r="14" ht="15" customHeight="1">
      <c r="B14" s="35" t="inlineStr">
        <is>
          <t>EBITDA</t>
        </is>
      </c>
      <c r="C14" s="34" t="inlineStr">
        <is>
          <t>DKKm</t>
        </is>
      </c>
      <c r="E14" s="80">
        <f>'04_OPERATING_MODEL'!E15</f>
        <v/>
      </c>
      <c r="F14" s="80">
        <f>'04_OPERATING_MODEL'!F15</f>
        <v/>
      </c>
      <c r="G14" s="80">
        <f>'04_OPERATING_MODEL'!G15</f>
        <v/>
      </c>
      <c r="H14" s="80">
        <f>'04_OPERATING_MODEL'!H15</f>
        <v/>
      </c>
      <c r="I14" s="80">
        <f>'04_OPERATING_MODEL'!I15</f>
        <v/>
      </c>
      <c r="J14" s="80">
        <f>'04_OPERATING_MODEL'!J15</f>
        <v/>
      </c>
      <c r="K14" s="80">
        <f>'04_OPERATING_MODEL'!K15</f>
        <v/>
      </c>
      <c r="L14" s="80">
        <f>'04_OPERATING_MODEL'!L15</f>
        <v/>
      </c>
    </row>
    <row r="15" ht="15" customHeight="1">
      <c r="B15" s="35" t="inlineStr">
        <is>
          <t>Total debt (ending)</t>
        </is>
      </c>
      <c r="C15" s="34" t="inlineStr">
        <is>
          <t>DKKm</t>
        </is>
      </c>
      <c r="E15" s="80">
        <f>'06_DEBT_SCHEDULES'!E67</f>
        <v/>
      </c>
      <c r="F15" s="80">
        <f>'06_DEBT_SCHEDULES'!F67</f>
        <v/>
      </c>
      <c r="G15" s="80">
        <f>'06_DEBT_SCHEDULES'!G67</f>
        <v/>
      </c>
      <c r="H15" s="80">
        <f>'06_DEBT_SCHEDULES'!H67</f>
        <v/>
      </c>
      <c r="I15" s="80">
        <f>'06_DEBT_SCHEDULES'!I67</f>
        <v/>
      </c>
      <c r="J15" s="80">
        <f>'06_DEBT_SCHEDULES'!J67</f>
        <v/>
      </c>
      <c r="K15" s="80">
        <f>'06_DEBT_SCHEDULES'!K67</f>
        <v/>
      </c>
      <c r="L15" s="80">
        <f>'06_DEBT_SCHEDULES'!L67</f>
        <v/>
      </c>
    </row>
    <row r="16" ht="15" customHeight="1">
      <c r="B16" s="35" t="inlineStr">
        <is>
          <t>Cash (ending)</t>
        </is>
      </c>
      <c r="C16" s="34" t="inlineStr">
        <is>
          <t>DKKm</t>
        </is>
      </c>
      <c r="E16" s="80">
        <f>'07_CASH_FLOW_WATERFALL'!E41</f>
        <v/>
      </c>
      <c r="F16" s="80">
        <f>'07_CASH_FLOW_WATERFALL'!F41</f>
        <v/>
      </c>
      <c r="G16" s="80">
        <f>'07_CASH_FLOW_WATERFALL'!G41</f>
        <v/>
      </c>
      <c r="H16" s="80">
        <f>'07_CASH_FLOW_WATERFALL'!H41</f>
        <v/>
      </c>
      <c r="I16" s="80">
        <f>'07_CASH_FLOW_WATERFALL'!I41</f>
        <v/>
      </c>
      <c r="J16" s="80">
        <f>'07_CASH_FLOW_WATERFALL'!J41</f>
        <v/>
      </c>
      <c r="K16" s="80">
        <f>'07_CASH_FLOW_WATERFALL'!K41</f>
        <v/>
      </c>
      <c r="L16" s="80">
        <f>'07_CASH_FLOW_WATERFALL'!L41</f>
        <v/>
      </c>
    </row>
    <row r="17" ht="15" customHeight="1">
      <c r="B17" s="35" t="inlineStr">
        <is>
          <t>Net debt</t>
        </is>
      </c>
      <c r="C17" s="34" t="inlineStr">
        <is>
          <t>DKKm</t>
        </is>
      </c>
      <c r="E17" s="87">
        <f>E15-E16</f>
        <v/>
      </c>
      <c r="F17" s="87">
        <f>F15-F16</f>
        <v/>
      </c>
      <c r="G17" s="87">
        <f>G15-G16</f>
        <v/>
      </c>
      <c r="H17" s="87">
        <f>H15-H16</f>
        <v/>
      </c>
      <c r="I17" s="87">
        <f>I15-I16</f>
        <v/>
      </c>
      <c r="J17" s="87">
        <f>J15-J16</f>
        <v/>
      </c>
      <c r="K17" s="87">
        <f>K15-K16</f>
        <v/>
      </c>
      <c r="L17" s="87">
        <f>L15-L16</f>
        <v/>
      </c>
    </row>
    <row r="18" ht="15" customHeight="1">
      <c r="B18" s="35" t="inlineStr">
        <is>
          <t>Gross leverage (x)</t>
        </is>
      </c>
      <c r="C18" s="34" t="inlineStr">
        <is>
          <t>x</t>
        </is>
      </c>
      <c r="E18" s="43">
        <f>IF(E14=0,0,E15/E14)</f>
        <v/>
      </c>
      <c r="F18" s="43">
        <f>IF(F14=0,0,F15/F14)</f>
        <v/>
      </c>
      <c r="G18" s="43">
        <f>IF(G14=0,0,G15/G14)</f>
        <v/>
      </c>
      <c r="H18" s="43">
        <f>IF(H14=0,0,H15/H14)</f>
        <v/>
      </c>
      <c r="I18" s="43">
        <f>IF(I14=0,0,I15/I14)</f>
        <v/>
      </c>
      <c r="J18" s="43">
        <f>IF(J14=0,0,J15/J14)</f>
        <v/>
      </c>
      <c r="K18" s="43">
        <f>IF(K14=0,0,K15/K14)</f>
        <v/>
      </c>
      <c r="L18" s="43">
        <f>IF(L14=0,0,L15/L14)</f>
        <v/>
      </c>
    </row>
    <row r="19" ht="15" customHeight="1">
      <c r="B19" s="35" t="inlineStr">
        <is>
          <t>Net leverage (x)</t>
        </is>
      </c>
      <c r="C19" s="34" t="inlineStr">
        <is>
          <t>x</t>
        </is>
      </c>
      <c r="E19" s="43">
        <f>IF(E14=0,0,E17/E14)</f>
        <v/>
      </c>
      <c r="F19" s="43">
        <f>IF(F14=0,0,F17/F14)</f>
        <v/>
      </c>
      <c r="G19" s="43">
        <f>IF(G14=0,0,G17/G14)</f>
        <v/>
      </c>
      <c r="H19" s="43">
        <f>IF(H14=0,0,H17/H14)</f>
        <v/>
      </c>
      <c r="I19" s="43">
        <f>IF(I14=0,0,I17/I14)</f>
        <v/>
      </c>
      <c r="J19" s="43">
        <f>IF(J14=0,0,J17/J14)</f>
        <v/>
      </c>
      <c r="K19" s="43">
        <f>IF(K14=0,0,K17/K14)</f>
        <v/>
      </c>
      <c r="L19" s="43">
        <f>IF(L14=0,0,L17/L14)</f>
        <v/>
      </c>
    </row>
    <row r="20" ht="15" customHeight="1">
      <c r="B20" s="35" t="inlineStr">
        <is>
          <t>Cash interest (positive)</t>
        </is>
      </c>
      <c r="C20" s="34" t="inlineStr">
        <is>
          <t>DKKm</t>
        </is>
      </c>
      <c r="E20" s="80">
        <f>'07_CASH_FLOW_WATERFALL'!E28</f>
        <v/>
      </c>
      <c r="F20" s="80">
        <f>'07_CASH_FLOW_WATERFALL'!F28</f>
        <v/>
      </c>
      <c r="G20" s="80">
        <f>'07_CASH_FLOW_WATERFALL'!G28</f>
        <v/>
      </c>
      <c r="H20" s="80">
        <f>'07_CASH_FLOW_WATERFALL'!H28</f>
        <v/>
      </c>
      <c r="I20" s="80">
        <f>'07_CASH_FLOW_WATERFALL'!I28</f>
        <v/>
      </c>
      <c r="J20" s="80">
        <f>'07_CASH_FLOW_WATERFALL'!J28</f>
        <v/>
      </c>
      <c r="K20" s="80">
        <f>'07_CASH_FLOW_WATERFALL'!K28</f>
        <v/>
      </c>
      <c r="L20" s="80">
        <f>'07_CASH_FLOW_WATERFALL'!L28</f>
        <v/>
      </c>
    </row>
    <row r="21" ht="15" customHeight="1">
      <c r="B21" s="35" t="inlineStr">
        <is>
          <t>Interest coverage (x)</t>
        </is>
      </c>
      <c r="C21" s="34" t="inlineStr">
        <is>
          <t>x</t>
        </is>
      </c>
      <c r="E21" s="43">
        <f>IF(E20=0,0,E14/E20)</f>
        <v/>
      </c>
      <c r="F21" s="43">
        <f>IF(F20=0,0,F14/F20)</f>
        <v/>
      </c>
      <c r="G21" s="43">
        <f>IF(G20=0,0,G14/G20)</f>
        <v/>
      </c>
      <c r="H21" s="43">
        <f>IF(H20=0,0,H14/H20)</f>
        <v/>
      </c>
      <c r="I21" s="43">
        <f>IF(I20=0,0,I14/I20)</f>
        <v/>
      </c>
      <c r="J21" s="43">
        <f>IF(J20=0,0,J14/J20)</f>
        <v/>
      </c>
      <c r="K21" s="43">
        <f>IF(K20=0,0,K14/K20)</f>
        <v/>
      </c>
      <c r="L21" s="43">
        <f>IF(L20=0,0,L14/L20)</f>
        <v/>
      </c>
    </row>
    <row r="22" ht="15" customHeight="1">
      <c r="B22" s="35" t="inlineStr">
        <is>
          <t>Undrawn revolver</t>
        </is>
      </c>
      <c r="C22" s="34" t="inlineStr">
        <is>
          <t>DKKm</t>
        </is>
      </c>
      <c r="E22" s="80">
        <f>'06_DEBT_SCHEDULES'!$E$14-'06_DEBT_SCHEDULES'!E25</f>
        <v/>
      </c>
      <c r="F22" s="80">
        <f>'06_DEBT_SCHEDULES'!$F$14-'06_DEBT_SCHEDULES'!F25</f>
        <v/>
      </c>
      <c r="G22" s="80">
        <f>'06_DEBT_SCHEDULES'!$G$14-'06_DEBT_SCHEDULES'!G25</f>
        <v/>
      </c>
      <c r="H22" s="80">
        <f>'06_DEBT_SCHEDULES'!$H$14-'06_DEBT_SCHEDULES'!H25</f>
        <v/>
      </c>
      <c r="I22" s="80">
        <f>'06_DEBT_SCHEDULES'!$I$14-'06_DEBT_SCHEDULES'!I25</f>
        <v/>
      </c>
      <c r="J22" s="80">
        <f>'06_DEBT_SCHEDULES'!$J$14-'06_DEBT_SCHEDULES'!J25</f>
        <v/>
      </c>
      <c r="K22" s="80">
        <f>'06_DEBT_SCHEDULES'!$K$14-'06_DEBT_SCHEDULES'!K25</f>
        <v/>
      </c>
      <c r="L22" s="80">
        <f>'06_DEBT_SCHEDULES'!$L$14-'06_DEBT_SCHEDULES'!L25</f>
        <v/>
      </c>
    </row>
    <row r="23" ht="15" customHeight="1">
      <c r="B23" s="35" t="inlineStr">
        <is>
          <t>Liquidity (cash + undrawn)</t>
        </is>
      </c>
      <c r="C23" s="34" t="inlineStr">
        <is>
          <t>DKKm</t>
        </is>
      </c>
      <c r="E23" s="87">
        <f>E16+E22</f>
        <v/>
      </c>
      <c r="F23" s="87">
        <f>F16+F22</f>
        <v/>
      </c>
      <c r="G23" s="87">
        <f>G16+G22</f>
        <v/>
      </c>
      <c r="H23" s="87">
        <f>H16+H22</f>
        <v/>
      </c>
      <c r="I23" s="87">
        <f>I16+I22</f>
        <v/>
      </c>
      <c r="J23" s="87">
        <f>J16+J22</f>
        <v/>
      </c>
      <c r="K23" s="87">
        <f>K16+K22</f>
        <v/>
      </c>
      <c r="L23" s="87">
        <f>L16+L22</f>
        <v/>
      </c>
    </row>
    <row r="24" ht="15" customHeight="1"/>
    <row r="25" ht="18" customHeight="1">
      <c r="B25" s="32" t="inlineStr">
        <is>
          <t>COVENANT HEADROOM</t>
        </is>
      </c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</row>
    <row r="26" ht="15" customHeight="1"/>
    <row r="27" ht="15" customHeight="1">
      <c r="B27" s="35" t="inlineStr">
        <is>
          <t>Net leverage headroom (max - actual)</t>
        </is>
      </c>
      <c r="C27" s="34" t="inlineStr">
        <is>
          <t>x</t>
        </is>
      </c>
      <c r="E27" s="43">
        <f>Coven_NetLev_Max-E19</f>
        <v/>
      </c>
      <c r="F27" s="43">
        <f>Coven_NetLev_Max-F19</f>
        <v/>
      </c>
      <c r="G27" s="43">
        <f>Coven_NetLev_Max-G19</f>
        <v/>
      </c>
      <c r="H27" s="43">
        <f>Coven_NetLev_Max-H19</f>
        <v/>
      </c>
      <c r="I27" s="43">
        <f>Coven_NetLev_Max-I19</f>
        <v/>
      </c>
      <c r="J27" s="43">
        <f>Coven_NetLev_Max-J19</f>
        <v/>
      </c>
      <c r="K27" s="43">
        <f>Coven_NetLev_Max-K19</f>
        <v/>
      </c>
      <c r="L27" s="43">
        <f>Coven_NetLev_Max-L19</f>
        <v/>
      </c>
    </row>
    <row r="28" ht="15" customHeight="1">
      <c r="B28" s="35" t="inlineStr">
        <is>
          <t>Interest coverage headroom (actual - min)</t>
        </is>
      </c>
      <c r="C28" s="34" t="inlineStr">
        <is>
          <t>x</t>
        </is>
      </c>
      <c r="E28" s="43">
        <f>E21-Coven_IntCov_Min</f>
        <v/>
      </c>
      <c r="F28" s="43">
        <f>F21-Coven_IntCov_Min</f>
        <v/>
      </c>
      <c r="G28" s="43">
        <f>G21-Coven_IntCov_Min</f>
        <v/>
      </c>
      <c r="H28" s="43">
        <f>H21-Coven_IntCov_Min</f>
        <v/>
      </c>
      <c r="I28" s="43">
        <f>I21-Coven_IntCov_Min</f>
        <v/>
      </c>
      <c r="J28" s="43">
        <f>J21-Coven_IntCov_Min</f>
        <v/>
      </c>
      <c r="K28" s="43">
        <f>K21-Coven_IntCov_Min</f>
        <v/>
      </c>
      <c r="L28" s="43">
        <f>L21-Coven_IntCov_Min</f>
        <v/>
      </c>
    </row>
    <row r="29" ht="15" customHeight="1">
      <c r="B29" s="35" t="inlineStr">
        <is>
          <t>Liquidity headroom (actual - target)</t>
        </is>
      </c>
      <c r="C29" s="34" t="inlineStr">
        <is>
          <t>DKKm</t>
        </is>
      </c>
      <c r="E29" s="87">
        <f>E23-Min_Liq_Target</f>
        <v/>
      </c>
      <c r="F29" s="87">
        <f>F23-Min_Liq_Target</f>
        <v/>
      </c>
      <c r="G29" s="87">
        <f>G23-Min_Liq_Target</f>
        <v/>
      </c>
      <c r="H29" s="87">
        <f>H23-Min_Liq_Target</f>
        <v/>
      </c>
      <c r="I29" s="87">
        <f>I23-Min_Liq_Target</f>
        <v/>
      </c>
      <c r="J29" s="87">
        <f>J23-Min_Liq_Target</f>
        <v/>
      </c>
      <c r="K29" s="87">
        <f>K23-Min_Liq_Target</f>
        <v/>
      </c>
      <c r="L29" s="87">
        <f>L23-Min_Liq_Target</f>
        <v/>
      </c>
    </row>
    <row r="30" ht="15" customHeight="1"/>
    <row r="31" ht="15" customHeight="1"/>
    <row r="32" ht="18" customHeight="1">
      <c r="B32" s="32" t="inlineStr">
        <is>
          <t>SUMMARY (FOR DASHBOARD TILES)</t>
        </is>
      </c>
      <c r="C32" s="33" t="n"/>
      <c r="D32" s="33" t="n"/>
      <c r="E32" s="33" t="n"/>
      <c r="F32" s="33" t="n"/>
      <c r="G32" s="33" t="n"/>
      <c r="H32" s="33" t="n"/>
    </row>
    <row r="33" ht="15" customHeight="1"/>
    <row r="34" ht="15" customHeight="1">
      <c r="B34" s="35" t="inlineStr">
        <is>
          <t>Peak net leverage (x)</t>
        </is>
      </c>
      <c r="D34" s="43">
        <f>MAX($F$19:$L$19)</f>
        <v/>
      </c>
    </row>
    <row r="35" ht="15" customHeight="1">
      <c r="B35" s="35" t="inlineStr">
        <is>
          <t>Min liquidity (DKKm)</t>
        </is>
      </c>
      <c r="D35" s="87">
        <f>MIN($F$23:$L$23)</f>
        <v/>
      </c>
    </row>
    <row r="36" ht="15" customHeight="1">
      <c r="B36" s="35" t="inlineStr">
        <is>
          <t>Min covenant headroom (net lev, x)</t>
        </is>
      </c>
      <c r="D36" s="43">
        <f>MIN($F$27:$L$27)</f>
        <v/>
      </c>
    </row>
    <row r="37" ht="15" customHeight="1">
      <c r="B37" s="35" t="inlineStr">
        <is>
          <t>Min covenant headroom (int cov, x)</t>
        </is>
      </c>
      <c r="D37" s="43">
        <f>MIN($F$28:$L$28)</f>
        <v/>
      </c>
    </row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pageMargins left="0.3" right="0.3" top="0.5" bottom="0.5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200"/>
  <sheetViews>
    <sheetView showGridLines="0" workbookViewId="0">
      <pane xSplit="4" ySplit="9" topLeftCell="E10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2" customWidth="1" min="2" max="2"/>
    <col width="16" customWidth="1" min="3" max="3"/>
    <col width="2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16" customHeight="1">
      <c r="A2" s="1" t="n"/>
      <c r="B2" s="2" t="inlineStr">
        <is>
          <t>CHECKS:</t>
        </is>
      </c>
      <c r="C2" s="3">
        <f>HYPERLINK("#'90_CHECKS'!B6",'90_CHECKS'!$C$22)</f>
        <v/>
      </c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 ht="15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</row>
    <row r="4" ht="18" customHeight="1">
      <c r="A4" s="1" t="n"/>
      <c r="B4" s="8" t="inlineStr">
        <is>
          <t>Sensitivities (data tables)</t>
        </is>
      </c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1" t="n"/>
      <c r="N4" s="1" t="n"/>
      <c r="O4" s="1" t="n"/>
      <c r="P4" s="1" t="n"/>
      <c r="Q4" s="1" t="n"/>
      <c r="R4" s="1" t="n"/>
      <c r="S4" s="1" t="n"/>
      <c r="T4" s="1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</row>
    <row r="6" ht="15" customHeight="1">
      <c r="A6" s="1" t="n"/>
      <c r="B6" s="60" t="inlineStr">
        <is>
          <t>Data tables compute in Excel. Set Calculation to Automatic.</t>
        </is>
      </c>
      <c r="C6" s="67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</row>
    <row r="7" ht="15" customHeight="1">
      <c r="A7" s="1" t="n"/>
      <c r="B7" s="1" t="n"/>
      <c r="C7" s="1" t="n"/>
      <c r="D7" s="1" t="n"/>
      <c r="E7" s="67" t="n"/>
      <c r="F7" s="67" t="n"/>
      <c r="G7" s="67" t="n"/>
      <c r="H7" s="67" t="n"/>
      <c r="I7" s="67" t="n"/>
      <c r="J7" s="67" t="n"/>
      <c r="K7" s="67" t="n"/>
      <c r="L7" s="67" t="n"/>
      <c r="M7" s="1" t="n"/>
      <c r="N7" s="1" t="n"/>
      <c r="O7" s="1" t="n"/>
      <c r="P7" s="1" t="n"/>
      <c r="Q7" s="1" t="n"/>
      <c r="R7" s="1" t="n"/>
      <c r="S7" s="1" t="n"/>
      <c r="T7" s="1" t="n"/>
    </row>
    <row r="8" ht="18" customHeight="1">
      <c r="A8" s="1" t="n"/>
      <c r="B8" s="8" t="inlineStr">
        <is>
          <t>IRR heatmap: Exit multiple vs Revenue growth (proxy for EBITDA CAGR)</t>
        </is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1" t="n"/>
      <c r="N8" s="1" t="n"/>
      <c r="O8" s="1" t="n"/>
      <c r="P8" s="1" t="n"/>
      <c r="Q8" s="1" t="n"/>
      <c r="R8" s="1" t="n"/>
      <c r="S8" s="1" t="n"/>
      <c r="T8" s="1" t="n"/>
    </row>
    <row r="9" ht="15" customHeight="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</row>
    <row r="10" ht="15" customHeight="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</row>
    <row r="11" ht="15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</row>
    <row r="12" ht="15" customHeight="1">
      <c r="A12" s="1" t="n"/>
      <c r="B12" s="1" t="n"/>
      <c r="C12" s="93">
        <f>'09_RETURNS'!$D$20</f>
        <v/>
      </c>
      <c r="D12" s="94" t="n">
        <v>-0.02</v>
      </c>
      <c r="E12" s="94" t="n">
        <v>0</v>
      </c>
      <c r="F12" s="94" t="n">
        <v>0.02</v>
      </c>
      <c r="G12" s="94" t="n">
        <v>0.04</v>
      </c>
      <c r="H12" s="94" t="n">
        <v>0.06</v>
      </c>
      <c r="I12" s="94" t="n">
        <v>0.08</v>
      </c>
      <c r="J12" s="94" t="n">
        <v>0.1</v>
      </c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</row>
    <row r="13" ht="15" customHeight="1">
      <c r="A13" s="1" t="n"/>
      <c r="B13" s="1" t="n"/>
      <c r="C13" s="63" t="n">
        <v>7</v>
      </c>
      <c r="D13" s="89" t="n"/>
      <c r="E13" s="89" t="n"/>
      <c r="F13" s="89" t="n"/>
      <c r="G13" s="89" t="n"/>
      <c r="H13" s="89" t="n"/>
      <c r="I13" s="89" t="n"/>
      <c r="J13" s="89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</row>
    <row r="14" ht="15" customHeight="1">
      <c r="A14" s="1" t="n"/>
      <c r="B14" s="1" t="n"/>
      <c r="C14" s="63" t="n">
        <v>8</v>
      </c>
      <c r="D14" s="89" t="n"/>
      <c r="E14" s="89" t="n"/>
      <c r="F14" s="89" t="n"/>
      <c r="G14" s="89" t="n"/>
      <c r="H14" s="89" t="n"/>
      <c r="I14" s="89" t="n"/>
      <c r="J14" s="89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</row>
    <row r="15" ht="15" customHeight="1">
      <c r="A15" s="1" t="n"/>
      <c r="B15" s="1" t="n"/>
      <c r="C15" s="63" t="n">
        <v>9</v>
      </c>
      <c r="D15" s="89" t="n"/>
      <c r="E15" s="89" t="n"/>
      <c r="F15" s="89" t="n"/>
      <c r="G15" s="89" t="n"/>
      <c r="H15" s="89" t="n"/>
      <c r="I15" s="89" t="n"/>
      <c r="J15" s="89" t="n"/>
      <c r="K15" s="1" t="inlineStr">
        <is>
          <t>SENSITIVITY HELPERS (links to core model)</t>
        </is>
      </c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</row>
    <row r="16" ht="15" customHeight="1">
      <c r="A16" s="1" t="n"/>
      <c r="B16" s="1" t="n"/>
      <c r="C16" s="63" t="n">
        <v>10</v>
      </c>
      <c r="D16" s="89" t="n"/>
      <c r="E16" s="89" t="n"/>
      <c r="F16" s="89" t="n"/>
      <c r="G16" s="89" t="n"/>
      <c r="H16" s="89" t="n"/>
      <c r="I16" s="89" t="n"/>
      <c r="J16" s="89" t="n"/>
      <c r="K16" s="1" t="inlineStr">
        <is>
          <t>LTM EBITDA (DKKm)</t>
        </is>
      </c>
      <c r="L16" s="95">
        <f>'01_CONTROL'!$D$32</f>
        <v/>
      </c>
      <c r="M16" s="1" t="n"/>
      <c r="N16" s="1" t="n"/>
      <c r="O16" s="1" t="n"/>
      <c r="P16" s="1" t="n"/>
      <c r="Q16" s="1" t="n"/>
      <c r="R16" s="1" t="n"/>
      <c r="S16" s="1" t="n"/>
      <c r="T16" s="1" t="n"/>
    </row>
    <row r="17" ht="15" customHeight="1">
      <c r="A17" s="1" t="n"/>
      <c r="B17" s="1" t="n"/>
      <c r="C17" s="63" t="n">
        <v>11</v>
      </c>
      <c r="D17" s="89" t="n"/>
      <c r="E17" s="89" t="n"/>
      <c r="F17" s="89" t="n"/>
      <c r="G17" s="89" t="n"/>
      <c r="H17" s="89" t="n"/>
      <c r="I17" s="89" t="n"/>
      <c r="J17" s="89" t="n"/>
      <c r="K17" s="1" t="inlineStr">
        <is>
          <t>Leverage target (x)</t>
        </is>
      </c>
      <c r="L17" s="96">
        <f>'01_CONTROL'!$D$48</f>
        <v/>
      </c>
      <c r="M17" s="1" t="n"/>
      <c r="N17" s="1" t="n"/>
      <c r="O17" s="1" t="n"/>
      <c r="P17" s="1" t="n"/>
      <c r="Q17" s="1" t="n"/>
      <c r="R17" s="1" t="n"/>
      <c r="S17" s="1" t="n"/>
      <c r="T17" s="1" t="n"/>
    </row>
    <row r="18" ht="15" customHeight="1">
      <c r="A18" s="1" t="n"/>
      <c r="B18" s="1" t="n"/>
      <c r="C18" s="97" t="n"/>
      <c r="D18" s="89" t="n"/>
      <c r="E18" s="89" t="n"/>
      <c r="F18" s="89" t="n"/>
      <c r="G18" s="89" t="n"/>
      <c r="H18" s="89" t="n"/>
      <c r="I18" s="89" t="n"/>
      <c r="J18" s="89" t="n"/>
      <c r="K18" s="1" t="inlineStr">
        <is>
          <t>Total new debt (DKKm)</t>
        </is>
      </c>
      <c r="L18" s="95">
        <f>$L$16*$L$17</f>
        <v/>
      </c>
      <c r="M18" s="1" t="n"/>
      <c r="N18" s="1" t="n"/>
      <c r="O18" s="1" t="n"/>
      <c r="P18" s="1" t="n"/>
      <c r="Q18" s="1" t="n"/>
      <c r="R18" s="1" t="n"/>
      <c r="S18" s="1" t="n"/>
      <c r="T18" s="1" t="n"/>
    </row>
    <row r="19" ht="15" customHeight="1">
      <c r="A19" s="1" t="n"/>
      <c r="B19" s="1" t="n"/>
      <c r="C19" s="96" t="n"/>
      <c r="D19" s="1" t="n"/>
      <c r="E19" s="1" t="n"/>
      <c r="F19" s="1" t="n"/>
      <c r="G19" s="1" t="n"/>
      <c r="H19" s="1" t="n"/>
      <c r="I19" s="1" t="n"/>
      <c r="J19" s="1" t="n"/>
      <c r="K19" s="1" t="inlineStr">
        <is>
          <t>Debt at exit (DKKm)</t>
        </is>
      </c>
      <c r="L19" s="95">
        <f>INDEX('06_DEBT_SCHEDULES'!$E$67:$L$67,1,Hold_Col)</f>
        <v/>
      </c>
      <c r="M19" s="1" t="n"/>
      <c r="N19" s="1" t="n"/>
      <c r="O19" s="1" t="n"/>
      <c r="P19" s="1" t="n"/>
      <c r="Q19" s="1" t="n"/>
      <c r="R19" s="1" t="n"/>
      <c r="S19" s="1" t="n"/>
      <c r="T19" s="1" t="n"/>
    </row>
    <row r="20" ht="15" customHeight="1">
      <c r="A20" s="1" t="n"/>
      <c r="B20" s="1" t="n"/>
      <c r="C20" s="95" t="n"/>
      <c r="D20" s="1" t="n"/>
      <c r="E20" s="1" t="n"/>
      <c r="F20" s="1" t="n"/>
      <c r="G20" s="1" t="n"/>
      <c r="H20" s="1" t="n"/>
      <c r="I20" s="1" t="n"/>
      <c r="J20" s="1" t="n"/>
      <c r="K20" s="1" t="inlineStr">
        <is>
          <t>Cash at exit (DKKm)</t>
        </is>
      </c>
      <c r="L20" s="95">
        <f>INDEX('07_CASH_FLOW_WATERFALL'!$E$41:$L$41,1,Hold_Col)</f>
        <v/>
      </c>
      <c r="M20" s="1" t="n"/>
      <c r="N20" s="1" t="n"/>
      <c r="O20" s="1" t="n"/>
      <c r="P20" s="1" t="n"/>
      <c r="Q20" s="1" t="n"/>
      <c r="R20" s="1" t="n"/>
      <c r="S20" s="1" t="n"/>
      <c r="T20" s="1" t="n"/>
    </row>
    <row r="21" ht="18" customHeight="1">
      <c r="A21" s="1" t="n"/>
      <c r="B21" s="8" t="n"/>
      <c r="C21" s="98" t="n"/>
      <c r="D21" s="9" t="n"/>
      <c r="E21" s="9" t="n"/>
      <c r="F21" s="9" t="n"/>
      <c r="G21" s="9" t="n"/>
      <c r="H21" s="9" t="n"/>
      <c r="I21" s="9" t="n"/>
      <c r="J21" s="9" t="n"/>
      <c r="K21" s="9" t="inlineStr">
        <is>
          <t>Exit EBITDA (DKKm)</t>
        </is>
      </c>
      <c r="L21" s="98">
        <f>INDEX('04_OPERATING_MODEL'!$E$15:$L$15,1,Hold_Col)</f>
        <v/>
      </c>
      <c r="M21" s="1" t="n"/>
      <c r="N21" s="1" t="n"/>
      <c r="O21" s="1" t="n"/>
      <c r="P21" s="1" t="n"/>
      <c r="Q21" s="1" t="n"/>
      <c r="R21" s="1" t="n"/>
      <c r="S21" s="1" t="n"/>
      <c r="T21" s="1" t="n"/>
    </row>
    <row r="22" ht="15" customHeight="1">
      <c r="A22" s="1" t="n"/>
      <c r="B22" s="1" t="n"/>
      <c r="C22" s="95" t="n"/>
      <c r="D22" s="1" t="n"/>
      <c r="E22" s="1" t="n"/>
      <c r="F22" s="1" t="n"/>
      <c r="G22" s="1" t="n"/>
      <c r="H22" s="1" t="n"/>
      <c r="I22" s="1" t="n"/>
      <c r="J22" s="1" t="n"/>
      <c r="K22" s="1" t="inlineStr">
        <is>
          <t>Exit fees (% EV)</t>
        </is>
      </c>
      <c r="L22" s="99">
        <f>'01_CONTROL'!$D$35</f>
        <v/>
      </c>
      <c r="M22" s="1" t="n"/>
      <c r="N22" s="1" t="n"/>
      <c r="O22" s="1" t="n"/>
      <c r="P22" s="1" t="n"/>
      <c r="Q22" s="1" t="n"/>
      <c r="R22" s="1" t="n"/>
      <c r="S22" s="1" t="n"/>
      <c r="T22" s="1" t="n"/>
    </row>
    <row r="23" ht="15" customHeight="1">
      <c r="A23" s="1" t="n"/>
      <c r="B23" s="1" t="n"/>
      <c r="C23" s="100" t="n"/>
      <c r="D23" s="63" t="n">
        <v>9</v>
      </c>
      <c r="E23" s="63" t="n">
        <v>10</v>
      </c>
      <c r="F23" s="63" t="n">
        <v>11</v>
      </c>
      <c r="G23" s="63" t="n">
        <v>12</v>
      </c>
      <c r="H23" s="63" t="n">
        <v>13</v>
      </c>
      <c r="I23" s="63" t="n">
        <v>14</v>
      </c>
      <c r="J23" s="1" t="n"/>
      <c r="K23" s="1" t="inlineStr">
        <is>
          <t>Advisory fee (% EV)</t>
        </is>
      </c>
      <c r="L23" s="99">
        <f>'01_CONTROL'!$D$56</f>
        <v/>
      </c>
      <c r="M23" s="1" t="n"/>
      <c r="N23" s="1" t="n"/>
      <c r="O23" s="1" t="n"/>
      <c r="P23" s="1" t="n"/>
      <c r="Q23" s="1" t="n"/>
      <c r="R23" s="1" t="n"/>
      <c r="S23" s="1" t="n"/>
      <c r="T23" s="1" t="n"/>
    </row>
    <row r="24" ht="15" customHeight="1">
      <c r="A24" s="1" t="n"/>
      <c r="B24" s="1" t="n"/>
      <c r="C24" s="94" t="n">
        <v>7</v>
      </c>
      <c r="D24" s="89">
        <f>IFERROR(IF(((D$23*$L$16)*(1+$L$23)+$L$18*$L$24-$L$18)&lt;=0,NA(),((($C24*$L$21)-$L$19+$L$20-($C24*$L$21)*$L$22)/((D$23*$L$16)*(1+$L$23)+$L$18*$L$24-$L$18))^(1/Hold_Y)-1),NA())</f>
        <v/>
      </c>
      <c r="E24" s="89">
        <f>IFERROR(IF(((E$23*$L$16)*(1+$L$23)+$L$18*$L$24-$L$18)&lt;=0,NA(),((($C24*$L$21)-$L$19+$L$20-($C24*$L$21)*$L$22)/((E$23*$L$16)*(1+$L$23)+$L$18*$L$24-$L$18))^(1/Hold_Y)-1),NA())</f>
        <v/>
      </c>
      <c r="F24" s="89">
        <f>IFERROR(IF(((F$23*$L$16)*(1+$L$23)+$L$18*$L$24-$L$18)&lt;=0,NA(),((($C24*$L$21)-$L$19+$L$20-($C24*$L$21)*$L$22)/((F$23*$L$16)*(1+$L$23)+$L$18*$L$24-$L$18))^(1/Hold_Y)-1),NA())</f>
        <v/>
      </c>
      <c r="G24" s="89">
        <f>IFERROR(IF(((G$23*$L$16)*(1+$L$23)+$L$18*$L$24-$L$18)&lt;=0,NA(),((($C24*$L$21)-$L$19+$L$20-($C24*$L$21)*$L$22)/((G$23*$L$16)*(1+$L$23)+$L$18*$L$24-$L$18))^(1/Hold_Y)-1),NA())</f>
        <v/>
      </c>
      <c r="H24" s="89">
        <f>IFERROR(IF(((H$23*$L$16)*(1+$L$23)+$L$18*$L$24-$L$18)&lt;=0,NA(),((($C24*$L$21)-$L$19+$L$20-($C24*$L$21)*$L$22)/((H$23*$L$16)*(1+$L$23)+$L$18*$L$24-$L$18))^(1/Hold_Y)-1),NA())</f>
        <v/>
      </c>
      <c r="I24" s="89">
        <f>IFERROR(IF(((I$23*$L$16)*(1+$L$23)+$L$18*$L$24-$L$18)&lt;=0,NA(),((($C24*$L$21)-$L$19+$L$20-($C24*$L$21)*$L$22)/((I$23*$L$16)*(1+$L$23)+$L$18*$L$24-$L$18))^(1/Hold_Y)-1),NA())</f>
        <v/>
      </c>
      <c r="J24" s="1" t="n"/>
      <c r="K24" s="1" t="inlineStr">
        <is>
          <t>Financing fee (% debt)</t>
        </is>
      </c>
      <c r="L24" s="99">
        <f>'01_CONTROL'!$D$57</f>
        <v/>
      </c>
      <c r="M24" s="1" t="n"/>
      <c r="N24" s="1" t="n"/>
      <c r="O24" s="1" t="n"/>
      <c r="P24" s="1" t="n"/>
      <c r="Q24" s="1" t="n"/>
      <c r="R24" s="1" t="n"/>
      <c r="S24" s="1" t="n"/>
      <c r="T24" s="1" t="n"/>
    </row>
    <row r="25" ht="15" customHeight="1">
      <c r="A25" s="1" t="n"/>
      <c r="B25" s="1" t="n"/>
      <c r="C25" s="63" t="n">
        <v>8</v>
      </c>
      <c r="D25" s="89">
        <f>IFERROR(IF(((D$23*$L$16)*(1+$L$23)+$L$18*$L$24-$L$18)&lt;=0,NA(),((($C25*$L$21)-$L$19+$L$20-($C25*$L$21)*$L$22)/((D$23*$L$16)*(1+$L$23)+$L$18*$L$24-$L$18))^(1/Hold_Y)-1),NA())</f>
        <v/>
      </c>
      <c r="E25" s="89">
        <f>IFERROR(IF(((E$23*$L$16)*(1+$L$23)+$L$18*$L$24-$L$18)&lt;=0,NA(),((($C25*$L$21)-$L$19+$L$20-($C25*$L$21)*$L$22)/((E$23*$L$16)*(1+$L$23)+$L$18*$L$24-$L$18))^(1/Hold_Y)-1),NA())</f>
        <v/>
      </c>
      <c r="F25" s="89">
        <f>IFERROR(IF(((F$23*$L$16)*(1+$L$23)+$L$18*$L$24-$L$18)&lt;=0,NA(),((($C25*$L$21)-$L$19+$L$20-($C25*$L$21)*$L$22)/((F$23*$L$16)*(1+$L$23)+$L$18*$L$24-$L$18))^(1/Hold_Y)-1),NA())</f>
        <v/>
      </c>
      <c r="G25" s="89">
        <f>IFERROR(IF(((G$23*$L$16)*(1+$L$23)+$L$18*$L$24-$L$18)&lt;=0,NA(),((($C25*$L$21)-$L$19+$L$20-($C25*$L$21)*$L$22)/((G$23*$L$16)*(1+$L$23)+$L$18*$L$24-$L$18))^(1/Hold_Y)-1),NA())</f>
        <v/>
      </c>
      <c r="H25" s="89">
        <f>IFERROR(IF(((H$23*$L$16)*(1+$L$23)+$L$18*$L$24-$L$18)&lt;=0,NA(),((($C25*$L$21)-$L$19+$L$20-($C25*$L$21)*$L$22)/((H$23*$L$16)*(1+$L$23)+$L$18*$L$24-$L$18))^(1/Hold_Y)-1),NA())</f>
        <v/>
      </c>
      <c r="I25" s="89">
        <f>IFERROR(IF(((I$23*$L$16)*(1+$L$23)+$L$18*$L$24-$L$18)&lt;=0,NA(),((($C25*$L$21)-$L$19+$L$20-($C25*$L$21)*$L$22)/((I$23*$L$16)*(1+$L$23)+$L$18*$L$24-$L$18))^(1/Hold_Y)-1),NA())</f>
        <v/>
      </c>
      <c r="J25" s="1" t="n"/>
      <c r="K25" s="1" t="inlineStr">
        <is>
          <t>Mgmt rollover (% equity)</t>
        </is>
      </c>
      <c r="L25" s="99">
        <f>'01_CONTROL'!$D$55</f>
        <v/>
      </c>
      <c r="M25" s="1" t="n"/>
      <c r="N25" s="1" t="n"/>
      <c r="O25" s="1" t="n"/>
      <c r="P25" s="1" t="n"/>
      <c r="Q25" s="1" t="n"/>
      <c r="R25" s="1" t="n"/>
      <c r="S25" s="1" t="n"/>
      <c r="T25" s="1" t="n"/>
    </row>
    <row r="26" ht="15" customHeight="1">
      <c r="A26" s="1" t="n"/>
      <c r="B26" s="1" t="n"/>
      <c r="C26" s="63" t="n">
        <v>9</v>
      </c>
      <c r="D26" s="89">
        <f>IFERROR(IF(((D$23*$L$16)*(1+$L$23)+$L$18*$L$24-$L$18)&lt;=0,NA(),((($C26*$L$21)-$L$19+$L$20-($C26*$L$21)*$L$22)/((D$23*$L$16)*(1+$L$23)+$L$18*$L$24-$L$18))^(1/Hold_Y)-1),NA())</f>
        <v/>
      </c>
      <c r="E26" s="89">
        <f>IFERROR(IF(((E$23*$L$16)*(1+$L$23)+$L$18*$L$24-$L$18)&lt;=0,NA(),((($C26*$L$21)-$L$19+$L$20-($C26*$L$21)*$L$22)/((E$23*$L$16)*(1+$L$23)+$L$18*$L$24-$L$18))^(1/Hold_Y)-1),NA())</f>
        <v/>
      </c>
      <c r="F26" s="89">
        <f>IFERROR(IF(((F$23*$L$16)*(1+$L$23)+$L$18*$L$24-$L$18)&lt;=0,NA(),((($C26*$L$21)-$L$19+$L$20-($C26*$L$21)*$L$22)/((F$23*$L$16)*(1+$L$23)+$L$18*$L$24-$L$18))^(1/Hold_Y)-1),NA())</f>
        <v/>
      </c>
      <c r="G26" s="89">
        <f>IFERROR(IF(((G$23*$L$16)*(1+$L$23)+$L$18*$L$24-$L$18)&lt;=0,NA(),((($C26*$L$21)-$L$19+$L$20-($C26*$L$21)*$L$22)/((G$23*$L$16)*(1+$L$23)+$L$18*$L$24-$L$18))^(1/Hold_Y)-1),NA())</f>
        <v/>
      </c>
      <c r="H26" s="89">
        <f>IFERROR(IF(((H$23*$L$16)*(1+$L$23)+$L$18*$L$24-$L$18)&lt;=0,NA(),((($C26*$L$21)-$L$19+$L$20-($C26*$L$21)*$L$22)/((H$23*$L$16)*(1+$L$23)+$L$18*$L$24-$L$18))^(1/Hold_Y)-1),NA())</f>
        <v/>
      </c>
      <c r="I26" s="89">
        <f>IFERROR(IF(((I$23*$L$16)*(1+$L$23)+$L$18*$L$24-$L$18)&lt;=0,NA(),((($C26*$L$21)-$L$19+$L$20-($C26*$L$21)*$L$22)/((I$23*$L$16)*(1+$L$23)+$L$18*$L$24-$L$18))^(1/Hold_Y)-1),NA())</f>
        <v/>
      </c>
      <c r="J26" s="1" t="n"/>
      <c r="K26" s="1" t="inlineStr">
        <is>
          <t>Cumulative unlevered FCF (Y1..Hold)</t>
        </is>
      </c>
      <c r="L26" s="95">
        <f>SUM('04_OPERATING_MODEL'!$F$37:INDEX('04_OPERATING_MODEL'!$F$37:$L$37,1,Hold_Y))</f>
        <v/>
      </c>
      <c r="M26" s="1" t="n"/>
      <c r="N26" s="1" t="n"/>
      <c r="O26" s="1" t="n"/>
      <c r="P26" s="1" t="n"/>
      <c r="Q26" s="1" t="n"/>
      <c r="R26" s="1" t="n"/>
      <c r="S26" s="1" t="n"/>
      <c r="T26" s="1" t="n"/>
    </row>
    <row r="27" ht="15" customHeight="1">
      <c r="A27" s="1" t="n"/>
      <c r="B27" s="1" t="n"/>
      <c r="C27" s="63" t="n">
        <v>10</v>
      </c>
      <c r="D27" s="89">
        <f>IFERROR(IF(((D$23*$L$16)*(1+$L$23)+$L$18*$L$24-$L$18)&lt;=0,NA(),((($C27*$L$21)-$L$19+$L$20-($C27*$L$21)*$L$22)/((D$23*$L$16)*(1+$L$23)+$L$18*$L$24-$L$18))^(1/Hold_Y)-1),NA())</f>
        <v/>
      </c>
      <c r="E27" s="89">
        <f>IFERROR(IF(((E$23*$L$16)*(1+$L$23)+$L$18*$L$24-$L$18)&lt;=0,NA(),((($C27*$L$21)-$L$19+$L$20-($C27*$L$21)*$L$22)/((E$23*$L$16)*(1+$L$23)+$L$18*$L$24-$L$18))^(1/Hold_Y)-1),NA())</f>
        <v/>
      </c>
      <c r="F27" s="89">
        <f>IFERROR(IF(((F$23*$L$16)*(1+$L$23)+$L$18*$L$24-$L$18)&lt;=0,NA(),((($C27*$L$21)-$L$19+$L$20-($C27*$L$21)*$L$22)/((F$23*$L$16)*(1+$L$23)+$L$18*$L$24-$L$18))^(1/Hold_Y)-1),NA())</f>
        <v/>
      </c>
      <c r="G27" s="89">
        <f>IFERROR(IF(((G$23*$L$16)*(1+$L$23)+$L$18*$L$24-$L$18)&lt;=0,NA(),((($C27*$L$21)-$L$19+$L$20-($C27*$L$21)*$L$22)/((G$23*$L$16)*(1+$L$23)+$L$18*$L$24-$L$18))^(1/Hold_Y)-1),NA())</f>
        <v/>
      </c>
      <c r="H27" s="89">
        <f>IFERROR(IF(((H$23*$L$16)*(1+$L$23)+$L$18*$L$24-$L$18)&lt;=0,NA(),((($C27*$L$21)-$L$19+$L$20-($C27*$L$21)*$L$22)/((H$23*$L$16)*(1+$L$23)+$L$18*$L$24-$L$18))^(1/Hold_Y)-1),NA())</f>
        <v/>
      </c>
      <c r="I27" s="89">
        <f>IFERROR(IF(((I$23*$L$16)*(1+$L$23)+$L$18*$L$24-$L$18)&lt;=0,NA(),((($C27*$L$21)-$L$19+$L$20-($C27*$L$21)*$L$22)/((I$23*$L$16)*(1+$L$23)+$L$18*$L$24-$L$18))^(1/Hold_Y)-1),NA())</f>
        <v/>
      </c>
      <c r="J27" s="1" t="n"/>
      <c r="K27" s="1" t="inlineStr">
        <is>
          <t>TLB spread (proxy)</t>
        </is>
      </c>
      <c r="L27" s="99">
        <f>'01_CONTROL'!$D$65</f>
        <v/>
      </c>
      <c r="M27" s="1" t="n"/>
      <c r="N27" s="1" t="n"/>
      <c r="O27" s="1" t="n"/>
      <c r="P27" s="1" t="n"/>
      <c r="Q27" s="1" t="n"/>
      <c r="R27" s="1" t="n"/>
      <c r="S27" s="1" t="n"/>
      <c r="T27" s="1" t="n"/>
    </row>
    <row r="28" ht="15" customHeight="1">
      <c r="A28" s="1" t="n"/>
      <c r="B28" s="1" t="n"/>
      <c r="C28" s="63" t="n">
        <v>11</v>
      </c>
      <c r="D28" s="89">
        <f>IFERROR(IF(((D$23*$L$16)*(1+$L$23)+$L$18*$L$24-$L$18)&lt;=0,NA(),((($C28*$L$21)-$L$19+$L$20-($C28*$L$21)*$L$22)/((D$23*$L$16)*(1+$L$23)+$L$18*$L$24-$L$18))^(1/Hold_Y)-1),NA())</f>
        <v/>
      </c>
      <c r="E28" s="89">
        <f>IFERROR(IF(((E$23*$L$16)*(1+$L$23)+$L$18*$L$24-$L$18)&lt;=0,NA(),((($C28*$L$21)-$L$19+$L$20-($C28*$L$21)*$L$22)/((E$23*$L$16)*(1+$L$23)+$L$18*$L$24-$L$18))^(1/Hold_Y)-1),NA())</f>
        <v/>
      </c>
      <c r="F28" s="89">
        <f>IFERROR(IF(((F$23*$L$16)*(1+$L$23)+$L$18*$L$24-$L$18)&lt;=0,NA(),((($C28*$L$21)-$L$19+$L$20-($C28*$L$21)*$L$22)/((F$23*$L$16)*(1+$L$23)+$L$18*$L$24-$L$18))^(1/Hold_Y)-1),NA())</f>
        <v/>
      </c>
      <c r="G28" s="89">
        <f>IFERROR(IF(((G$23*$L$16)*(1+$L$23)+$L$18*$L$24-$L$18)&lt;=0,NA(),((($C28*$L$21)-$L$19+$L$20-($C28*$L$21)*$L$22)/((G$23*$L$16)*(1+$L$23)+$L$18*$L$24-$L$18))^(1/Hold_Y)-1),NA())</f>
        <v/>
      </c>
      <c r="H28" s="89">
        <f>IFERROR(IF(((H$23*$L$16)*(1+$L$23)+$L$18*$L$24-$L$18)&lt;=0,NA(),((($C28*$L$21)-$L$19+$L$20-($C28*$L$21)*$L$22)/((H$23*$L$16)*(1+$L$23)+$L$18*$L$24-$L$18))^(1/Hold_Y)-1),NA())</f>
        <v/>
      </c>
      <c r="I28" s="89">
        <f>IFERROR(IF(((I$23*$L$16)*(1+$L$23)+$L$18*$L$24-$L$18)&lt;=0,NA(),((($C28*$L$21)-$L$19+$L$20-($C28*$L$21)*$L$22)/((I$23*$L$16)*(1+$L$23)+$L$18*$L$24-$L$18))^(1/Hold_Y)-1),NA())</f>
        <v/>
      </c>
      <c r="J28" s="1" t="n"/>
      <c r="K28" s="1" t="inlineStr">
        <is>
          <t>Base entry EV (DKKm)</t>
        </is>
      </c>
      <c r="L28" s="95">
        <f>'05_SOURCES_AND_USES'!$D$16</f>
        <v/>
      </c>
      <c r="M28" s="1" t="n"/>
      <c r="N28" s="1" t="n"/>
      <c r="O28" s="1" t="n"/>
      <c r="P28" s="1" t="n"/>
      <c r="Q28" s="1" t="n"/>
      <c r="R28" s="1" t="n"/>
      <c r="S28" s="1" t="n"/>
      <c r="T28" s="1" t="n"/>
    </row>
    <row r="29" ht="15" customHeight="1">
      <c r="A29" s="1" t="n"/>
      <c r="B29" s="1" t="n"/>
      <c r="C29" s="63" t="n">
        <v>12</v>
      </c>
      <c r="D29" s="89">
        <f>IFERROR(IF(((D$23*$L$16)*(1+$L$23)+$L$18*$L$24-$L$18)&lt;=0,NA(),((($C29*$L$21)-$L$19+$L$20-($C29*$L$21)*$L$22)/((D$23*$L$16)*(1+$L$23)+$L$18*$L$24-$L$18))^(1/Hold_Y)-1),NA())</f>
        <v/>
      </c>
      <c r="E29" s="89">
        <f>IFERROR(IF(((E$23*$L$16)*(1+$L$23)+$L$18*$L$24-$L$18)&lt;=0,NA(),((($C29*$L$21)-$L$19+$L$20-($C29*$L$21)*$L$22)/((E$23*$L$16)*(1+$L$23)+$L$18*$L$24-$L$18))^(1/Hold_Y)-1),NA())</f>
        <v/>
      </c>
      <c r="F29" s="89">
        <f>IFERROR(IF(((F$23*$L$16)*(1+$L$23)+$L$18*$L$24-$L$18)&lt;=0,NA(),((($C29*$L$21)-$L$19+$L$20-($C29*$L$21)*$L$22)/((F$23*$L$16)*(1+$L$23)+$L$18*$L$24-$L$18))^(1/Hold_Y)-1),NA())</f>
        <v/>
      </c>
      <c r="G29" s="89">
        <f>IFERROR(IF(((G$23*$L$16)*(1+$L$23)+$L$18*$L$24-$L$18)&lt;=0,NA(),((($C29*$L$21)-$L$19+$L$20-($C29*$L$21)*$L$22)/((G$23*$L$16)*(1+$L$23)+$L$18*$L$24-$L$18))^(1/Hold_Y)-1),NA())</f>
        <v/>
      </c>
      <c r="H29" s="89">
        <f>IFERROR(IF(((H$23*$L$16)*(1+$L$23)+$L$18*$L$24-$L$18)&lt;=0,NA(),((($C29*$L$21)-$L$19+$L$20-($C29*$L$21)*$L$22)/((H$23*$L$16)*(1+$L$23)+$L$18*$L$24-$L$18))^(1/Hold_Y)-1),NA())</f>
        <v/>
      </c>
      <c r="I29" s="89">
        <f>IFERROR(IF(((I$23*$L$16)*(1+$L$23)+$L$18*$L$24-$L$18)&lt;=0,NA(),((($C29*$L$21)-$L$19+$L$20-($C29*$L$21)*$L$22)/((I$23*$L$16)*(1+$L$23)+$L$18*$L$24-$L$18))^(1/Hold_Y)-1),NA())</f>
        <v/>
      </c>
      <c r="J29" s="1" t="n"/>
      <c r="K29" s="1" t="inlineStr">
        <is>
          <t>Base entry uses excl. financing fee (DKKm)</t>
        </is>
      </c>
      <c r="L29" s="95">
        <f>$L$28*(1+$L$23)+'05_SOURCES_AND_USES'!$D$19</f>
        <v/>
      </c>
      <c r="M29" s="1" t="n"/>
      <c r="N29" s="1" t="n"/>
      <c r="O29" s="1" t="n"/>
      <c r="P29" s="1" t="n"/>
      <c r="Q29" s="1" t="n"/>
      <c r="R29" s="1" t="n"/>
      <c r="S29" s="1" t="n"/>
      <c r="T29" s="1" t="n"/>
    </row>
    <row r="30" ht="15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inlineStr">
        <is>
          <t>Base exit EV (DKKm)</t>
        </is>
      </c>
      <c r="L30" s="95">
        <f>Exit_Multiple*$L$21</f>
        <v/>
      </c>
      <c r="M30" s="1" t="n"/>
      <c r="N30" s="1" t="n"/>
      <c r="O30" s="1" t="n"/>
      <c r="P30" s="1" t="n"/>
      <c r="Q30" s="1" t="n"/>
      <c r="R30" s="1" t="n"/>
      <c r="S30" s="1" t="n"/>
      <c r="T30" s="1" t="n"/>
    </row>
    <row r="31" ht="15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</row>
    <row r="32" ht="15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</row>
    <row r="33" ht="18" customHeight="1">
      <c r="A33" s="1" t="n"/>
      <c r="B33" s="8" t="inlineStr">
        <is>
          <t>IRR: EXIT MULTIPLE vs EBITDA CAGR (approx, debt &amp; cash at exit held constant)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1" t="n"/>
      <c r="N33" s="1" t="n"/>
      <c r="O33" s="1" t="n"/>
      <c r="P33" s="1" t="n"/>
      <c r="Q33" s="1" t="n"/>
      <c r="R33" s="1" t="n"/>
      <c r="S33" s="1" t="n"/>
      <c r="T33" s="1" t="n"/>
    </row>
    <row r="34" ht="15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</row>
    <row r="35" ht="15" customHeight="1">
      <c r="A35" s="1" t="n"/>
      <c r="B35" s="6" t="inlineStr">
        <is>
          <t>Varies leverage target and benchmark rate</t>
        </is>
      </c>
      <c r="C35" s="1" t="n"/>
      <c r="D35" s="99" t="n">
        <v>-0.02</v>
      </c>
      <c r="E35" s="99" t="n">
        <v>0</v>
      </c>
      <c r="F35" s="99" t="n">
        <v>0.02</v>
      </c>
      <c r="G35" s="99" t="n">
        <v>0.04</v>
      </c>
      <c r="H35" s="99" t="n">
        <v>0.06</v>
      </c>
      <c r="I35" s="99" t="n">
        <v>0.08</v>
      </c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</row>
    <row r="36" ht="15" customHeight="1">
      <c r="A36" s="1" t="n"/>
      <c r="B36" s="1" t="n"/>
      <c r="C36" s="1" t="n">
        <v>7</v>
      </c>
      <c r="D36" s="99">
        <f>IFERROR(IF(='05_SOURCES_AND_USES'!$D$40&lt;=0,NA(),((($C36*($L$16*(1+D$35)^Hold_Y))-$L$19+$L$20-($C36*($L$16*(1+D$35)^Hold_Y))*$L$22)/='05_SOURCES_AND_USES'!$D$40)^(1/Hold_Y)-1),NA())</f>
        <v/>
      </c>
      <c r="E36" s="99">
        <f>IFERROR(IF(='05_SOURCES_AND_USES'!$D$40&lt;=0,NA(),((($C36*($L$16*(1+E$35)^Hold_Y))-$L$19+$L$20-($C36*($L$16*(1+E$35)^Hold_Y))*$L$22)/='05_SOURCES_AND_USES'!$D$40)^(1/Hold_Y)-1),NA())</f>
        <v/>
      </c>
      <c r="F36" s="99">
        <f>IFERROR(IF(='05_SOURCES_AND_USES'!$D$40&lt;=0,NA(),((($C36*($L$16*(1+F$35)^Hold_Y))-$L$19+$L$20-($C36*($L$16*(1+F$35)^Hold_Y))*$L$22)/='05_SOURCES_AND_USES'!$D$40)^(1/Hold_Y)-1),NA())</f>
        <v/>
      </c>
      <c r="G36" s="99">
        <f>IFERROR(IF(='05_SOURCES_AND_USES'!$D$40&lt;=0,NA(),((($C36*($L$16*(1+G$35)^Hold_Y))-$L$19+$L$20-($C36*($L$16*(1+G$35)^Hold_Y))*$L$22)/='05_SOURCES_AND_USES'!$D$40)^(1/Hold_Y)-1),NA())</f>
        <v/>
      </c>
      <c r="H36" s="99">
        <f>IFERROR(IF(='05_SOURCES_AND_USES'!$D$40&lt;=0,NA(),((($C36*($L$16*(1+H$35)^Hold_Y))-$L$19+$L$20-($C36*($L$16*(1+H$35)^Hold_Y))*$L$22)/='05_SOURCES_AND_USES'!$D$40)^(1/Hold_Y)-1),NA())</f>
        <v/>
      </c>
      <c r="I36" s="99">
        <f>IFERROR(IF(='05_SOURCES_AND_USES'!$D$40&lt;=0,NA(),((($C36*($L$16*(1+I$35)^Hold_Y))-$L$19+$L$20-($C36*($L$16*(1+I$35)^Hold_Y))*$L$22)/='05_SOURCES_AND_USES'!$D$40)^(1/Hold_Y)-1),NA())</f>
        <v/>
      </c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</row>
    <row r="37" ht="15" customHeight="1">
      <c r="A37" s="1" t="n"/>
      <c r="B37" s="19" t="inlineStr">
        <is>
          <t>Leverage (x)</t>
        </is>
      </c>
      <c r="C37" s="19" t="n">
        <v>8</v>
      </c>
      <c r="D37" s="101">
        <f>IFERROR(IF(='05_SOURCES_AND_USES'!$D$40&lt;=0,NA(),((($C37*($L$16*(1+D$35)^Hold_Y))-$L$19+$L$20-($C37*($L$16*(1+D$35)^Hold_Y))*$L$22)/='05_SOURCES_AND_USES'!$D$40)^(1/Hold_Y)-1),NA())</f>
        <v/>
      </c>
      <c r="E37" s="99">
        <f>IFERROR(IF(='05_SOURCES_AND_USES'!$D$40&lt;=0,NA(),((($C37*($L$16*(1+E$35)^Hold_Y))-$L$19+$L$20-($C37*($L$16*(1+E$35)^Hold_Y))*$L$22)/='05_SOURCES_AND_USES'!$D$40)^(1/Hold_Y)-1),NA())</f>
        <v/>
      </c>
      <c r="F37" s="99">
        <f>IFERROR(IF(='05_SOURCES_AND_USES'!$D$40&lt;=0,NA(),((($C37*($L$16*(1+F$35)^Hold_Y))-$L$19+$L$20-($C37*($L$16*(1+F$35)^Hold_Y))*$L$22)/='05_SOURCES_AND_USES'!$D$40)^(1/Hold_Y)-1),NA())</f>
        <v/>
      </c>
      <c r="G37" s="99">
        <f>IFERROR(IF(='05_SOURCES_AND_USES'!$D$40&lt;=0,NA(),((($C37*($L$16*(1+G$35)^Hold_Y))-$L$19+$L$20-($C37*($L$16*(1+G$35)^Hold_Y))*$L$22)/='05_SOURCES_AND_USES'!$D$40)^(1/Hold_Y)-1),NA())</f>
        <v/>
      </c>
      <c r="H37" s="99">
        <f>IFERROR(IF(='05_SOURCES_AND_USES'!$D$40&lt;=0,NA(),((($C37*($L$16*(1+H$35)^Hold_Y))-$L$19+$L$20-($C37*($L$16*(1+H$35)^Hold_Y))*$L$22)/='05_SOURCES_AND_USES'!$D$40)^(1/Hold_Y)-1),NA())</f>
        <v/>
      </c>
      <c r="I37" s="99">
        <f>IFERROR(IF(='05_SOURCES_AND_USES'!$D$40&lt;=0,NA(),((($C37*($L$16*(1+I$35)^Hold_Y))-$L$19+$L$20-($C37*($L$16*(1+I$35)^Hold_Y))*$L$22)/='05_SOURCES_AND_USES'!$D$40)^(1/Hold_Y)-1),NA())</f>
        <v/>
      </c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</row>
    <row r="38" ht="15" customHeight="1">
      <c r="A38" s="1" t="n"/>
      <c r="B38" s="43" t="n">
        <v>3.5</v>
      </c>
      <c r="C38" s="86" t="n">
        <v>9</v>
      </c>
      <c r="D38" s="89">
        <f>IFERROR(IF(='05_SOURCES_AND_USES'!$D$40&lt;=0,NA(),((($C38*($L$16*(1+D$35)^Hold_Y))-$L$19+$L$20-($C38*($L$16*(1+D$35)^Hold_Y))*$L$22)/='05_SOURCES_AND_USES'!$D$40)^(1/Hold_Y)-1),NA())</f>
        <v/>
      </c>
      <c r="E38" s="99">
        <f>IFERROR(IF(='05_SOURCES_AND_USES'!$D$40&lt;=0,NA(),((($C38*($L$16*(1+E$35)^Hold_Y))-$L$19+$L$20-($C38*($L$16*(1+E$35)^Hold_Y))*$L$22)/='05_SOURCES_AND_USES'!$D$40)^(1/Hold_Y)-1),NA())</f>
        <v/>
      </c>
      <c r="F38" s="99">
        <f>IFERROR(IF(='05_SOURCES_AND_USES'!$D$40&lt;=0,NA(),((($C38*($L$16*(1+F$35)^Hold_Y))-$L$19+$L$20-($C38*($L$16*(1+F$35)^Hold_Y))*$L$22)/='05_SOURCES_AND_USES'!$D$40)^(1/Hold_Y)-1),NA())</f>
        <v/>
      </c>
      <c r="G38" s="99">
        <f>IFERROR(IF(='05_SOURCES_AND_USES'!$D$40&lt;=0,NA(),((($C38*($L$16*(1+G$35)^Hold_Y))-$L$19+$L$20-($C38*($L$16*(1+G$35)^Hold_Y))*$L$22)/='05_SOURCES_AND_USES'!$D$40)^(1/Hold_Y)-1),NA())</f>
        <v/>
      </c>
      <c r="H38" s="99">
        <f>IFERROR(IF(='05_SOURCES_AND_USES'!$D$40&lt;=0,NA(),((($C38*($L$16*(1+H$35)^Hold_Y))-$L$19+$L$20-($C38*($L$16*(1+H$35)^Hold_Y))*$L$22)/='05_SOURCES_AND_USES'!$D$40)^(1/Hold_Y)-1),NA())</f>
        <v/>
      </c>
      <c r="I38" s="99">
        <f>IFERROR(IF(='05_SOURCES_AND_USES'!$D$40&lt;=0,NA(),((($C38*($L$16*(1+I$35)^Hold_Y))-$L$19+$L$20-($C38*($L$16*(1+I$35)^Hold_Y))*$L$22)/='05_SOURCES_AND_USES'!$D$40)^(1/Hold_Y)-1),NA())</f>
        <v/>
      </c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</row>
    <row r="39" ht="15" customHeight="1">
      <c r="A39" s="1" t="n"/>
      <c r="B39" s="43" t="n">
        <v>4</v>
      </c>
      <c r="C39" s="86" t="n">
        <v>10</v>
      </c>
      <c r="D39" s="89">
        <f>IFERROR(IF(='05_SOURCES_AND_USES'!$D$40&lt;=0,NA(),((($C39*($L$16*(1+D$35)^Hold_Y))-$L$19+$L$20-($C39*($L$16*(1+D$35)^Hold_Y))*$L$22)/='05_SOURCES_AND_USES'!$D$40)^(1/Hold_Y)-1),NA())</f>
        <v/>
      </c>
      <c r="E39" s="99">
        <f>IFERROR(IF(='05_SOURCES_AND_USES'!$D$40&lt;=0,NA(),((($C39*($L$16*(1+E$35)^Hold_Y))-$L$19+$L$20-($C39*($L$16*(1+E$35)^Hold_Y))*$L$22)/='05_SOURCES_AND_USES'!$D$40)^(1/Hold_Y)-1),NA())</f>
        <v/>
      </c>
      <c r="F39" s="99">
        <f>IFERROR(IF(='05_SOURCES_AND_USES'!$D$40&lt;=0,NA(),((($C39*($L$16*(1+F$35)^Hold_Y))-$L$19+$L$20-($C39*($L$16*(1+F$35)^Hold_Y))*$L$22)/='05_SOURCES_AND_USES'!$D$40)^(1/Hold_Y)-1),NA())</f>
        <v/>
      </c>
      <c r="G39" s="99">
        <f>IFERROR(IF(='05_SOURCES_AND_USES'!$D$40&lt;=0,NA(),((($C39*($L$16*(1+G$35)^Hold_Y))-$L$19+$L$20-($C39*($L$16*(1+G$35)^Hold_Y))*$L$22)/='05_SOURCES_AND_USES'!$D$40)^(1/Hold_Y)-1),NA())</f>
        <v/>
      </c>
      <c r="H39" s="99">
        <f>IFERROR(IF(='05_SOURCES_AND_USES'!$D$40&lt;=0,NA(),((($C39*($L$16*(1+H$35)^Hold_Y))-$L$19+$L$20-($C39*($L$16*(1+H$35)^Hold_Y))*$L$22)/='05_SOURCES_AND_USES'!$D$40)^(1/Hold_Y)-1),NA())</f>
        <v/>
      </c>
      <c r="I39" s="99">
        <f>IFERROR(IF(='05_SOURCES_AND_USES'!$D$40&lt;=0,NA(),((($C39*($L$16*(1+I$35)^Hold_Y))-$L$19+$L$20-($C39*($L$16*(1+I$35)^Hold_Y))*$L$22)/='05_SOURCES_AND_USES'!$D$40)^(1/Hold_Y)-1),NA())</f>
        <v/>
      </c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</row>
    <row r="40" ht="15" customHeight="1">
      <c r="A40" s="1" t="n"/>
      <c r="B40" s="43" t="n">
        <v>4.5</v>
      </c>
      <c r="C40" s="86" t="n">
        <v>11</v>
      </c>
      <c r="D40" s="89">
        <f>IFERROR(IF(='05_SOURCES_AND_USES'!$D$40&lt;=0,NA(),((($C40*($L$16*(1+D$35)^Hold_Y))-$L$19+$L$20-($C40*($L$16*(1+D$35)^Hold_Y))*$L$22)/='05_SOURCES_AND_USES'!$D$40)^(1/Hold_Y)-1),NA())</f>
        <v/>
      </c>
      <c r="E40" s="99">
        <f>IFERROR(IF(='05_SOURCES_AND_USES'!$D$40&lt;=0,NA(),((($C40*($L$16*(1+E$35)^Hold_Y))-$L$19+$L$20-($C40*($L$16*(1+E$35)^Hold_Y))*$L$22)/='05_SOURCES_AND_USES'!$D$40)^(1/Hold_Y)-1),NA())</f>
        <v/>
      </c>
      <c r="F40" s="99">
        <f>IFERROR(IF(='05_SOURCES_AND_USES'!$D$40&lt;=0,NA(),((($C40*($L$16*(1+F$35)^Hold_Y))-$L$19+$L$20-($C40*($L$16*(1+F$35)^Hold_Y))*$L$22)/='05_SOURCES_AND_USES'!$D$40)^(1/Hold_Y)-1),NA())</f>
        <v/>
      </c>
      <c r="G40" s="99">
        <f>IFERROR(IF(='05_SOURCES_AND_USES'!$D$40&lt;=0,NA(),((($C40*($L$16*(1+G$35)^Hold_Y))-$L$19+$L$20-($C40*($L$16*(1+G$35)^Hold_Y))*$L$22)/='05_SOURCES_AND_USES'!$D$40)^(1/Hold_Y)-1),NA())</f>
        <v/>
      </c>
      <c r="H40" s="99">
        <f>IFERROR(IF(='05_SOURCES_AND_USES'!$D$40&lt;=0,NA(),((($C40*($L$16*(1+H$35)^Hold_Y))-$L$19+$L$20-($C40*($L$16*(1+H$35)^Hold_Y))*$L$22)/='05_SOURCES_AND_USES'!$D$40)^(1/Hold_Y)-1),NA())</f>
        <v/>
      </c>
      <c r="I40" s="99">
        <f>IFERROR(IF(='05_SOURCES_AND_USES'!$D$40&lt;=0,NA(),((($C40*($L$16*(1+I$35)^Hold_Y))-$L$19+$L$20-($C40*($L$16*(1+I$35)^Hold_Y))*$L$22)/='05_SOURCES_AND_USES'!$D$40)^(1/Hold_Y)-1),NA())</f>
        <v/>
      </c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</row>
    <row r="41" ht="15" customHeight="1">
      <c r="A41" s="1" t="n"/>
      <c r="B41" s="43" t="n">
        <v>5</v>
      </c>
      <c r="C41" s="86" t="n">
        <v>12</v>
      </c>
      <c r="D41" s="89">
        <f>IFERROR(IF(='05_SOURCES_AND_USES'!$D$40&lt;=0,NA(),((($C41*($L$16*(1+D$35)^Hold_Y))-$L$19+$L$20-($C41*($L$16*(1+D$35)^Hold_Y))*$L$22)/='05_SOURCES_AND_USES'!$D$40)^(1/Hold_Y)-1),NA())</f>
        <v/>
      </c>
      <c r="E41" s="99">
        <f>IFERROR(IF(='05_SOURCES_AND_USES'!$D$40&lt;=0,NA(),((($C41*($L$16*(1+E$35)^Hold_Y))-$L$19+$L$20-($C41*($L$16*(1+E$35)^Hold_Y))*$L$22)/='05_SOURCES_AND_USES'!$D$40)^(1/Hold_Y)-1),NA())</f>
        <v/>
      </c>
      <c r="F41" s="99">
        <f>IFERROR(IF(='05_SOURCES_AND_USES'!$D$40&lt;=0,NA(),((($C41*($L$16*(1+F$35)^Hold_Y))-$L$19+$L$20-($C41*($L$16*(1+F$35)^Hold_Y))*$L$22)/='05_SOURCES_AND_USES'!$D$40)^(1/Hold_Y)-1),NA())</f>
        <v/>
      </c>
      <c r="G41" s="99">
        <f>IFERROR(IF(='05_SOURCES_AND_USES'!$D$40&lt;=0,NA(),((($C41*($L$16*(1+G$35)^Hold_Y))-$L$19+$L$20-($C41*($L$16*(1+G$35)^Hold_Y))*$L$22)/='05_SOURCES_AND_USES'!$D$40)^(1/Hold_Y)-1),NA())</f>
        <v/>
      </c>
      <c r="H41" s="99">
        <f>IFERROR(IF(='05_SOURCES_AND_USES'!$D$40&lt;=0,NA(),((($C41*($L$16*(1+H$35)^Hold_Y))-$L$19+$L$20-($C41*($L$16*(1+H$35)^Hold_Y))*$L$22)/='05_SOURCES_AND_USES'!$D$40)^(1/Hold_Y)-1),NA())</f>
        <v/>
      </c>
      <c r="I41" s="99">
        <f>IFERROR(IF(='05_SOURCES_AND_USES'!$D$40&lt;=0,NA(),((($C41*($L$16*(1+I$35)^Hold_Y))-$L$19+$L$20-($C41*($L$16*(1+I$35)^Hold_Y))*$L$22)/='05_SOURCES_AND_USES'!$D$40)^(1/Hold_Y)-1),NA())</f>
        <v/>
      </c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</row>
    <row r="42" ht="15" customHeight="1">
      <c r="A42" s="1" t="n"/>
      <c r="B42" s="43" t="n">
        <v>5.5</v>
      </c>
      <c r="C42" s="86" t="n">
        <v>0.06</v>
      </c>
      <c r="D42" s="89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</row>
    <row r="43" ht="15" customHeight="1">
      <c r="A43" s="1" t="n"/>
      <c r="B43" s="43" t="n">
        <v>6</v>
      </c>
      <c r="C43" s="86" t="n">
        <v>0.07000000000000001</v>
      </c>
      <c r="D43" s="89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</row>
    <row r="44" ht="15" customHeight="1">
      <c r="A44" s="1" t="n"/>
      <c r="B44" s="1" t="inlineStr">
        <is>
          <t>IRR: ENTRY LEVERAGE (x) vs BENCHMARK RATE (approx, cash sweep from unlevered FCF)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</row>
    <row r="45" ht="15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</row>
    <row r="46" ht="15" customHeight="1">
      <c r="A46" s="1" t="n"/>
      <c r="B46" s="1" t="n"/>
      <c r="C46" s="1" t="n"/>
      <c r="D46" s="99" t="n">
        <v>0.02</v>
      </c>
      <c r="E46" s="99" t="n">
        <v>0.03</v>
      </c>
      <c r="F46" s="99" t="n">
        <v>0.04</v>
      </c>
      <c r="G46" s="99" t="n">
        <v>0.05</v>
      </c>
      <c r="H46" s="99" t="n">
        <v>0.06</v>
      </c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</row>
    <row r="47" ht="15" customHeight="1">
      <c r="A47" s="1" t="n"/>
      <c r="B47" s="1" t="n"/>
      <c r="C47" s="96" t="n">
        <v>3</v>
      </c>
      <c r="D47" s="99">
        <f>IFERROR(IF((($L$29+($C47*$L$16)*$L$24)-($C47*$L$16))&lt;=0,NA(),(($L$30-MAX(0,($C47*$L$16)-$L$26+(($C47*$L$16)*(D$46+$L$27)*Hold_Y))-$L$30*$L$22)/(($L$29+($C47*$L$16)*$L$24)-($C47*$L$16)))^(1/Hold_Y)-1),NA())</f>
        <v/>
      </c>
      <c r="E47" s="99">
        <f>IFERROR(IF((($L$29+($C47*$L$16)*$L$24)-($C47*$L$16))&lt;=0,NA(),(($L$30-MAX(0,($C47*$L$16)-$L$26+(($C47*$L$16)*(E$46+$L$27)*Hold_Y))-$L$30*$L$22)/(($L$29+($C47*$L$16)*$L$24)-($C47*$L$16)))^(1/Hold_Y)-1),NA())</f>
        <v/>
      </c>
      <c r="F47" s="99">
        <f>IFERROR(IF((($L$29+($C47*$L$16)*$L$24)-($C47*$L$16))&lt;=0,NA(),(($L$30-MAX(0,($C47*$L$16)-$L$26+(($C47*$L$16)*(F$46+$L$27)*Hold_Y))-$L$30*$L$22)/(($L$29+($C47*$L$16)*$L$24)-($C47*$L$16)))^(1/Hold_Y)-1),NA())</f>
        <v/>
      </c>
      <c r="G47" s="99">
        <f>IFERROR(IF((($L$29+($C47*$L$16)*$L$24)-($C47*$L$16))&lt;=0,NA(),(($L$30-MAX(0,($C47*$L$16)-$L$26+(($C47*$L$16)*(G$46+$L$27)*Hold_Y))-$L$30*$L$22)/(($L$29+($C47*$L$16)*$L$24)-($C47*$L$16)))^(1/Hold_Y)-1),NA())</f>
        <v/>
      </c>
      <c r="H47" s="99">
        <f>IFERROR(IF((($L$29+($C47*$L$16)*$L$24)-($C47*$L$16))&lt;=0,NA(),(($L$30-MAX(0,($C47*$L$16)-$L$26+(($C47*$L$16)*(H$46+$L$27)*Hold_Y))-$L$30*$L$22)/(($L$29+($C47*$L$16)*$L$24)-($C47*$L$16)))^(1/Hold_Y)-1),NA())</f>
        <v/>
      </c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</row>
    <row r="48" ht="15" customHeight="1">
      <c r="A48" s="1" t="n"/>
      <c r="B48" s="1" t="n"/>
      <c r="C48" s="96" t="n">
        <v>3.5</v>
      </c>
      <c r="D48" s="99">
        <f>IFERROR(IF((($L$29+($C48*$L$16)*$L$24)-($C48*$L$16))&lt;=0,NA(),(($L$30-MAX(0,($C48*$L$16)-$L$26+(($C48*$L$16)*(D$46+$L$27)*Hold_Y))-$L$30*$L$22)/(($L$29+($C48*$L$16)*$L$24)-($C48*$L$16)))^(1/Hold_Y)-1),NA())</f>
        <v/>
      </c>
      <c r="E48" s="99">
        <f>IFERROR(IF((($L$29+($C48*$L$16)*$L$24)-($C48*$L$16))&lt;=0,NA(),(($L$30-MAX(0,($C48*$L$16)-$L$26+(($C48*$L$16)*(E$46+$L$27)*Hold_Y))-$L$30*$L$22)/(($L$29+($C48*$L$16)*$L$24)-($C48*$L$16)))^(1/Hold_Y)-1),NA())</f>
        <v/>
      </c>
      <c r="F48" s="99">
        <f>IFERROR(IF((($L$29+($C48*$L$16)*$L$24)-($C48*$L$16))&lt;=0,NA(),(($L$30-MAX(0,($C48*$L$16)-$L$26+(($C48*$L$16)*(F$46+$L$27)*Hold_Y))-$L$30*$L$22)/(($L$29+($C48*$L$16)*$L$24)-($C48*$L$16)))^(1/Hold_Y)-1),NA())</f>
        <v/>
      </c>
      <c r="G48" s="99">
        <f>IFERROR(IF((($L$29+($C48*$L$16)*$L$24)-($C48*$L$16))&lt;=0,NA(),(($L$30-MAX(0,($C48*$L$16)-$L$26+(($C48*$L$16)*(G$46+$L$27)*Hold_Y))-$L$30*$L$22)/(($L$29+($C48*$L$16)*$L$24)-($C48*$L$16)))^(1/Hold_Y)-1),NA())</f>
        <v/>
      </c>
      <c r="H48" s="99">
        <f>IFERROR(IF((($L$29+($C48*$L$16)*$L$24)-($C48*$L$16))&lt;=0,NA(),(($L$30-MAX(0,($C48*$L$16)-$L$26+(($C48*$L$16)*(H$46+$L$27)*Hold_Y))-$L$30*$L$22)/(($L$29+($C48*$L$16)*$L$24)-($C48*$L$16)))^(1/Hold_Y)-1),NA())</f>
        <v/>
      </c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</row>
    <row r="49" ht="15" customHeight="1">
      <c r="A49" s="1" t="n"/>
      <c r="B49" s="1" t="n"/>
      <c r="C49" s="96" t="n">
        <v>4</v>
      </c>
      <c r="D49" s="99">
        <f>IFERROR(IF((($L$29+($C49*$L$16)*$L$24)-($C49*$L$16))&lt;=0,NA(),(($L$30-MAX(0,($C49*$L$16)-$L$26+(($C49*$L$16)*(D$46+$L$27)*Hold_Y))-$L$30*$L$22)/(($L$29+($C49*$L$16)*$L$24)-($C49*$L$16)))^(1/Hold_Y)-1),NA())</f>
        <v/>
      </c>
      <c r="E49" s="99">
        <f>IFERROR(IF((($L$29+($C49*$L$16)*$L$24)-($C49*$L$16))&lt;=0,NA(),(($L$30-MAX(0,($C49*$L$16)-$L$26+(($C49*$L$16)*(E$46+$L$27)*Hold_Y))-$L$30*$L$22)/(($L$29+($C49*$L$16)*$L$24)-($C49*$L$16)))^(1/Hold_Y)-1),NA())</f>
        <v/>
      </c>
      <c r="F49" s="99">
        <f>IFERROR(IF((($L$29+($C49*$L$16)*$L$24)-($C49*$L$16))&lt;=0,NA(),(($L$30-MAX(0,($C49*$L$16)-$L$26+(($C49*$L$16)*(F$46+$L$27)*Hold_Y))-$L$30*$L$22)/(($L$29+($C49*$L$16)*$L$24)-($C49*$L$16)))^(1/Hold_Y)-1),NA())</f>
        <v/>
      </c>
      <c r="G49" s="99">
        <f>IFERROR(IF((($L$29+($C49*$L$16)*$L$24)-($C49*$L$16))&lt;=0,NA(),(($L$30-MAX(0,($C49*$L$16)-$L$26+(($C49*$L$16)*(G$46+$L$27)*Hold_Y))-$L$30*$L$22)/(($L$29+($C49*$L$16)*$L$24)-($C49*$L$16)))^(1/Hold_Y)-1),NA())</f>
        <v/>
      </c>
      <c r="H49" s="99">
        <f>IFERROR(IF((($L$29+($C49*$L$16)*$L$24)-($C49*$L$16))&lt;=0,NA(),(($L$30-MAX(0,($C49*$L$16)-$L$26+(($C49*$L$16)*(H$46+$L$27)*Hold_Y))-$L$30*$L$22)/(($L$29+($C49*$L$16)*$L$24)-($C49*$L$16)))^(1/Hold_Y)-1),NA())</f>
        <v/>
      </c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</row>
    <row r="50" ht="15" customHeight="1">
      <c r="A50" s="1" t="n"/>
      <c r="B50" s="1" t="n"/>
      <c r="C50" s="96" t="n">
        <v>4.5</v>
      </c>
      <c r="D50" s="99">
        <f>IFERROR(IF((($L$29+($C50*$L$16)*$L$24)-($C50*$L$16))&lt;=0,NA(),(($L$30-MAX(0,($C50*$L$16)-$L$26+(($C50*$L$16)*(D$46+$L$27)*Hold_Y))-$L$30*$L$22)/(($L$29+($C50*$L$16)*$L$24)-($C50*$L$16)))^(1/Hold_Y)-1),NA())</f>
        <v/>
      </c>
      <c r="E50" s="99">
        <f>IFERROR(IF((($L$29+($C50*$L$16)*$L$24)-($C50*$L$16))&lt;=0,NA(),(($L$30-MAX(0,($C50*$L$16)-$L$26+(($C50*$L$16)*(E$46+$L$27)*Hold_Y))-$L$30*$L$22)/(($L$29+($C50*$L$16)*$L$24)-($C50*$L$16)))^(1/Hold_Y)-1),NA())</f>
        <v/>
      </c>
      <c r="F50" s="99">
        <f>IFERROR(IF((($L$29+($C50*$L$16)*$L$24)-($C50*$L$16))&lt;=0,NA(),(($L$30-MAX(0,($C50*$L$16)-$L$26+(($C50*$L$16)*(F$46+$L$27)*Hold_Y))-$L$30*$L$22)/(($L$29+($C50*$L$16)*$L$24)-($C50*$L$16)))^(1/Hold_Y)-1),NA())</f>
        <v/>
      </c>
      <c r="G50" s="99">
        <f>IFERROR(IF((($L$29+($C50*$L$16)*$L$24)-($C50*$L$16))&lt;=0,NA(),(($L$30-MAX(0,($C50*$L$16)-$L$26+(($C50*$L$16)*(G$46+$L$27)*Hold_Y))-$L$30*$L$22)/(($L$29+($C50*$L$16)*$L$24)-($C50*$L$16)))^(1/Hold_Y)-1),NA())</f>
        <v/>
      </c>
      <c r="H50" s="99">
        <f>IFERROR(IF((($L$29+($C50*$L$16)*$L$24)-($C50*$L$16))&lt;=0,NA(),(($L$30-MAX(0,($C50*$L$16)-$L$26+(($C50*$L$16)*(H$46+$L$27)*Hold_Y))-$L$30*$L$22)/(($L$29+($C50*$L$16)*$L$24)-($C50*$L$16)))^(1/Hold_Y)-1),NA())</f>
        <v/>
      </c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</row>
    <row r="51" ht="15" customHeight="1">
      <c r="A51" s="1" t="n"/>
      <c r="B51" s="1" t="n"/>
      <c r="C51" s="96" t="n">
        <v>5</v>
      </c>
      <c r="D51" s="99">
        <f>IFERROR(IF((($L$29+($C51*$L$16)*$L$24)-($C51*$L$16))&lt;=0,NA(),(($L$30-MAX(0,($C51*$L$16)-$L$26+(($C51*$L$16)*(D$46+$L$27)*Hold_Y))-$L$30*$L$22)/(($L$29+($C51*$L$16)*$L$24)-($C51*$L$16)))^(1/Hold_Y)-1),NA())</f>
        <v/>
      </c>
      <c r="E51" s="99">
        <f>IFERROR(IF((($L$29+($C51*$L$16)*$L$24)-($C51*$L$16))&lt;=0,NA(),(($L$30-MAX(0,($C51*$L$16)-$L$26+(($C51*$L$16)*(E$46+$L$27)*Hold_Y))-$L$30*$L$22)/(($L$29+($C51*$L$16)*$L$24)-($C51*$L$16)))^(1/Hold_Y)-1),NA())</f>
        <v/>
      </c>
      <c r="F51" s="99">
        <f>IFERROR(IF((($L$29+($C51*$L$16)*$L$24)-($C51*$L$16))&lt;=0,NA(),(($L$30-MAX(0,($C51*$L$16)-$L$26+(($C51*$L$16)*(F$46+$L$27)*Hold_Y))-$L$30*$L$22)/(($L$29+($C51*$L$16)*$L$24)-($C51*$L$16)))^(1/Hold_Y)-1),NA())</f>
        <v/>
      </c>
      <c r="G51" s="99">
        <f>IFERROR(IF((($L$29+($C51*$L$16)*$L$24)-($C51*$L$16))&lt;=0,NA(),(($L$30-MAX(0,($C51*$L$16)-$L$26+(($C51*$L$16)*(G$46+$L$27)*Hold_Y))-$L$30*$L$22)/(($L$29+($C51*$L$16)*$L$24)-($C51*$L$16)))^(1/Hold_Y)-1),NA())</f>
        <v/>
      </c>
      <c r="H51" s="99">
        <f>IFERROR(IF((($L$29+($C51*$L$16)*$L$24)-($C51*$L$16))&lt;=0,NA(),(($L$30-MAX(0,($C51*$L$16)-$L$26+(($C51*$L$16)*(H$46+$L$27)*Hold_Y))-$L$30*$L$22)/(($L$29+($C51*$L$16)*$L$24)-($C51*$L$16)))^(1/Hold_Y)-1),NA())</f>
        <v/>
      </c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</row>
    <row r="52" ht="15" customHeight="1">
      <c r="A52" s="1" t="n"/>
      <c r="B52" s="1" t="n"/>
      <c r="C52" s="96" t="n">
        <v>5.5</v>
      </c>
      <c r="D52" s="99">
        <f>IFERROR(IF((($L$29+($C52*$L$16)*$L$24)-($C52*$L$16))&lt;=0,NA(),(($L$30-MAX(0,($C52*$L$16)-$L$26+(($C52*$L$16)*(D$46+$L$27)*Hold_Y))-$L$30*$L$22)/(($L$29+($C52*$L$16)*$L$24)-($C52*$L$16)))^(1/Hold_Y)-1),NA())</f>
        <v/>
      </c>
      <c r="E52" s="99">
        <f>IFERROR(IF((($L$29+($C52*$L$16)*$L$24)-($C52*$L$16))&lt;=0,NA(),(($L$30-MAX(0,($C52*$L$16)-$L$26+(($C52*$L$16)*(E$46+$L$27)*Hold_Y))-$L$30*$L$22)/(($L$29+($C52*$L$16)*$L$24)-($C52*$L$16)))^(1/Hold_Y)-1),NA())</f>
        <v/>
      </c>
      <c r="F52" s="99">
        <f>IFERROR(IF((($L$29+($C52*$L$16)*$L$24)-($C52*$L$16))&lt;=0,NA(),(($L$30-MAX(0,($C52*$L$16)-$L$26+(($C52*$L$16)*(F$46+$L$27)*Hold_Y))-$L$30*$L$22)/(($L$29+($C52*$L$16)*$L$24)-($C52*$L$16)))^(1/Hold_Y)-1),NA())</f>
        <v/>
      </c>
      <c r="G52" s="99">
        <f>IFERROR(IF((($L$29+($C52*$L$16)*$L$24)-($C52*$L$16))&lt;=0,NA(),(($L$30-MAX(0,($C52*$L$16)-$L$26+(($C52*$L$16)*(G$46+$L$27)*Hold_Y))-$L$30*$L$22)/(($L$29+($C52*$L$16)*$L$24)-($C52*$L$16)))^(1/Hold_Y)-1),NA())</f>
        <v/>
      </c>
      <c r="H52" s="99">
        <f>IFERROR(IF((($L$29+($C52*$L$16)*$L$24)-($C52*$L$16))&lt;=0,NA(),(($L$30-MAX(0,($C52*$L$16)-$L$26+(($C52*$L$16)*(H$46+$L$27)*Hold_Y))-$L$30*$L$22)/(($L$29+($C52*$L$16)*$L$24)-($C52*$L$16)))^(1/Hold_Y)-1),NA())</f>
        <v/>
      </c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</row>
    <row r="53" ht="15" customHeight="1">
      <c r="A53" s="1" t="n"/>
      <c r="B53" s="1" t="n"/>
      <c r="C53" s="96" t="n">
        <v>6</v>
      </c>
      <c r="D53" s="99">
        <f>IFERROR(IF((($L$29+($C53*$L$16)*$L$24)-($C53*$L$16))&lt;=0,NA(),(($L$30-MAX(0,($C53*$L$16)-$L$26+(($C53*$L$16)*(D$46+$L$27)*Hold_Y))-$L$30*$L$22)/(($L$29+($C53*$L$16)*$L$24)-($C53*$L$16)))^(1/Hold_Y)-1),NA())</f>
        <v/>
      </c>
      <c r="E53" s="99">
        <f>IFERROR(IF((($L$29+($C53*$L$16)*$L$24)-($C53*$L$16))&lt;=0,NA(),(($L$30-MAX(0,($C53*$L$16)-$L$26+(($C53*$L$16)*(E$46+$L$27)*Hold_Y))-$L$30*$L$22)/(($L$29+($C53*$L$16)*$L$24)-($C53*$L$16)))^(1/Hold_Y)-1),NA())</f>
        <v/>
      </c>
      <c r="F53" s="99">
        <f>IFERROR(IF((($L$29+($C53*$L$16)*$L$24)-($C53*$L$16))&lt;=0,NA(),(($L$30-MAX(0,($C53*$L$16)-$L$26+(($C53*$L$16)*(F$46+$L$27)*Hold_Y))-$L$30*$L$22)/(($L$29+($C53*$L$16)*$L$24)-($C53*$L$16)))^(1/Hold_Y)-1),NA())</f>
        <v/>
      </c>
      <c r="G53" s="99">
        <f>IFERROR(IF((($L$29+($C53*$L$16)*$L$24)-($C53*$L$16))&lt;=0,NA(),(($L$30-MAX(0,($C53*$L$16)-$L$26+(($C53*$L$16)*(G$46+$L$27)*Hold_Y))-$L$30*$L$22)/(($L$29+($C53*$L$16)*$L$24)-($C53*$L$16)))^(1/Hold_Y)-1),NA())</f>
        <v/>
      </c>
      <c r="H53" s="99">
        <f>IFERROR(IF((($L$29+($C53*$L$16)*$L$24)-($C53*$L$16))&lt;=0,NA(),(($L$30-MAX(0,($C53*$L$16)-$L$26+(($C53*$L$16)*(H$46+$L$27)*Hold_Y))-$L$30*$L$22)/(($L$29+($C53*$L$16)*$L$24)-($C53*$L$16)))^(1/Hold_Y)-1),NA())</f>
        <v/>
      </c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</row>
    <row r="54" ht="15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</row>
    <row r="55" ht="15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</row>
    <row r="56" ht="15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</row>
    <row r="57" ht="15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</row>
    <row r="58" ht="15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</row>
    <row r="59" ht="15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</row>
    <row r="60" ht="15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</row>
    <row r="61" ht="15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</row>
    <row r="62" ht="15" customHeight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</row>
    <row r="63" ht="15" customHeigh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</row>
    <row r="64" ht="15" customHeight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</row>
    <row r="65" ht="15" customHeight="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</row>
    <row r="66" ht="15" customHeight="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</row>
    <row r="67" ht="15" customHeight="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</row>
    <row r="68" ht="15" customHeight="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</row>
    <row r="69" ht="15" customHeight="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</row>
    <row r="70" ht="15" customHeight="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</row>
    <row r="71" ht="15" customHeight="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</row>
    <row r="72" ht="15" customHeight="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</row>
    <row r="73" ht="15" customHeight="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</row>
    <row r="74" ht="15" customHeight="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</row>
    <row r="75" ht="15" customHeight="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</row>
    <row r="76" ht="15" customHeight="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</row>
    <row r="77" ht="15" customHeight="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</row>
    <row r="78" ht="15" customHeight="1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</row>
    <row r="79" ht="15" customHeight="1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</row>
    <row r="80" ht="15" customHeight="1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</row>
    <row r="81" ht="15" customHeight="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</row>
    <row r="82" ht="15" customHeight="1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</row>
    <row r="83" ht="15" customHeight="1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</row>
    <row r="84" ht="15" customHeight="1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</row>
    <row r="85" ht="15" customHeight="1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</row>
    <row r="86" ht="15" customHeight="1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</row>
    <row r="87" ht="15" customHeight="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</row>
    <row r="88" ht="15" customHeight="1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</row>
    <row r="89" ht="15" customHeight="1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</row>
    <row r="90" ht="15" customHeight="1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</row>
    <row r="91" ht="15" customHeight="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</row>
    <row r="92" ht="15" customHeight="1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</row>
    <row r="93" ht="15" customHeight="1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</row>
    <row r="94" ht="15" customHeight="1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</row>
    <row r="95" ht="15" customHeight="1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</row>
    <row r="96" ht="15" customHeight="1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</row>
    <row r="97" ht="15" customHeight="1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</row>
    <row r="98" ht="15" customHeight="1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</row>
    <row r="99" ht="15" customHeight="1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</row>
    <row r="100" ht="15" customHeight="1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</row>
    <row r="101" ht="15" customHeight="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</row>
    <row r="102" ht="15" customHeight="1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</row>
    <row r="103" ht="15" customHeight="1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</row>
    <row r="104" ht="15" customHeight="1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</row>
    <row r="105" ht="15" customHeight="1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</row>
    <row r="106" ht="15" customHeight="1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</row>
    <row r="107" ht="15" customHeight="1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</row>
    <row r="108" ht="15" customHeight="1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</row>
    <row r="109" ht="15" customHeight="1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</row>
    <row r="110" ht="15" customHeight="1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</row>
    <row r="111" ht="15" customHeight="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</row>
    <row r="112" ht="15" customHeight="1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</row>
    <row r="113" ht="15" customHeight="1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</row>
    <row r="114" ht="15" customHeight="1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</row>
    <row r="115" ht="15" customHeight="1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</row>
    <row r="116" ht="15" customHeight="1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</row>
    <row r="117" ht="15" customHeight="1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</row>
    <row r="118" ht="15" customHeight="1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</row>
    <row r="119" ht="15" customHeight="1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</row>
    <row r="120" ht="15" customHeight="1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</row>
    <row r="121" ht="15" customHeight="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</row>
    <row r="122" ht="15" customHeight="1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</row>
    <row r="123" ht="15" customHeight="1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</row>
    <row r="124" ht="15" customHeight="1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</row>
    <row r="125" ht="15" customHeight="1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</row>
    <row r="126" ht="15" customHeight="1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</row>
    <row r="127" ht="15" customHeight="1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</row>
    <row r="128" ht="15" customHeight="1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</row>
    <row r="129" ht="15" customHeight="1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</row>
    <row r="130" ht="15" customHeight="1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</row>
    <row r="131" ht="15" customHeight="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</row>
    <row r="132" ht="15" customHeight="1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</row>
    <row r="133" ht="15" customHeight="1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</row>
    <row r="134" ht="15" customHeight="1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</row>
    <row r="135" ht="15" customHeight="1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</row>
    <row r="136" ht="15" customHeight="1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</row>
    <row r="137" ht="15" customHeight="1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</row>
    <row r="138" ht="15" customHeight="1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</row>
    <row r="139" ht="15" customHeight="1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</row>
    <row r="140" ht="15" customHeight="1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</row>
    <row r="141" ht="15" customHeight="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</row>
    <row r="142" ht="15" customHeight="1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</row>
    <row r="143" ht="15" customHeight="1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</row>
    <row r="144" ht="15" customHeight="1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</row>
    <row r="145" ht="15" customHeight="1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</row>
    <row r="146" ht="15" customHeight="1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</row>
    <row r="147" ht="15" customHeight="1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</row>
    <row r="148" ht="15" customHeight="1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</row>
    <row r="149" ht="15" customHeight="1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</row>
    <row r="150" ht="15" customHeight="1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</row>
    <row r="151" ht="15" customHeight="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</row>
    <row r="152" ht="15" customHeight="1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</row>
    <row r="153" ht="15" customHeight="1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</row>
    <row r="154" ht="15" customHeight="1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</row>
    <row r="155" ht="15" customHeight="1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</row>
    <row r="156" ht="15" customHeight="1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</row>
    <row r="157" ht="15" customHeight="1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</row>
    <row r="158" ht="15" customHeight="1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</row>
    <row r="159" ht="15" customHeight="1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</row>
    <row r="160" ht="15" customHeight="1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</row>
    <row r="161" ht="15" customHeight="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</row>
    <row r="162" ht="15" customHeight="1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</row>
    <row r="163" ht="15" customHeight="1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</row>
    <row r="164" ht="15" customHeight="1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</row>
    <row r="165" ht="15" customHeight="1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</row>
    <row r="166" ht="15" customHeight="1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</row>
    <row r="167" ht="15" customHeight="1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</row>
    <row r="168" ht="15" customHeight="1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</row>
    <row r="169" ht="15" customHeight="1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</row>
    <row r="170" ht="15" customHeight="1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</row>
    <row r="171" ht="15" customHeight="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</row>
    <row r="172" ht="15" customHeight="1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</row>
    <row r="173" ht="15" customHeight="1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</row>
    <row r="174" ht="15" customHeight="1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</row>
    <row r="175" ht="15" customHeight="1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</row>
    <row r="176" ht="15" customHeight="1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</row>
    <row r="177" ht="15" customHeight="1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</row>
    <row r="178" ht="15" customHeight="1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</row>
    <row r="179" ht="15" customHeight="1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</row>
    <row r="180" ht="15" customHeight="1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</row>
    <row r="181" ht="15" customHeight="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</row>
    <row r="182" ht="15" customHeight="1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</row>
    <row r="183" ht="15" customHeight="1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</row>
    <row r="184" ht="15" customHeight="1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</row>
    <row r="185" ht="15" customHeight="1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</row>
    <row r="186" ht="15" customHeight="1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</row>
    <row r="187" ht="15" customHeight="1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</row>
    <row r="188" ht="15" customHeight="1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</row>
    <row r="189" ht="15" customHeight="1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</row>
    <row r="190" ht="15" customHeight="1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</row>
    <row r="191" ht="15" customHeight="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</row>
    <row r="192" ht="15" customHeight="1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</row>
    <row r="193" ht="15" customHeight="1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</row>
    <row r="194" ht="15" customHeight="1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</row>
    <row r="195" ht="15" customHeight="1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</row>
    <row r="196" ht="15" customHeight="1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</row>
    <row r="197" ht="15" customHeight="1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</row>
    <row r="198" ht="15" customHeight="1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</row>
    <row r="199" ht="15" customHeight="1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</row>
    <row r="200" ht="15" customHeight="1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</row>
  </sheetData>
  <conditionalFormatting sqref="D24:I29">
    <cfRule type="colorScale" priority="1">
      <colorScale>
        <cfvo type="min"/>
        <cfvo type="percentile" val="50"/>
        <cfvo type="max"/>
        <color rgb="00F87171"/>
        <color rgb="00FDE68A"/>
        <color rgb="0034D399"/>
      </colorScale>
    </cfRule>
  </conditionalFormatting>
  <conditionalFormatting sqref="D36:I41">
    <cfRule type="colorScale" priority="1">
      <colorScale>
        <cfvo type="min"/>
        <cfvo type="percentile" val="50"/>
        <cfvo type="max"/>
        <color rgb="00F87171"/>
        <color rgb="00FDE68A"/>
        <color rgb="0034D399"/>
      </colorScale>
    </cfRule>
  </conditionalFormatting>
  <conditionalFormatting sqref="D47:H53">
    <cfRule type="colorScale" priority="1">
      <colorScale>
        <cfvo type="min"/>
        <cfvo type="percentile" val="50"/>
        <cfvo type="max"/>
        <color rgb="00F87171"/>
        <color rgb="00FDE68A"/>
        <color rgb="0034D399"/>
      </colorScale>
    </cfRule>
  </conditionalFormatting>
  <pageMargins left="0.3" right="0.3" top="0.5" bottom="0.5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0"/>
  <sheetViews>
    <sheetView showGridLines="0" workbookViewId="0">
      <pane xSplit="4" ySplit="9" topLeftCell="E10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18" customWidth="1" min="3" max="3"/>
    <col width="34" customWidth="1" min="4" max="4"/>
    <col width="38" customWidth="1" min="5" max="5"/>
    <col width="26" customWidth="1" min="6" max="6"/>
    <col width="26" customWidth="1" min="7" max="7"/>
    <col width="26" customWidth="1" min="8" max="8"/>
    <col width="34" customWidth="1" min="9" max="9"/>
    <col width="20" customWidth="1" min="10" max="10"/>
    <col width="20" customWidth="1" min="11" max="11"/>
    <col width="20" customWidth="1" min="12" max="12"/>
  </cols>
  <sheetData>
    <row r="1" ht="15" customHeight="1"/>
    <row r="2" ht="15" customHeight="1">
      <c r="B2" s="115" t="inlineStr">
        <is>
          <t>CHECKS:</t>
        </is>
      </c>
      <c r="C2" s="116">
        <f>HYPERLINK("#'90_CHECKS'!B6",'90_CHECKS'!$C$22)</f>
        <v/>
      </c>
      <c r="D2" s="116">
        <f>HYPERLINK("#'80_LBO_LEARN_MAP'!B8","LEARN MAP")</f>
        <v/>
      </c>
      <c r="E2" s="116">
        <f>HYPERLINK("#'00_DASHBOARD'!B3","DASHBOARD")</f>
        <v/>
      </c>
    </row>
    <row r="3" ht="15" customHeight="1"/>
    <row r="4"/>
    <row r="5"/>
    <row r="6" ht="18" customHeight="1">
      <c r="B6" s="104" t="inlineStr">
        <is>
          <t>80_LBO_LEARN_MAP | Explainability map (Top 30 KPIs)</t>
        </is>
      </c>
      <c r="C6" s="104" t="n"/>
      <c r="D6" s="104" t="n"/>
      <c r="E6" s="104" t="n"/>
      <c r="F6" s="104" t="n"/>
      <c r="G6" s="104" t="n"/>
      <c r="H6" s="104" t="n"/>
      <c r="I6" s="104" t="n"/>
      <c r="J6" s="104" t="n"/>
      <c r="K6" s="104" t="n"/>
      <c r="L6" s="104" t="n"/>
    </row>
    <row r="7"/>
    <row r="8" ht="30" customHeight="1">
      <c r="B8" s="117" t="inlineStr">
        <is>
          <t>Purpose: One page map from KPIs to model cells, with drivers, pitfalls, sanity checks, and IC-ready scripts.</t>
        </is>
      </c>
    </row>
    <row r="9"/>
    <row r="10" ht="18" customHeight="1">
      <c r="B10" s="118" t="inlineStr">
        <is>
          <t>KPI</t>
        </is>
      </c>
      <c r="C10" s="118" t="inlineStr">
        <is>
          <t>Where (click)</t>
        </is>
      </c>
      <c r="D10" s="118" t="inlineStr">
        <is>
          <t>Definition</t>
        </is>
      </c>
      <c r="E10" s="118" t="inlineStr">
        <is>
          <t>Primary drivers (specific cells/lines)</t>
        </is>
      </c>
      <c r="F10" s="118" t="inlineStr">
        <is>
          <t>Directional intuition</t>
        </is>
      </c>
      <c r="G10" s="118" t="inlineStr">
        <is>
          <t>Common pitfalls</t>
        </is>
      </c>
      <c r="H10" s="118" t="inlineStr">
        <is>
          <t>Sanity checks</t>
        </is>
      </c>
      <c r="I10" s="118" t="inlineStr">
        <is>
          <t>If asked in IC, say this</t>
        </is>
      </c>
    </row>
    <row r="11" ht="60" customHeight="1">
      <c r="B11" s="119" t="inlineStr">
        <is>
          <t>Sponsor IRR</t>
        </is>
      </c>
      <c r="C11" s="120">
        <f>HYPERLINK("#'00_DASHBOARD'!F12","00_DASHBOARD!F12")</f>
        <v/>
      </c>
      <c r="D11" s="121" t="inlineStr">
        <is>
          <t>Annualized equity return to sponsor based on equity cash flows (close to exit).</t>
        </is>
      </c>
      <c r="E11" s="121" t="inlineStr">
        <is>
          <t>Calc: 09_RETURNS!D20. Key inputs: Entry_Multiple (01_CONTROL!D16), Exit_Multiple (01_CONTROL!D18), Hold_Y (01_CONTROL!D14), Lev_Target (01_CONTROL!D48), Rev growth (01_CONTROL!F39:H39), EBITDA margin (01_CONTROL!F40:H40), Bench rate (01_CONTROL!D22).</t>
        </is>
      </c>
      <c r="F11" s="121" t="inlineStr">
        <is>
          <t>Higher exit equity proceeds and shorter hold increase IRR. Higher equity check reduces IRR, all else equal.</t>
        </is>
      </c>
      <c r="G11" s="121" t="inlineStr">
        <is>
          <t>Wrong sign convention in equity CFs; IRR range off by one year; mixing total equity vs sponsor equity.</t>
        </is>
      </c>
      <c r="H11" s="121" t="inlineStr">
        <is>
          <t>IRR should move up with higher exit multiple; if MOIC up but IRR down, check hold period; confirm exit cash flow is only in exit year.</t>
        </is>
      </c>
      <c r="I11" s="121" t="inlineStr">
        <is>
          <t>Base case IRR is driven mainly by (i) entry vs exit multiple, (ii) EBITDA growth, and (iii) deleveraging. Under our debt terms, most variance comes from exit and operating performance.</t>
        </is>
      </c>
    </row>
    <row r="12" ht="60" customHeight="1">
      <c r="B12" s="119" t="inlineStr">
        <is>
          <t>Sponsor MOIC</t>
        </is>
      </c>
      <c r="C12" s="120">
        <f>HYPERLINK("#'00_DASHBOARD'!F13","00_DASHBOARD!F13")</f>
        <v/>
      </c>
      <c r="D12" s="121" t="inlineStr">
        <is>
          <t>Multiple of money on sponsor equity (exit proceeds divided by equity invested).</t>
        </is>
      </c>
      <c r="E12" s="121" t="inlineStr">
        <is>
          <t>Calc: 09_RETURNS!D21. Key lines: Sponsor equity (05_SOURCES_AND_USES!D38), Sponsor proceeds (08_EXIT_AND_EQUITY_BRIDGE!D35).</t>
        </is>
      </c>
      <c r="F12" s="121" t="inlineStr">
        <is>
          <t>MOIC increases with higher exit equity value and lower equity check at entry.</t>
        </is>
      </c>
      <c r="G12" s="121" t="inlineStr">
        <is>
          <t>Using total equity instead of sponsor equity; including fees twice; comparing MOIC across different hold periods without IRR context.</t>
        </is>
      </c>
      <c r="H12" s="121" t="inlineStr">
        <is>
          <t>MOIC &gt;=1.0x in base case; MOIC should increase with exit multiple; sponsor proceeds should tie to EV-to-equity bridge.</t>
        </is>
      </c>
      <c r="I12" s="121" t="inlineStr">
        <is>
          <t>MOIC is simply exit equity proceeds over the entry equity check. It is less sensitive to timing than IRR, so we pair it with hold period.</t>
        </is>
      </c>
    </row>
    <row r="13" ht="60" customHeight="1">
      <c r="B13" s="119" t="inlineStr">
        <is>
          <t>Sponsor equity cash flow schedule</t>
        </is>
      </c>
      <c r="C13" s="120">
        <f>HYPERLINK("#'09_RETURNS'!E14","09_RETURNS!E14")</f>
        <v/>
      </c>
      <c r="D13" s="121" t="inlineStr">
        <is>
          <t>Sponsor cash flows by year, negative at close, positive at exit (no interim distributions in this base template).</t>
        </is>
      </c>
      <c r="E13" s="121" t="inlineStr">
        <is>
          <t>Rows: 09_RETURNS!E14:L14. Inputs: Sponsor equity (05_SOURCES_AND_USES!D38) and Sponsor exit proceeds (08_EXIT_AND_EQUITY_BRIDGE!D35) with timing from Hold_Y.</t>
        </is>
      </c>
      <c r="F13" s="121" t="inlineStr">
        <is>
          <t>Earlier inflows improve IRR. Bigger initial outflow lowers IRR unless exit scales.</t>
        </is>
      </c>
      <c r="G13" s="121" t="inlineStr">
        <is>
          <t>Placing exit proceeds in wrong column; leaving stray interim cash flows; mixing sponsor vs total equity.</t>
        </is>
      </c>
      <c r="H13" s="121" t="inlineStr">
        <is>
          <t>Exactly one negative at close and one positive at exit in this template; sum of equity CFs should equal proceeds minus invested.</t>
        </is>
      </c>
      <c r="I13" s="121" t="inlineStr">
        <is>
          <t>Equity cash flows are clean: one check at close, one distribution at exit. That makes MOIC and IRR easy to reconcile to entry equity and exit proceeds.</t>
        </is>
      </c>
    </row>
    <row r="14" ht="60" customHeight="1">
      <c r="B14" s="119" t="inlineStr">
        <is>
          <t>Entry EV</t>
        </is>
      </c>
      <c r="C14" s="120">
        <f>HYPERLINK("#'00_DASHBOARD'!C11","00_DASHBOARD!C11")</f>
        <v/>
      </c>
      <c r="D14" s="121" t="inlineStr">
        <is>
          <t>Enterprise value paid at entry (EV) based on LTM EBITDA times entry multiple.</t>
        </is>
      </c>
      <c r="E14" s="121" t="inlineStr">
        <is>
          <t>Calc: 05_SOURCES_AND_USES!D16. Inputs: LTM EBITDA (01_CONTROL!D32) and Entry multiple (01_CONTROL!D16).</t>
        </is>
      </c>
      <c r="F14" s="121" t="inlineStr">
        <is>
          <t>Higher entry EV increases equity required if leverage is held constant, lowering returns.</t>
        </is>
      </c>
      <c r="G14" s="121" t="inlineStr">
        <is>
          <t>Confusing EV with equity purchase price; forgetting existing net debt refinance; inconsistent units (DKKm).</t>
        </is>
      </c>
      <c r="H14" s="121" t="inlineStr">
        <is>
          <t>Entry EV equals LTM EBITDA times multiple; sources and uses should still tie after any change.</t>
        </is>
      </c>
      <c r="I14" s="121" t="inlineStr">
        <is>
          <t>Entry EV is the headline valuation. Given fixed leverage, higher EV mechanically increases the equity check and lowers returns unless growth or exit offsets.</t>
        </is>
      </c>
    </row>
    <row r="15" ht="60" customHeight="1">
      <c r="B15" s="119" t="inlineStr">
        <is>
          <t>Entry multiple</t>
        </is>
      </c>
      <c r="C15" s="120">
        <f>HYPERLINK("#'00_DASHBOARD'!C12","00_DASHBOARD!C12")</f>
        <v/>
      </c>
      <c r="D15" s="121" t="inlineStr">
        <is>
          <t>EV divided by LTM EBITDA at entry. Primary valuation driver in this model.</t>
        </is>
      </c>
      <c r="E15" s="121" t="inlineStr">
        <is>
          <t>01_CONTROL!D16 and LTM EBITDA (01_CONTROL!D32).</t>
        </is>
      </c>
      <c r="F15" s="121" t="inlineStr">
        <is>
          <t>Higher entry multiple reduces equity returns unless matched by stronger growth, higher exit multiple, or more deleveraging.</t>
        </is>
      </c>
      <c r="G15" s="121" t="inlineStr">
        <is>
          <t>Using wrong EBITDA definition (LTM vs run rate); mismatching currency; mixing pre IFRS16 vs post IFRS16 EBITDA.</t>
        </is>
      </c>
      <c r="H15" s="121" t="inlineStr">
        <is>
          <t>Check that EV and multiple move consistently; compare to exit multiple sensitivity.</t>
        </is>
      </c>
      <c r="I15" s="121" t="inlineStr">
        <is>
          <t>Entry multiple is the biggest lever on equity check. If we pay up, we need a clear thesis on growth, margins, or multiple durability.</t>
        </is>
      </c>
    </row>
    <row r="16" ht="60" customHeight="1">
      <c r="B16" s="119" t="inlineStr">
        <is>
          <t>Equity check (total equity at close)</t>
        </is>
      </c>
      <c r="C16" s="120">
        <f>HYPERLINK("#'00_DASHBOARD'!C14","00_DASHBOARD!C14")</f>
        <v/>
      </c>
      <c r="D16" s="121" t="inlineStr">
        <is>
          <t>Total equity required to fund Sources and Uses after debt sources. Includes sponsor plus management rollover if any.</t>
        </is>
      </c>
      <c r="E16" s="121" t="inlineStr">
        <is>
          <t>Calc: 05_SOURCES_AND_USES!D40. Inputs: EV (D16), fees (01_CONTROL!D56:D57), leverage (01_CONTROL!D48), mgmt rollover % (01_CONTROL!G55).</t>
        </is>
      </c>
      <c r="F16" s="121" t="inlineStr">
        <is>
          <t>Higher fees or lower leverage increases equity check. Larger equity check lowers IRR all else equal.</t>
        </is>
      </c>
      <c r="G16" s="121" t="inlineStr">
        <is>
          <t>Double counting financing fees; letting equity be a plug without checking leverage; wrong sign for WC adjustment.</t>
        </is>
      </c>
      <c r="H16" s="121" t="inlineStr">
        <is>
          <t>Sources minus uses equals zero; sponsor plus mgmt equals total equity.</t>
        </is>
      </c>
      <c r="I16" s="121" t="inlineStr">
        <is>
          <t>Equity check is what the sponsor wires. In IC we link it directly to valuation, leverage, and fees.</t>
        </is>
      </c>
    </row>
    <row r="17" ht="60" customHeight="1">
      <c r="B17" s="119" t="inlineStr">
        <is>
          <t>Debt / Equity split</t>
        </is>
      </c>
      <c r="C17" s="120">
        <f>HYPERLINK("#'05_SOURCES_AND_USES'!D37","05_SOURCES_AND_USES!D37")</f>
        <v/>
      </c>
      <c r="D17" s="121" t="inlineStr">
        <is>
          <t>Funding mix at close: total new debt vs total equity.</t>
        </is>
      </c>
      <c r="E17" s="121" t="inlineStr">
        <is>
          <t>Debt total (05!D37) driven by leverage target (01_CONTROL!D48) and debt structure toggle (01_CONTROL!D20).</t>
        </is>
      </c>
      <c r="F17" s="121" t="inlineStr">
        <is>
          <t>More debt can boost IRR via lower equity check but raises risk via interest, covenants, and refinance sensitivity.</t>
        </is>
      </c>
      <c r="G17" s="121" t="inlineStr">
        <is>
          <t>Ignoring revolver constraints; using gross leverage when covenants are net; assuming sweep always works in downside.</t>
        </is>
      </c>
      <c r="H17" s="121" t="inlineStr">
        <is>
          <t>Debt plus equity equals total uses; leverage metrics reconcile to debt totals.</t>
        </is>
      </c>
      <c r="I17" s="121" t="inlineStr">
        <is>
          <t>We are choosing a risk return point: more leverage improves equity efficiency but reduces downside protection and increases covenant pressure.</t>
        </is>
      </c>
    </row>
    <row r="18" ht="60" customHeight="1">
      <c r="B18" s="119" t="inlineStr">
        <is>
          <t>Entry leverage (Debt / EBITDA)</t>
        </is>
      </c>
      <c r="C18" s="120">
        <f>HYPERLINK("#'00_DASHBOARD'!C15","00_DASHBOARD!C15")</f>
        <v/>
      </c>
      <c r="D18" s="121" t="inlineStr">
        <is>
          <t>Total new debt at close divided by LTM EBITDA.</t>
        </is>
      </c>
      <c r="E18" s="121" t="inlineStr">
        <is>
          <t>Debt total (05!D37) and LTM EBITDA (01_CONTROL!D32).</t>
        </is>
      </c>
      <c r="F18" s="121" t="inlineStr">
        <is>
          <t>Higher leverage reduces equity check and can lift IRR, but increases cash interest and covenant risk.</t>
        </is>
      </c>
      <c r="G18" s="121" t="inlineStr">
        <is>
          <t>Using EBITDA with add backs not available to lenders; mixing net and gross leverage.</t>
        </is>
      </c>
      <c r="H18" s="121" t="inlineStr">
        <is>
          <t>Compare to covenant definitions in 10_COVENANTS; check interest coverage stays reasonable.</t>
        </is>
      </c>
      <c r="I18" s="121" t="inlineStr">
        <is>
          <t>Leverage is the core underwriting decision. We evaluate it alongside free cash flow, downside stress, and covenant headroom.</t>
        </is>
      </c>
    </row>
    <row r="19" ht="60" customHeight="1">
      <c r="B19" s="119" t="inlineStr">
        <is>
          <t>Total debt by tranche (close)</t>
        </is>
      </c>
      <c r="C19" s="120">
        <f>HYPERLINK("#'06_DEBT_SCHEDULES'!E15","06_DEBT_SCHEDULES!E15")</f>
        <v/>
      </c>
      <c r="D19" s="121" t="inlineStr">
        <is>
          <t>Initial drawn balances for each tranche at close (revolver, TLA, TLB, SSN, Mezz depending on toggle).</t>
        </is>
      </c>
      <c r="E19" s="121" t="inlineStr">
        <is>
          <t>Sources &amp; Uses debt allocation logic (05_SOURCES_AND_USES debt lines) and Debt_Structure toggle (01_CONTROL!D20).</t>
        </is>
      </c>
      <c r="F19" s="121" t="inlineStr">
        <is>
          <t>More senior debt is cheaper but may have tighter covenants; junior/PIK increases cost but may add flexibility.</t>
        </is>
      </c>
      <c r="G19" s="121" t="inlineStr">
        <is>
          <t>Mismatch between S&amp;U and debt schedule opening balances; forgetting fees or draw timing.</t>
        </is>
      </c>
      <c r="H19" s="121" t="inlineStr">
        <is>
          <t>Debt schedule opening balances match sources and uses debt amounts; each tranche roll forward ties each period.</t>
        </is>
      </c>
      <c r="I19" s="121" t="inlineStr">
        <is>
          <t>We look at the tranche mix because it drives cash interest, amortization burden, and covenant package.</t>
        </is>
      </c>
    </row>
    <row r="20" ht="60" customHeight="1">
      <c r="B20" s="119" t="inlineStr">
        <is>
          <t>Debt paydown path (total)</t>
        </is>
      </c>
      <c r="C20" s="120">
        <f>HYPERLINK("#'06_DEBT_SCHEDULES'!F67","06_DEBT_SCHEDULES!F67")</f>
        <v/>
      </c>
      <c r="D20" s="121" t="inlineStr">
        <is>
          <t>Total debt outstanding by year after mandatory amortization and optional sweeps.</t>
        </is>
      </c>
      <c r="E20" s="121" t="inlineStr">
        <is>
          <t>Cash available (07_CASH_FLOW_WATERFALL!F23), sweep % (01_CONTROL!G54), mandatory amort inputs (01_CONTROL rows 63-67), interest rates.</t>
        </is>
      </c>
      <c r="F20" s="121" t="inlineStr">
        <is>
          <t>Higher FCF conversion and lower interest accelerate deleveraging.</t>
        </is>
      </c>
      <c r="G20" s="121" t="inlineStr">
        <is>
          <t>Circularity between interest and sweep; sweep exceeding available cash; negative debt balances.</t>
        </is>
      </c>
      <c r="H20" s="121" t="inlineStr">
        <is>
          <t>Ending debt never negative; cash bridge check equals zero; total debt declines with positive free cash flow.</t>
        </is>
      </c>
      <c r="I20" s="121" t="inlineStr">
        <is>
          <t>Deleveraging is the main downside protection in software LBOs. We show the path and what drives the speed.</t>
        </is>
      </c>
    </row>
    <row r="21" ht="60" customHeight="1">
      <c r="B21" s="119" t="inlineStr">
        <is>
          <t>Debt paydown per tranche (priority)</t>
        </is>
      </c>
      <c r="C21" s="120">
        <f>HYPERLINK("#'07_CASH_FLOW_WATERFALL'!F33","07_CASH_FLOW_WATERFALL!F33")</f>
        <v/>
      </c>
      <c r="D21" s="121" t="inlineStr">
        <is>
          <t>Optional sweep amounts allocated by tranche priority (Term B, Term A, SSN, Mezz).</t>
        </is>
      </c>
      <c r="E21" s="121" t="inlineStr">
        <is>
          <t>Sweep pool (07!F25) and tranche capacity (06 ending vs mandatory).</t>
        </is>
      </c>
      <c r="F21" s="121" t="inlineStr">
        <is>
          <t>Sweeps first reduce higher priority debt, improving covenants and reducing interest.</t>
        </is>
      </c>
      <c r="G21" s="121" t="inlineStr">
        <is>
          <t>Sweep order inconsistent with credit agreement; sweeping revolver incorrectly; paying beyond outstanding.</t>
        </is>
      </c>
      <c r="H21" s="121" t="inlineStr">
        <is>
          <t>Sum of tranche sweeps equals total sweep pool minus revolver repay; tranche sweep capped at available balance.</t>
        </is>
      </c>
      <c r="I21" s="121" t="inlineStr">
        <is>
          <t>We follow contractual priority. In IC we articulate which debt gets taken out first and why that matters for risk.</t>
        </is>
      </c>
    </row>
    <row r="22" ht="60" customHeight="1">
      <c r="B22" s="119" t="inlineStr">
        <is>
          <t>Revolver draw/repay</t>
        </is>
      </c>
      <c r="C22" s="120">
        <f>HYPERLINK("#'07_CASH_FLOW_WATERFALL'!F30","07_CASH_FLOW_WATERFALL!F30")</f>
        <v/>
      </c>
      <c r="D22" s="121" t="inlineStr">
        <is>
          <t>Revolver draws when cash is insufficient and repays when surplus exists, within the revolver limit.</t>
        </is>
      </c>
      <c r="E22" s="121" t="inlineStr">
        <is>
          <t>Cash deficit (07!F27), revolver limit (01_CONTROL!D49 / named Revolver_Limit) and ending revolver balance (06 rows 22-25).</t>
        </is>
      </c>
      <c r="F22" s="121" t="inlineStr">
        <is>
          <t>Revolver is liquidity backstop; frequent draws signal tight cash generation.</t>
        </is>
      </c>
      <c r="G22" s="121" t="inlineStr">
        <is>
          <t>Allowing negative revolver or exceeding limit; forgetting minimum cash assumptions; double counting interest.</t>
        </is>
      </c>
      <c r="H22" s="121" t="inlineStr">
        <is>
          <t>Revolver ending between 0 and limit; liquidity never negative unless explicitly allowed; checks in 90_CHECKS pass.</t>
        </is>
      </c>
      <c r="I22" s="121" t="inlineStr">
        <is>
          <t>We treat the revolver as the first liquidity valve. If we need it in base case, the deal is likely too tight.</t>
        </is>
      </c>
    </row>
    <row r="23" ht="60" customHeight="1">
      <c r="B23" s="119" t="inlineStr">
        <is>
          <t>Cash interest (total)</t>
        </is>
      </c>
      <c r="C23" s="120">
        <f>HYPERLINK("#'07_CASH_FLOW_WATERFALL'!F20","07_CASH_FLOW_WATERFALL!F20")</f>
        <v/>
      </c>
      <c r="D23" s="121" t="inlineStr">
        <is>
          <t>Total cash interest paid across all tranches each year.</t>
        </is>
      </c>
      <c r="E23" s="121" t="inlineStr">
        <is>
          <t>Debt balances (06) and all-in rates (06 rows 26,35,44,53,62), benchmark rate (01_CONTROL!D22) and spreads.</t>
        </is>
      </c>
      <c r="F23" s="121" t="inlineStr">
        <is>
          <t>Higher debt or higher rates reduce cash available for paydown, slowing deleveraging and reducing returns.</t>
        </is>
      </c>
      <c r="G23" s="121" t="inlineStr">
        <is>
          <t>Using ending balance instead of average; mixing fixed vs floating modes; ignoring floors.</t>
        </is>
      </c>
      <c r="H23" s="121" t="inlineStr">
        <is>
          <t>Interest rises with debt and rates; interest coverage remains sensible; no negative interest values.</t>
        </is>
      </c>
      <c r="I23" s="121" t="inlineStr">
        <is>
          <t>Interest is the biggest cash drain. We stress benchmark rates and confirm we still delever without covenant pressure.</t>
        </is>
      </c>
    </row>
    <row r="24" ht="60" customHeight="1">
      <c r="B24" s="119" t="inlineStr">
        <is>
          <t>Blended cost of debt</t>
        </is>
      </c>
      <c r="C24" s="120">
        <f>HYPERLINK("#'06_DEBT_SCHEDULES'!F65","06_DEBT_SCHEDULES!F65")</f>
        <v/>
      </c>
      <c r="D24" s="121" t="inlineStr">
        <is>
          <t>Weighted average cash interest rate across outstanding tranches.</t>
        </is>
      </c>
      <c r="E24" s="121" t="inlineStr">
        <is>
          <t>All-in rates per tranche and weights by outstanding balance.</t>
        </is>
      </c>
      <c r="F24" s="121" t="inlineStr">
        <is>
          <t>More junior debt or higher floating rates increase blended cost and reduce FCF conversion.</t>
        </is>
      </c>
      <c r="G24" s="121" t="inlineStr">
        <is>
          <t>Weighting by initial debt instead of current; forgetting revolver pricing; mixing fixed and floating in weighting.</t>
        </is>
      </c>
      <c r="H24" s="121" t="inlineStr">
        <is>
          <t>Blended rate sits between senior and mezz rates; moves with benchmark in floating mode.</t>
        </is>
      </c>
      <c r="I24" s="121" t="inlineStr">
        <is>
          <t>Blended cost is what matters for cash generation. It informs our rate shock sensitivity and debt capacity.</t>
        </is>
      </c>
    </row>
    <row r="25" ht="60" customHeight="1">
      <c r="B25" s="119" t="inlineStr">
        <is>
          <t>Cash sweep pool</t>
        </is>
      </c>
      <c r="C25" s="120">
        <f>HYPERLINK("#'07_CASH_FLOW_WATERFALL'!F25","07_CASH_FLOW_WATERFALL!F25")</f>
        <v/>
      </c>
      <c r="D25" s="121" t="inlineStr">
        <is>
          <t>Cash available for optional repayment after interest and mandatory amortization, scaled by sweep percentage.</t>
        </is>
      </c>
      <c r="E25" s="121" t="inlineStr">
        <is>
          <t>Cash after mandatory amort (07!F23) and Sweep % (01_CONTROL!G54).</t>
        </is>
      </c>
      <c r="F25" s="121" t="inlineStr">
        <is>
          <t>Higher sweep % accelerates paydown but reduces retained cash, which can reduce liquidity buffers.</t>
        </is>
      </c>
      <c r="G25" s="121" t="inlineStr">
        <is>
          <t>Sweeping cash needed for minimum liquidity; assuming 100% sweep in downside; mismatching with credit agreement.</t>
        </is>
      </c>
      <c r="H25" s="121" t="inlineStr">
        <is>
          <t>Ending cash and liquidity remain positive; sweep does not exceed cash surplus.</t>
        </is>
      </c>
      <c r="I25" s="121" t="inlineStr">
        <is>
          <t>We balance sweep aggressiveness against liquidity. A higher sweep speeds deleveraging but can increase operating risk.</t>
        </is>
      </c>
    </row>
    <row r="26" ht="60" customHeight="1">
      <c r="B26" s="119" t="inlineStr">
        <is>
          <t>Unlevered FCF</t>
        </is>
      </c>
      <c r="C26" s="120">
        <f>HYPERLINK("#'04_OPERATING_MODEL'!F37","04_OPERATING_MODEL!F37")</f>
        <v/>
      </c>
      <c r="D26" s="121" t="inlineStr">
        <is>
          <t>Operating cash generation before financing: NOPAT + D&amp;A - capex - change in NWC.</t>
        </is>
      </c>
      <c r="E26" s="121" t="inlineStr">
        <is>
          <t>NOPAT (04!F20), D&amp;A (04!F17), capex (04!F36), ΔNWC (04!F32), tax rate (01_CONTROL!D26).</t>
        </is>
      </c>
      <c r="F26" s="121" t="inlineStr">
        <is>
          <t>Better margins, lower capex, and improved working capital increase FCF and deleveraging speed.</t>
        </is>
      </c>
      <c r="G26" s="121" t="inlineStr">
        <is>
          <t>Double counting D&amp;A; wrong sign on ΔNWC; using EBITDA instead of EBIT for tax base.</t>
        </is>
      </c>
      <c r="H26" s="121" t="inlineStr">
        <is>
          <t>FCF tracks EBITDA with reasonable conversion; capex and ΔNWC signs are consistent (investment uses cash).</t>
        </is>
      </c>
      <c r="I26" s="121" t="inlineStr">
        <is>
          <t>Deleveraging comes from unlevered free cash flow. We focus on FCF conversion rather than EBITDA alone.</t>
        </is>
      </c>
    </row>
    <row r="27" ht="60" customHeight="1">
      <c r="B27" s="119" t="inlineStr">
        <is>
          <t>Cash before debt service</t>
        </is>
      </c>
      <c r="C27" s="120">
        <f>HYPERLINK("#'07_CASH_FLOW_WATERFALL'!F19","07_CASH_FLOW_WATERFALL!F19")</f>
        <v/>
      </c>
      <c r="D27" s="121" t="inlineStr">
        <is>
          <t>Cash generation after tax, capex, working capital but before interest and debt repayments.</t>
        </is>
      </c>
      <c r="E27" s="121" t="inlineStr">
        <is>
          <t>EBITDA (07!F14), cash taxes (07!F15), ΔNWC (07!F16), capex (07!F17).</t>
        </is>
      </c>
      <c r="F27" s="121" t="inlineStr">
        <is>
          <t>Higher EBITDA and better conversion increase this pool, supporting debt paydown and resilience.</t>
        </is>
      </c>
      <c r="G27" s="121" t="inlineStr">
        <is>
          <t>Sign errors on capex or ΔNWC; taxes computed on wrong base; mixing levered and unlevered tax.</t>
        </is>
      </c>
      <c r="H27" s="121" t="inlineStr">
        <is>
          <t>Reconciles directionally to unlevered FCF; negative in downside should prompt liquidity review.</t>
        </is>
      </c>
      <c r="I27" s="121" t="inlineStr">
        <is>
          <t>This line is the core cash engine. It tells us whether the business can self fund deleveraging.</t>
        </is>
      </c>
    </row>
    <row r="28" ht="60" customHeight="1">
      <c r="B28" s="119" t="inlineStr">
        <is>
          <t>Cash after interest</t>
        </is>
      </c>
      <c r="C28" s="120">
        <f>HYPERLINK("#'07_CASH_FLOW_WATERFALL'!F21","07_CASH_FLOW_WATERFALL!F21")</f>
        <v/>
      </c>
      <c r="D28" s="121" t="inlineStr">
        <is>
          <t>Cash remaining after paying cash interest.</t>
        </is>
      </c>
      <c r="E28" s="121" t="inlineStr">
        <is>
          <t>Cash before debt service (07!F19) and total interest (07!F20).</t>
        </is>
      </c>
      <c r="F28" s="121" t="inlineStr">
        <is>
          <t>Interest rate shocks compress this line and slow paydown.</t>
        </is>
      </c>
      <c r="G28" s="121" t="inlineStr">
        <is>
          <t>Interest line incomplete or double counted; interest timing mismatch; using PIK as cash.</t>
        </is>
      </c>
      <c r="H28" s="121" t="inlineStr">
        <is>
          <t>Cash after interest declines when rates rise; compare to interest coverage metric.</t>
        </is>
      </c>
      <c r="I28" s="121" t="inlineStr">
        <is>
          <t>This is where rate risk shows up first. We test whether the model still delevers with a realistic rate shock.</t>
        </is>
      </c>
    </row>
    <row r="29" ht="60" customHeight="1">
      <c r="B29" s="119" t="inlineStr">
        <is>
          <t>Exit EV</t>
        </is>
      </c>
      <c r="C29" s="120">
        <f>HYPERLINK("#'08_EXIT_AND_EQUITY_BRIDGE'!D23","08_EXIT_AND_EQUITY_BRIDGE!D23")</f>
        <v/>
      </c>
      <c r="D29" s="121" t="inlineStr">
        <is>
          <t>Enterprise value at exit, driven by exit EBITDA and exit multiple (or equity target method).</t>
        </is>
      </c>
      <c r="E29" s="121" t="inlineStr">
        <is>
          <t>Exit EBITDA (08!D15), Exit multiple (01_CONTROL!D18) or Exit equity target (01_CONTROL!D19), Exit method toggle (01_CONTROL!D17).</t>
        </is>
      </c>
      <c r="F29" s="121" t="inlineStr">
        <is>
          <t>Higher exit multiple or higher exit EBITDA increases EV and returns.</t>
        </is>
      </c>
      <c r="G29" s="121" t="inlineStr">
        <is>
          <t>Exit year mismatch; using wrong EBITDA definition; mixing exit multiple method with equity target without consistent bridge.</t>
        </is>
      </c>
      <c r="H29" s="121" t="inlineStr">
        <is>
          <t>Exit EV equals exit EBITDA times exit multiple in multiple mode; reconcile to sensitivity tables.</t>
        </is>
      </c>
      <c r="I29" s="121" t="inlineStr">
        <is>
          <t>Exit EV is the biggest valuation driver. We defend it with comp ranges and business quality, and stress a conservative downside.</t>
        </is>
      </c>
    </row>
    <row r="30" ht="60" customHeight="1">
      <c r="B30" s="119" t="inlineStr">
        <is>
          <t>Exit equity proceeds (total)</t>
        </is>
      </c>
      <c r="C30" s="120">
        <f>HYPERLINK("#'08_EXIT_AND_EQUITY_BRIDGE'!D27","08_EXIT_AND_EQUITY_BRIDGE!D27")</f>
        <v/>
      </c>
      <c r="D30" s="121" t="inlineStr">
        <is>
          <t>Equity value at exit after subtracting net debt and fees, plus cash.</t>
        </is>
      </c>
      <c r="E30" s="121" t="inlineStr">
        <is>
          <t>Exit EV (08!D23), debt at exit (06 row 67 indexed), cash at exit (07 row 41 indexed), exit fees % (01_CONTROL!D35).</t>
        </is>
      </c>
      <c r="F30" s="121" t="inlineStr">
        <is>
          <t>Lower net debt at exit and higher cash increase equity value, improving returns.</t>
        </is>
      </c>
      <c r="G30" s="121" t="inlineStr">
        <is>
          <t>Wrong sign on debt or cash; double counting fees; using gross debt instead of net.</t>
        </is>
      </c>
      <c r="H30" s="121" t="inlineStr">
        <is>
          <t>EV to equity bridge ties: Equity = EV - debt + cash - fees; sponsor + mgmt proceeds sum to total equity proceeds.</t>
        </is>
      </c>
      <c r="I30" s="121" t="inlineStr">
        <is>
          <t>We translate enterprise value into equity proceeds via the bridge. Deleveraging is what converts EV into equity value.</t>
        </is>
      </c>
    </row>
    <row r="31" ht="60" customHeight="1">
      <c r="B31" s="119" t="inlineStr">
        <is>
          <t>Net debt at exit</t>
        </is>
      </c>
      <c r="C31" s="120">
        <f>HYPERLINK("#'08_EXIT_AND_EQUITY_BRIDGE'!D24","08_EXIT_AND_EQUITY_BRIDGE!D24")</f>
        <v/>
      </c>
      <c r="D31" s="121" t="inlineStr">
        <is>
          <t>Debt outstanding at exit (gross debt in this bridge line), paired with cash line to get net debt.</t>
        </is>
      </c>
      <c r="E31" s="121" t="inlineStr">
        <is>
          <t>Total debt at exit from debt schedules and cash at exit from waterfall.</t>
        </is>
      </c>
      <c r="F31" s="121" t="inlineStr">
        <is>
          <t>More paydown reduces net debt and increases equity proceeds.</t>
        </is>
      </c>
      <c r="G31" s="121" t="inlineStr">
        <is>
          <t>Mixing cash and revolver; using ending cash balance incorrectly; timing mismatch.</t>
        </is>
      </c>
      <c r="H31" s="121" t="inlineStr">
        <is>
          <t>Check that debt at exit matches debt schedule; cash at exit matches waterfall ending cash.</t>
        </is>
      </c>
      <c r="I31" s="121" t="inlineStr">
        <is>
          <t>Net debt at exit is the levered value creation component. It is where cash generation translates into equity uplift.</t>
        </is>
      </c>
    </row>
    <row r="32" ht="60" customHeight="1">
      <c r="B32" s="119" t="inlineStr">
        <is>
          <t>Peak net leverage</t>
        </is>
      </c>
      <c r="C32" s="120">
        <f>HYPERLINK("#'00_DASHBOARD'!F14","00_DASHBOARD!F14")</f>
        <v/>
      </c>
      <c r="D32" s="121" t="inlineStr">
        <is>
          <t>Maximum net leverage over the forecast period.</t>
        </is>
      </c>
      <c r="E32" s="121" t="inlineStr">
        <is>
          <t>Net leverage series (10_COVENANTS!F19:L19) and cash path, debt path.</t>
        </is>
      </c>
      <c r="F32" s="121" t="inlineStr">
        <is>
          <t>Higher peak leverage increases risk and can constrain operational flexibility.</t>
        </is>
      </c>
      <c r="G32" s="121" t="inlineStr">
        <is>
          <t>Using gross instead of net; not aligning EBITDA definition; ignoring one off EBITDA adjustments.</t>
        </is>
      </c>
      <c r="H32" s="121" t="inlineStr">
        <is>
          <t>Peak should usually be near entry unless EBITDA drops or cash burn; validate with debt and EBITDA path.</t>
        </is>
      </c>
      <c r="I32" s="121" t="inlineStr">
        <is>
          <t>Peak leverage is the stress point. We focus on whether the company can operate through that peak without covenant or liquidity issues.</t>
        </is>
      </c>
    </row>
    <row r="33" ht="60" customHeight="1">
      <c r="B33" s="119" t="inlineStr">
        <is>
          <t>Minimum liquidity</t>
        </is>
      </c>
      <c r="C33" s="120">
        <f>HYPERLINK("#'00_DASHBOARD'!F15","00_DASHBOARD!F15")</f>
        <v/>
      </c>
      <c r="D33" s="121" t="inlineStr">
        <is>
          <t>Lowest liquidity (cash plus undrawn revolver) during the hold period.</t>
        </is>
      </c>
      <c r="E33" s="121" t="inlineStr">
        <is>
          <t>Liquidity series (10_COVENANTS!F23:L23) driven by cash and undrawn revolver.</t>
        </is>
      </c>
      <c r="F33" s="121" t="inlineStr">
        <is>
          <t>Lower liquidity means higher refinancing and operating risk.</t>
        </is>
      </c>
      <c r="G33" s="121" t="inlineStr">
        <is>
          <t>Not including undrawn revolver; allowing negative cash; ignoring seasonal working capital needs.</t>
        </is>
      </c>
      <c r="H33" s="121" t="inlineStr">
        <is>
          <t>Min liquidity should be positive in base case; revolver not exceeded; no negative cash unless allowed.</t>
        </is>
      </c>
      <c r="I33" s="121" t="inlineStr">
        <is>
          <t>Liquidity is our first line of defense. We monitor the minimum point and make sure buffers are credible.</t>
        </is>
      </c>
    </row>
    <row r="34" ht="60" customHeight="1">
      <c r="B34" s="119" t="inlineStr">
        <is>
          <t>Interest coverage</t>
        </is>
      </c>
      <c r="C34" s="120">
        <f>HYPERLINK("#'10_COVENANTS_AND_CREDIT_METRICS'!F21","10_COVENANTS_AND_CREDIT_METRICS!F21")</f>
        <v/>
      </c>
      <c r="D34" s="121" t="inlineStr">
        <is>
          <t>EBITDA divided by cash interest, a proxy for debt service capacity.</t>
        </is>
      </c>
      <c r="E34" s="121" t="inlineStr">
        <is>
          <t>EBITDA (10_COVENANTS!F14) and cash interest (10_COVENANTS!F20).</t>
        </is>
      </c>
      <c r="F34" s="121" t="inlineStr">
        <is>
          <t>Higher coverage means more headroom to service debt, reduces default risk.</t>
        </is>
      </c>
      <c r="G34" s="121" t="inlineStr">
        <is>
          <t>Using EBIT instead of EBITDA; including PIK as cash interest; wrong interest sign.</t>
        </is>
      </c>
      <c r="H34" s="121" t="inlineStr">
        <is>
          <t>Coverage should fall when rates rise; cross check against cash after interest line.</t>
        </is>
      </c>
      <c r="I34" s="121" t="inlineStr">
        <is>
          <t>Coverage is the quickest test of rate sensitivity. If coverage gets tight, we have limited flexibility.</t>
        </is>
      </c>
    </row>
    <row r="35" ht="60" customHeight="1">
      <c r="B35" s="119" t="inlineStr">
        <is>
          <t>Covenant headroom (net leverage)</t>
        </is>
      </c>
      <c r="C35" s="120">
        <f>HYPERLINK("#'10_COVENANTS_AND_CREDIT_METRICS'!F27","10_COVENANTS_AND_CREDIT_METRICS!F27")</f>
        <v/>
      </c>
      <c r="D35" s="121" t="inlineStr">
        <is>
          <t>Covenant maximum net leverage minus actual net leverage. Negative means breach.</t>
        </is>
      </c>
      <c r="E35" s="121" t="inlineStr">
        <is>
          <t>Actual net leverage and covenant max input (01_CONTROL named Coven_NetLev_Max).</t>
        </is>
      </c>
      <c r="F35" s="121" t="inlineStr">
        <is>
          <t>More headroom means safer. Lower EBITDA or higher debt reduces headroom.</t>
        </is>
      </c>
      <c r="G35" s="121" t="inlineStr">
        <is>
          <t>Mismatch covenant definition; using gross leverage; ignoring add backs.</t>
        </is>
      </c>
      <c r="H35" s="121" t="inlineStr">
        <is>
          <t>Min headroom on dashboard should match series min; breach corresponds to red flag in checks.</t>
        </is>
      </c>
      <c r="I35" s="121" t="inlineStr">
        <is>
          <t>We focus on minimum headroom, not average. That tells us how close we get to default under base and downside.</t>
        </is>
      </c>
    </row>
    <row r="36" ht="60" customHeight="1">
      <c r="B36" s="119" t="inlineStr">
        <is>
          <t>Cash bridge check</t>
        </is>
      </c>
      <c r="C36" s="120">
        <f>HYPERLINK("#'07_CASH_FLOW_WATERFALL'!F42","07_CASH_FLOW_WATERFALL!F42")</f>
        <v/>
      </c>
      <c r="D36" s="121" t="inlineStr">
        <is>
          <t>Internal control ensuring cash is fully explained by sources and uses of cash in the waterfall.</t>
        </is>
      </c>
      <c r="E36" s="121" t="inlineStr">
        <is>
          <t>All waterfall components including revolver draw/repay and sweep allocations.</t>
        </is>
      </c>
      <c r="F36" s="121" t="inlineStr">
        <is>
          <t>Should be zero. Non zero indicates a plug or logic break.</t>
        </is>
      </c>
      <c r="G36" s="121" t="inlineStr">
        <is>
          <t>Missing a cash item; wrong sign; circular link; sweep not tying.</t>
        </is>
      </c>
      <c r="H36" s="121" t="inlineStr">
        <is>
          <t>Must be zero across all years; 90_CHECKS should flag if not.</t>
        </is>
      </c>
      <c r="I36" s="121" t="inlineStr">
        <is>
          <t>We trust outputs only if controls pass. This bridge ensures there is no unexplained cash plug.</t>
        </is>
      </c>
    </row>
    <row r="37" ht="60" customHeight="1">
      <c r="B37" s="119" t="inlineStr">
        <is>
          <t>Sources = Uses check</t>
        </is>
      </c>
      <c r="C37" s="120">
        <f>HYPERLINK("#'90_CHECKS'!D7","90_CHECKS!D7")</f>
        <v/>
      </c>
      <c r="D37" s="121" t="inlineStr">
        <is>
          <t>Control that total sources equal total uses at close (must be zero).</t>
        </is>
      </c>
      <c r="E37" s="121" t="inlineStr">
        <is>
          <t>05_SOURCES_AND_USES totals and tie out line (05!D44).</t>
        </is>
      </c>
      <c r="F37" s="121" t="inlineStr">
        <is>
          <t>Must be zero always. Any non zero means transaction funding is inconsistent.</t>
        </is>
      </c>
      <c r="G37" s="121" t="inlineStr">
        <is>
          <t>Forgetting fees; sign errors; missing management rollover; mismatched debt opening balances.</t>
        </is>
      </c>
      <c r="H37" s="121" t="inlineStr">
        <is>
          <t>Zero tolerance; if broken, do not rely on returns outputs.</t>
        </is>
      </c>
      <c r="I37" s="121" t="inlineStr">
        <is>
          <t>We only discuss returns once sources and uses ties exactly, otherwise the equity check is wrong.</t>
        </is>
      </c>
    </row>
    <row r="38" ht="60" customHeight="1">
      <c r="B38" s="119" t="inlineStr">
        <is>
          <t>Value creation bridge (EV drivers)</t>
        </is>
      </c>
      <c r="C38" s="120">
        <f>HYPERLINK("#'86_LBO_SPECIAL_MODULE'!B10","86_LBO_SPECIAL_MODULE!B10")</f>
        <v/>
      </c>
      <c r="D38" s="121" t="inlineStr">
        <is>
          <t>Decomposes equity value change into EBITDA growth, multiple change, and deleveraging (and dividends if any).</t>
        </is>
      </c>
      <c r="E38" s="121" t="inlineStr">
        <is>
          <t>Entry EV (05!D16), entry multiple (01_CONTROL!D16), exit EBITDA (08!D15), exit multiple (01_CONTROL!D18), net debt entry and exit.</t>
        </is>
      </c>
      <c r="F38" s="121" t="inlineStr">
        <is>
          <t>In software LBOs, value creation is typically growth plus deleveraging; multiple expansion is upside but not core thesis.</t>
        </is>
      </c>
      <c r="G38" s="121" t="inlineStr">
        <is>
          <t>Attributing debt paydown twice; mixing EV and equity; using inconsistent EBITDA definition.</t>
        </is>
      </c>
      <c r="H38" s="121" t="inlineStr">
        <is>
          <t>Sum of components reconciles to change in EV and change in equity; deleveraging component equals change in net debt.</t>
        </is>
      </c>
      <c r="I38" s="121" t="inlineStr">
        <is>
          <t>Returns come from three levers: grow EBITDA, exit at a supportive multiple, and pay down debt through cash flow. We underwrite the first and third as controllable.</t>
        </is>
      </c>
    </row>
    <row r="39" ht="60" customHeight="1">
      <c r="B39" s="119" t="inlineStr">
        <is>
          <t>Exit EBITDA</t>
        </is>
      </c>
      <c r="C39" s="120">
        <f>HYPERLINK("#'08_EXIT_AND_EQUITY_BRIDGE'!D15","08_EXIT_AND_EQUITY_BRIDGE!D15")</f>
        <v/>
      </c>
      <c r="D39" s="121" t="inlineStr">
        <is>
          <t>Exit-year EBITDA used for exit valuation.</t>
        </is>
      </c>
      <c r="E39" s="121" t="inlineStr">
        <is>
          <t>Drivers: operating forecast (03 drivers) and margin assumptions.</t>
        </is>
      </c>
      <c r="F39" s="121" t="inlineStr">
        <is>
          <t>Higher growth/margin raises exit EBITDA.</t>
        </is>
      </c>
      <c r="G39" s="121" t="inlineStr">
        <is>
          <t>Pitfalls: wrong exit year, one-offs.</t>
        </is>
      </c>
      <c r="H39" s="121" t="inlineStr">
        <is>
          <t>Sanity: tie to operating model exit year.</t>
        </is>
      </c>
      <c r="I39" s="121" t="inlineStr">
        <is>
          <t>Exit EBITDA is the performance anchor for exit value, we stress it under downside.</t>
        </is>
      </c>
    </row>
    <row r="40" ht="60" customHeight="1">
      <c r="B40" s="119" t="inlineStr">
        <is>
          <t>Exit multiple</t>
        </is>
      </c>
      <c r="C40" s="120">
        <f>HYPERLINK("#'00_DASHBOARD'!F11","00_DASHBOARD!F11")</f>
        <v/>
      </c>
      <c r="D40" s="121" t="inlineStr">
        <is>
          <t>Exit EV multiple applied to exit EBITDA (or overridden by equity target method).</t>
        </is>
      </c>
      <c r="E40" s="121" t="inlineStr">
        <is>
          <t>Drivers: 01_CONTROL!D18 and Exit_Method toggle.</t>
        </is>
      </c>
      <c r="F40" s="121" t="inlineStr">
        <is>
          <t>Higher exit multiple increases EV.</t>
        </is>
      </c>
      <c r="G40" s="121" t="inlineStr">
        <is>
          <t>Pitfalls: aggressive exit; mismatch with comps.</t>
        </is>
      </c>
      <c r="H40" s="121" t="inlineStr">
        <is>
          <t>Sanity: compare to entry multiple and peer range.</t>
        </is>
      </c>
      <c r="I40" s="121" t="inlineStr">
        <is>
          <t>We use a defensible multiple range and show sensitivity.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pane xSplit="4" ySplit="9" topLeftCell="E10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28" customWidth="1" min="3" max="3"/>
    <col width="18" customWidth="1" min="4" max="4"/>
    <col width="42" customWidth="1" min="5" max="5"/>
    <col width="36" customWidth="1" min="6" max="6"/>
    <col width="24" customWidth="1" min="7" max="7"/>
    <col width="24" customWidth="1" min="8" max="8"/>
    <col width="26" customWidth="1" min="9" max="9"/>
    <col width="20" customWidth="1" min="10" max="10"/>
    <col width="20" customWidth="1" min="11" max="11"/>
    <col width="20" customWidth="1" min="12" max="12"/>
  </cols>
  <sheetData>
    <row r="1" ht="15" customHeight="1"/>
    <row r="2" ht="15" customHeight="1">
      <c r="B2" s="115" t="inlineStr">
        <is>
          <t>CHECKS:</t>
        </is>
      </c>
      <c r="C2" s="116">
        <f>HYPERLINK("#'90_CHECKS'!B6",'90_CHECKS'!$C$22)</f>
        <v/>
      </c>
      <c r="D2" s="116">
        <f>HYPERLINK("#'80_LBO_LEARN_MAP'!B8","LEARN MAP")</f>
        <v/>
      </c>
      <c r="E2" s="116">
        <f>HYPERLINK("#'00_DASHBOARD'!B3","DASHBOARD")</f>
        <v/>
      </c>
    </row>
    <row r="3" ht="15" customHeight="1"/>
    <row r="4"/>
    <row r="5"/>
    <row r="6" ht="18" customHeight="1">
      <c r="B6" s="104" t="inlineStr">
        <is>
          <t>81_LBO_LEARN_FORMULAS | Formula walkthrough (35 critical formulas)</t>
        </is>
      </c>
      <c r="C6" s="104" t="n"/>
      <c r="D6" s="104" t="n"/>
      <c r="E6" s="104" t="n"/>
      <c r="F6" s="104" t="n"/>
      <c r="G6" s="104" t="n"/>
      <c r="H6" s="104" t="n"/>
      <c r="I6" s="104" t="n"/>
      <c r="J6" s="104" t="n"/>
      <c r="K6" s="104" t="n"/>
      <c r="L6" s="104" t="n"/>
    </row>
    <row r="7"/>
    <row r="8" ht="30" customHeight="1">
      <c r="B8" s="117" t="inlineStr">
        <is>
          <t>Purpose: This is the 'why it works' layer. Each formula is shown as text (robust across Excel versions) and links back to the model cell.</t>
        </is>
      </c>
    </row>
    <row r="9"/>
    <row r="10" ht="18" customHeight="1">
      <c r="B10" s="118" t="inlineStr">
        <is>
          <t>#</t>
        </is>
      </c>
      <c r="C10" s="118" t="inlineStr">
        <is>
          <t>Formula topic</t>
        </is>
      </c>
      <c r="D10" s="118" t="inlineStr">
        <is>
          <t>Model cell (click)</t>
        </is>
      </c>
      <c r="E10" s="162" t="inlineStr">
        <is>
          <t>Formula (text)</t>
        </is>
      </c>
      <c r="F10" s="118" t="inlineStr">
        <is>
          <t>Plain-language explanation</t>
        </is>
      </c>
      <c r="G10" s="118" t="inlineStr">
        <is>
          <t>Why it matters</t>
        </is>
      </c>
      <c r="H10" s="118" t="inlineStr">
        <is>
          <t>Typical mistake</t>
        </is>
      </c>
      <c r="I10" s="118" t="inlineStr">
        <is>
          <t>Mini example</t>
        </is>
      </c>
    </row>
    <row r="11" ht="70" customHeight="1">
      <c r="B11" s="122" t="n">
        <v>1</v>
      </c>
      <c r="C11" s="119" t="inlineStr">
        <is>
          <t>Entry EV (LTM EBITDA * Entry multiple)</t>
        </is>
      </c>
      <c r="D11" s="123">
        <f>HYPERLINK("#'05_SOURCES_AND_USES'!D16","05_SOURCES_AND_USES!D16")</f>
        <v/>
      </c>
      <c r="E11" s="163" t="inlineStr">
        <is>
          <t>'=D14*D15</t>
        </is>
      </c>
      <c r="F11" s="121" t="inlineStr">
        <is>
          <t>Calculates enterprise value paid at entry from LTM EBITDA and entry multiple.</t>
        </is>
      </c>
      <c r="G11" s="121" t="inlineStr">
        <is>
          <t>Anchors valuation and the equity check. Every return metric depends on this starting point.</t>
        </is>
      </c>
      <c r="H11" s="121" t="inlineStr">
        <is>
          <t>Using wrong EBITDA (run-rate vs LTM) or mixing units (DKK vs DKKm).</t>
        </is>
      </c>
      <c r="I11" s="121" t="inlineStr">
        <is>
          <t>If LTM EBITDA=300 and multiple=12.0x, EV=3,600 DKKm.</t>
        </is>
      </c>
    </row>
    <row r="12" ht="70" customHeight="1">
      <c r="B12" s="122" t="n">
        <v>2</v>
      </c>
      <c r="C12" s="119" t="inlineStr">
        <is>
          <t>Total Uses (sum of all uses)</t>
        </is>
      </c>
      <c r="D12" s="123">
        <f>HYPERLINK("#'05_SOURCES_AND_USES'!D28","05_SOURCES_AND_USES!D28")</f>
        <v/>
      </c>
      <c r="E12" s="163" t="inlineStr">
        <is>
          <t>'=SUM(D22:D26)</t>
        </is>
      </c>
      <c r="F12" s="121" t="inlineStr">
        <is>
          <t>Sums equity purchase and transaction costs to get total cash requirement at close.</t>
        </is>
      </c>
      <c r="G12" s="121" t="inlineStr">
        <is>
          <t>Must tie exactly to sources. If wrong, equity check is wrong and returns are wrong.</t>
        </is>
      </c>
      <c r="H12" s="121" t="inlineStr">
        <is>
          <t>Missing a fee line or wrong sign on WC adjustment.</t>
        </is>
      </c>
      <c r="I12" s="121" t="inlineStr">
        <is>
          <t>If Uses lines are 3,600 + 50 + 20, total uses=3,670.</t>
        </is>
      </c>
    </row>
    <row r="13" ht="70" customHeight="1">
      <c r="B13" s="122" t="n">
        <v>3</v>
      </c>
      <c r="C13" s="119" t="inlineStr">
        <is>
          <t>Total Debt (sum of debt sources)</t>
        </is>
      </c>
      <c r="D13" s="123">
        <f>HYPERLINK("#'05_SOURCES_AND_USES'!D37","05_SOURCES_AND_USES!D37")</f>
        <v/>
      </c>
      <c r="E13" s="163" t="inlineStr">
        <is>
          <t>'=SUM(D33:D36)</t>
        </is>
      </c>
      <c r="F13" s="121" t="inlineStr">
        <is>
          <t>Adds up all new debt tranches raised at close.</t>
        </is>
      </c>
      <c r="G13" s="121" t="inlineStr">
        <is>
          <t>Determines leverage, interest burden, and equity check (since equity plugs the gap).</t>
        </is>
      </c>
      <c r="H13" s="121" t="inlineStr">
        <is>
          <t>Forgetting a tranche or including revolver availability as drawn debt.</t>
        </is>
      </c>
      <c r="I13" s="121" t="inlineStr">
        <is>
          <t>If TLA=600 and TLB=750, total debt=1,350.</t>
        </is>
      </c>
    </row>
    <row r="14" ht="70" customHeight="1">
      <c r="B14" s="122" t="n">
        <v>4</v>
      </c>
      <c r="C14" s="119" t="inlineStr">
        <is>
          <t>Total Equity (uses minus debt)</t>
        </is>
      </c>
      <c r="D14" s="123">
        <f>HYPERLINK("#'05_SOURCES_AND_USES'!D40","05_SOURCES_AND_USES!D40")</f>
        <v/>
      </c>
      <c r="E14" s="163" t="inlineStr">
        <is>
          <t>'=D28-D37</t>
        </is>
      </c>
      <c r="F14" s="121" t="inlineStr">
        <is>
          <t>Calculates total equity needed after debt sources.</t>
        </is>
      </c>
      <c r="G14" s="121" t="inlineStr">
        <is>
          <t>This is the equity check the deal requires, and is the denominator for MOIC.</t>
        </is>
      </c>
      <c r="H14" s="121" t="inlineStr">
        <is>
          <t>Referencing the wrong debt total or leaving equity as a hardcoded plug.</t>
        </is>
      </c>
      <c r="I14" s="121" t="inlineStr">
        <is>
          <t>If uses=3,670 and debt=1,350, equity=2,320.</t>
        </is>
      </c>
    </row>
    <row r="15" ht="70" customHeight="1">
      <c r="B15" s="122" t="n">
        <v>5</v>
      </c>
      <c r="C15" s="119" t="inlineStr">
        <is>
          <t>Sponsor equity (total equity minus mgmt rollover)</t>
        </is>
      </c>
      <c r="D15" s="123">
        <f>HYPERLINK("#'05_SOURCES_AND_USES'!D38","05_SOURCES_AND_USES!D38")</f>
        <v/>
      </c>
      <c r="E15" s="163" t="inlineStr">
        <is>
          <t>'=D40-D39</t>
        </is>
      </c>
      <c r="F15" s="121" t="inlineStr">
        <is>
          <t>Splits total equity into sponsor and management portions using the rollover percent.</t>
        </is>
      </c>
      <c r="G15" s="121" t="inlineStr">
        <is>
          <t>Returns to sponsor depend on sponsor equity and sponsor proceeds at exit.</t>
        </is>
      </c>
      <c r="H15" s="121" t="inlineStr">
        <is>
          <t>Mgmt rollover applied to EV instead of equity, or % entered as whole number (10 vs 10%).</t>
        </is>
      </c>
      <c r="I15" s="121" t="inlineStr">
        <is>
          <t>If equity=2,320 and mgmt=10%, sponsor equity=2,088.</t>
        </is>
      </c>
    </row>
    <row r="16" ht="70" customHeight="1">
      <c r="B16" s="122" t="n">
        <v>6</v>
      </c>
      <c r="C16" s="119" t="inlineStr">
        <is>
          <t>Financing fees (% of new debt)</t>
        </is>
      </c>
      <c r="D16" s="123">
        <f>HYPERLINK("#'05_SOURCES_AND_USES'!D25","05_SOURCES_AND_USES!D25")</f>
        <v/>
      </c>
      <c r="E16" s="163" t="inlineStr">
        <is>
          <t>'=D37*'01_CONTROL'!$G$57</t>
        </is>
      </c>
      <c r="F16" s="121" t="inlineStr">
        <is>
          <t>Computes financing fees as a % of new debt raised.</t>
        </is>
      </c>
      <c r="G16" s="121" t="inlineStr">
        <is>
          <t>Fees reduce equity returns and must be included for realistic underwriting.</t>
        </is>
      </c>
      <c r="H16" s="121" t="inlineStr">
        <is>
          <t>Applying fee to EV instead of debt, or double counting at exit.</t>
        </is>
      </c>
      <c r="I16" s="121" t="inlineStr">
        <is>
          <t>If debt=1,350 and fee=1.0%, fee=13.5.</t>
        </is>
      </c>
    </row>
    <row r="17" ht="70" customHeight="1">
      <c r="B17" s="122" t="n">
        <v>7</v>
      </c>
      <c r="C17" s="119" t="inlineStr">
        <is>
          <t>Sources-Uses check (must be 0)</t>
        </is>
      </c>
      <c r="D17" s="123">
        <f>HYPERLINK("#'05_SOURCES_AND_USES'!D44","05_SOURCES_AND_USES!D44")</f>
        <v/>
      </c>
      <c r="E17" s="163" t="inlineStr">
        <is>
          <t>'=D37+D40-D28</t>
        </is>
      </c>
      <c r="F17" s="121" t="inlineStr">
        <is>
          <t>Calculates Sources minus Uses to ensure the close funding ties out.</t>
        </is>
      </c>
      <c r="G17" s="121" t="inlineStr">
        <is>
          <t>This is a hard gate for model credibility before discussing IRR/MOIC.</t>
        </is>
      </c>
      <c r="H17" s="121" t="inlineStr">
        <is>
          <t>Leaving the check blank or pointing to wrong totals.</t>
        </is>
      </c>
      <c r="I17" s="121" t="inlineStr">
        <is>
          <t>If sources=3,670 and uses=3,670, check=0.</t>
        </is>
      </c>
    </row>
    <row r="18" ht="70" customHeight="1">
      <c r="B18" s="122" t="n">
        <v>8</v>
      </c>
      <c r="C18" s="119" t="inlineStr">
        <is>
          <t>Revenue forecast (prior year * (1+growth))</t>
        </is>
      </c>
      <c r="D18" s="123">
        <f>HYPERLINK("#'03_DRIVERS_AND_FORECAST'!F12","03_DRIVERS_AND_FORECAST!F12")</f>
        <v/>
      </c>
      <c r="E18" s="163" t="inlineStr">
        <is>
          <t>'=E12*(1+F13)</t>
        </is>
      </c>
      <c r="F18" s="121" t="inlineStr">
        <is>
          <t>Projects revenue from prior year revenue and active growth rate.</t>
        </is>
      </c>
      <c r="G18" s="121" t="inlineStr">
        <is>
          <t>Revenue drives EBITDA, cash flow, and covenant metrics in a software LBO.</t>
        </is>
      </c>
      <c r="H18" s="121" t="inlineStr">
        <is>
          <t>Growth applied to wrong base year or mixing % as whole numbers.</t>
        </is>
      </c>
      <c r="I18" s="121" t="inlineStr">
        <is>
          <t>If revenue=1,200 and growth=6%, next year=1,272.</t>
        </is>
      </c>
    </row>
    <row r="19" ht="70" customHeight="1">
      <c r="B19" s="122" t="n">
        <v>9</v>
      </c>
      <c r="C19" s="119" t="inlineStr">
        <is>
          <t>EBITDA margin ramp (active)</t>
        </is>
      </c>
      <c r="D19" s="123">
        <f>HYPERLINK("#'03_DRIVERS_AND_FORECAST'!F15","03_DRIVERS_AND_FORECAST!F15")</f>
        <v/>
      </c>
      <c r="E19" s="163" t="inlineStr">
        <is>
          <t>'='01_CONTROL'!$D$31 + MIN(1,F9/'01_CONTROL'!$D$27)*('01_CONTROL'!$G$40-'01_CONTROL'!$D$31)</t>
        </is>
      </c>
      <c r="F19" s="121" t="inlineStr">
        <is>
          <t>Builds an EBITDA margin path that ramps from current margin to target margin over time.</t>
        </is>
      </c>
      <c r="G19" s="121" t="inlineStr">
        <is>
          <t>Margin is a key lever on FCF conversion and deleveraging speed.</t>
        </is>
      </c>
      <c r="H19" s="121" t="inlineStr">
        <is>
          <t>Ramping the wrong direction or using % points vs %.</t>
        </is>
      </c>
      <c r="I19" s="121" t="inlineStr">
        <is>
          <t>If start margin=25% and target=27%, ramp adds 2% pts over ramp years.</t>
        </is>
      </c>
    </row>
    <row r="20" ht="70" customHeight="1">
      <c r="B20" s="122" t="n">
        <v>10</v>
      </c>
      <c r="C20" s="119" t="inlineStr">
        <is>
          <t>EBITDA = Revenue * EBITDA margin</t>
        </is>
      </c>
      <c r="D20" s="123">
        <f>HYPERLINK("#'03_DRIVERS_AND_FORECAST'!F16","03_DRIVERS_AND_FORECAST!F16")</f>
        <v/>
      </c>
      <c r="E20" s="163" t="inlineStr">
        <is>
          <t>'=F12*F15</t>
        </is>
      </c>
      <c r="F20" s="121" t="inlineStr">
        <is>
          <t>Calculates EBITDA from revenue and EBITDA margin.</t>
        </is>
      </c>
      <c r="G20" s="121" t="inlineStr">
        <is>
          <t>EBITDA is the core driver for valuation, leverage, and covenants.</t>
        </is>
      </c>
      <c r="H20" s="121" t="inlineStr">
        <is>
          <t>Using gross margin instead of EBITDA margin; hardcoding EBITDA.</t>
        </is>
      </c>
      <c r="I20" s="121" t="inlineStr">
        <is>
          <t>If revenue=1,272 and margin=27%, EBITDA=343.4.</t>
        </is>
      </c>
    </row>
    <row r="21" ht="70" customHeight="1">
      <c r="B21" s="122" t="n">
        <v>11</v>
      </c>
      <c r="C21" s="119" t="inlineStr">
        <is>
          <t>Unlevered FCF (NOPAT + D&amp;A - capex - ΔNWC)</t>
        </is>
      </c>
      <c r="D21" s="123">
        <f>HYPERLINK("#'04_OPERATING_MODEL'!F37","04_OPERATING_MODEL!F37")</f>
        <v/>
      </c>
      <c r="E21" s="163" t="inlineStr">
        <is>
          <t>'=F20+F17+F36-F32</t>
        </is>
      </c>
      <c r="F21" s="121" t="inlineStr">
        <is>
          <t>Computes free cash flow available before financing by combining NOPAT, non-cash D&amp;A, capex, and working capital.</t>
        </is>
      </c>
      <c r="G21" s="121" t="inlineStr">
        <is>
          <t>This is what pays down debt and creates downside protection.</t>
        </is>
      </c>
      <c r="H21" s="121" t="inlineStr">
        <is>
          <t>Wrong sign on ΔNWC or capex; taxing EBITDA instead of EBIT/NOPAT.</t>
        </is>
      </c>
      <c r="I21" s="121" t="inlineStr">
        <is>
          <t>NOPAT 150 + D&amp;A 20 - capex 30 - ΔNWC 10 = 130.</t>
        </is>
      </c>
    </row>
    <row r="22" ht="70" customHeight="1">
      <c r="B22" s="122" t="n">
        <v>12</v>
      </c>
      <c r="C22" s="119" t="inlineStr">
        <is>
          <t>Cash taxes (levered, cash)</t>
        </is>
      </c>
      <c r="D22" s="123">
        <f>HYPERLINK("#'07_CASH_FLOW_WATERFALL'!F15","07_CASH_FLOW_WATERFALL!F15")</f>
        <v/>
      </c>
      <c r="E22" s="163" t="inlineStr">
        <is>
          <t>'=-MAX(0,'04_OPERATING_MODEL'!F18-F28)*'01_CONTROL'!$D$26</t>
        </is>
      </c>
      <c r="F22" s="121" t="inlineStr">
        <is>
          <t>Calculates cash taxes paid in the waterfall based on taxable income proxy and tax rate.</t>
        </is>
      </c>
      <c r="G22" s="121" t="inlineStr">
        <is>
          <t>Taxes reduce cash available for debt service and impact deleveraging.</t>
        </is>
      </c>
      <c r="H22" s="121" t="inlineStr">
        <is>
          <t>Using EBIT vs EBT incorrectly; forgetting to cap at zero when losses.</t>
        </is>
      </c>
      <c r="I22" s="121" t="inlineStr">
        <is>
          <t>If taxable base=200 and tax=22%, cash tax=44.</t>
        </is>
      </c>
    </row>
    <row r="23" ht="70" customHeight="1">
      <c r="B23" s="122" t="n">
        <v>13</v>
      </c>
      <c r="C23" s="119" t="inlineStr">
        <is>
          <t>Cash before debt service</t>
        </is>
      </c>
      <c r="D23" s="123">
        <f>HYPERLINK("#'07_CASH_FLOW_WATERFALL'!F19","07_CASH_FLOW_WATERFALL!F19")</f>
        <v/>
      </c>
      <c r="E23" s="163" t="inlineStr">
        <is>
          <t>'=SUM(F14:F18)</t>
        </is>
      </c>
      <c r="F23" s="121" t="inlineStr">
        <is>
          <t>Sums EBITDA and cash conversion items to get cash generated before interest and debt repayment.</t>
        </is>
      </c>
      <c r="G23" s="121" t="inlineStr">
        <is>
          <t>This line is the cash engine that funds interest, amortization, and sweep.</t>
        </is>
      </c>
      <c r="H23" s="121" t="inlineStr">
        <is>
          <t>Double counting capex or ΔNWC; wrong sign convention.</t>
        </is>
      </c>
      <c r="I23" s="121" t="inlineStr">
        <is>
          <t>EBITDA 340 - tax 40 - ΔNWC 10 - capex 30 = 260.</t>
        </is>
      </c>
    </row>
    <row r="24" ht="70" customHeight="1">
      <c r="B24" s="122" t="n">
        <v>14</v>
      </c>
      <c r="C24" s="119" t="inlineStr">
        <is>
          <t>Total cash interest (sum across tranches)</t>
        </is>
      </c>
      <c r="D24" s="123">
        <f>HYPERLINK("#'07_CASH_FLOW_WATERFALL'!F20","07_CASH_FLOW_WATERFALL!F20")</f>
        <v/>
      </c>
      <c r="E24" s="163" t="inlineStr">
        <is>
          <t>'=-('06_DEBT_SCHEDULES'!F27+'06_DEBT_SCHEDULES'!F36+'06_DEBT_SCHEDULES'!F45+'06_DEBT_SCHEDULES'!F54+'06_DEBT_SCHEDULES'!F63)</t>
        </is>
      </c>
      <c r="F24" s="121" t="inlineStr">
        <is>
          <t>Aggregates cash interest from all debt tranches into one waterfall line.</t>
        </is>
      </c>
      <c r="G24" s="121" t="inlineStr">
        <is>
          <t>Interest is often the largest financing cash outflow and a key sensitivity.</t>
        </is>
      </c>
      <c r="H24" s="121" t="inlineStr">
        <is>
          <t>Missing a tranche; treating PIK as cash interest; sign errors.</t>
        </is>
      </c>
      <c r="I24" s="121" t="inlineStr">
        <is>
          <t>If TLA interest 30 and TLB interest 45, total=75.</t>
        </is>
      </c>
    </row>
    <row r="25" ht="70" customHeight="1">
      <c r="B25" s="122" t="n">
        <v>15</v>
      </c>
      <c r="C25" s="119" t="inlineStr">
        <is>
          <t>Cash after interest</t>
        </is>
      </c>
      <c r="D25" s="123">
        <f>HYPERLINK("#'07_CASH_FLOW_WATERFALL'!F21","07_CASH_FLOW_WATERFALL!F21")</f>
        <v/>
      </c>
      <c r="E25" s="163" t="inlineStr">
        <is>
          <t>'=F19+F20</t>
        </is>
      </c>
      <c r="F25" s="121" t="inlineStr">
        <is>
          <t>Adds the interest line to cash before debt service to get cash remaining after interest.</t>
        </is>
      </c>
      <c r="G25" s="121" t="inlineStr">
        <is>
          <t>Determines how much cash is left to amortize debt and sweep.</t>
        </is>
      </c>
      <c r="H25" s="121" t="inlineStr">
        <is>
          <t>Interest sign wrong (should be negative in waterfall).</t>
        </is>
      </c>
      <c r="I25" s="121" t="inlineStr">
        <is>
          <t>260 cash before + (-75) interest = 185.</t>
        </is>
      </c>
    </row>
    <row r="26" ht="70" customHeight="1">
      <c r="B26" s="122" t="n">
        <v>16</v>
      </c>
      <c r="C26" s="119" t="inlineStr">
        <is>
          <t>Mandatory amort (total)</t>
        </is>
      </c>
      <c r="D26" s="123">
        <f>HYPERLINK("#'07_CASH_FLOW_WATERFALL'!F22","07_CASH_FLOW_WATERFALL!F22")</f>
        <v/>
      </c>
      <c r="E26" s="163" t="inlineStr">
        <is>
          <t>'=-('06_DEBT_SCHEDULES'!F32+'06_DEBT_SCHEDULES'!F41+'06_DEBT_SCHEDULES'!F50+'06_DEBT_SCHEDULES'!F59)</t>
        </is>
      </c>
      <c r="F26" s="121" t="inlineStr">
        <is>
          <t>Aggregates mandatory amortization across tranches.</t>
        </is>
      </c>
      <c r="G26" s="121" t="inlineStr">
        <is>
          <t>Mandatory paydown is contractual and affects deleveraging and liquidity.</t>
        </is>
      </c>
      <c r="H26" s="121" t="inlineStr">
        <is>
          <t>Forgetting a tranche or using % of revenue instead of % of debt.</t>
        </is>
      </c>
      <c r="I26" s="121" t="inlineStr">
        <is>
          <t>If TLA 20 and TLB 10, mandatory total=30.</t>
        </is>
      </c>
    </row>
    <row r="27" ht="70" customHeight="1">
      <c r="B27" s="122" t="n">
        <v>17</v>
      </c>
      <c r="C27" s="119" t="inlineStr">
        <is>
          <t>Sweep pool = MAX(0, cash after mandatory) * sweep%</t>
        </is>
      </c>
      <c r="D27" s="123">
        <f>HYPERLINK("#'07_CASH_FLOW_WATERFALL'!F25","07_CASH_FLOW_WATERFALL!F25")</f>
        <v/>
      </c>
      <c r="E27" s="163" t="inlineStr">
        <is>
          <t>'=MAX(0,F23)*F24</t>
        </is>
      </c>
      <c r="F27" s="121" t="inlineStr">
        <is>
          <t>Calculates optional sweep cash based on surplus cash and sweep percentage.</t>
        </is>
      </c>
      <c r="G27" s="121" t="inlineStr">
        <is>
          <t>Optional sweep is the controllable lever that accelerates deleveraging.</t>
        </is>
      </c>
      <c r="H27" s="121" t="inlineStr">
        <is>
          <t>Sweeping when cash is negative; ignoring liquidity target.</t>
        </is>
      </c>
      <c r="I27" s="121" t="inlineStr">
        <is>
          <t>If surplus=155 and sweep%=50%, sweep pool=77.5.</t>
        </is>
      </c>
    </row>
    <row r="28" ht="70" customHeight="1">
      <c r="B28" s="122" t="n">
        <v>18</v>
      </c>
      <c r="C28" s="119" t="inlineStr">
        <is>
          <t>Revolver draw (if deficit)</t>
        </is>
      </c>
      <c r="D28" s="123">
        <f>HYPERLINK("#'07_CASH_FLOW_WATERFALL'!F30","07_CASH_FLOW_WATERFALL!F30")</f>
        <v/>
      </c>
      <c r="E28" s="163" t="inlineStr">
        <is>
          <t>'=MIN('06_DEBT_SCHEDULES'!$E$14-'06_DEBT_SCHEDULES'!F22, F27)</t>
        </is>
      </c>
      <c r="F28" s="121" t="inlineStr">
        <is>
          <t>Draws revolver up to available capacity when there is a cash deficit.</t>
        </is>
      </c>
      <c r="G28" s="121" t="inlineStr">
        <is>
          <t>Ensures liquidity is modeled realistically without negative cash plugs.</t>
        </is>
      </c>
      <c r="H28" s="121" t="inlineStr">
        <is>
          <t>Allowing draw beyond revolver limit; not linking to deficit.</t>
        </is>
      </c>
      <c r="I28" s="121" t="inlineStr">
        <is>
          <t>If deficit=40 and capacity=100, draw=40.</t>
        </is>
      </c>
    </row>
    <row r="29" ht="70" customHeight="1">
      <c r="B29" s="122" t="n">
        <v>19</v>
      </c>
      <c r="C29" s="119" t="inlineStr">
        <is>
          <t>Revolver repay (if surplus)</t>
        </is>
      </c>
      <c r="D29" s="123">
        <f>HYPERLINK("#'07_CASH_FLOW_WATERFALL'!F31","07_CASH_FLOW_WATERFALL!F31")</f>
        <v/>
      </c>
      <c r="E29" s="163" t="inlineStr">
        <is>
          <t>'=MIN('06_DEBT_SCHEDULES'!F22, F25)</t>
        </is>
      </c>
      <c r="F29" s="121" t="inlineStr">
        <is>
          <t>Repays revolver first using available sweep cash, capped by revolver balance.</t>
        </is>
      </c>
      <c r="G29" s="121" t="inlineStr">
        <is>
          <t>Standard cash management logic and reduces interest cost.</t>
        </is>
      </c>
      <c r="H29" s="121" t="inlineStr">
        <is>
          <t>Repaying more than outstanding; repaying while deficit exists.</t>
        </is>
      </c>
      <c r="I29" s="121" t="inlineStr">
        <is>
          <t>If rev balance=30 and sweep pool=80, repay=30.</t>
        </is>
      </c>
    </row>
    <row r="30" ht="70" customHeight="1">
      <c r="B30" s="122" t="n">
        <v>20</v>
      </c>
      <c r="C30" s="119" t="inlineStr">
        <is>
          <t>Sweep allocation to Term Loan B (priority)</t>
        </is>
      </c>
      <c r="D30" s="123">
        <f>HYPERLINK("#'07_CASH_FLOW_WATERFALL'!F33","07_CASH_FLOW_WATERFALL!F33")</f>
        <v/>
      </c>
      <c r="E30" s="163" t="inlineStr">
        <is>
          <t>'=MIN(F32, MAX(0,'06_DEBT_SCHEDULES'!F40-'06_DEBT_SCHEDULES'!F41))</t>
        </is>
      </c>
      <c r="F30" s="121" t="inlineStr">
        <is>
          <t>Allocates optional sweep to Term Loan B first, capped by available balance after mandatory amort.</t>
        </is>
      </c>
      <c r="G30" s="121" t="inlineStr">
        <is>
          <t>Implements credit agreement priority and drives tranche-level deleveraging.</t>
        </is>
      </c>
      <c r="H30" s="121" t="inlineStr">
        <is>
          <t>Wrong priority order; not capping by remaining balance.</t>
        </is>
      </c>
      <c r="I30" s="121" t="inlineStr">
        <is>
          <t>If sweep remaining=50 and TLB remaining=40, pay 40 to TLB.</t>
        </is>
      </c>
    </row>
    <row r="31" ht="70" customHeight="1">
      <c r="B31" s="122" t="n">
        <v>21</v>
      </c>
      <c r="C31" s="119" t="inlineStr">
        <is>
          <t>Revolver ending balance roll-forward</t>
        </is>
      </c>
      <c r="D31" s="123">
        <f>HYPERLINK("#'06_DEBT_SCHEDULES'!F25","06_DEBT_SCHEDULES!F25")</f>
        <v/>
      </c>
      <c r="E31" s="163" t="inlineStr">
        <is>
          <t>'=F22+F23-F24</t>
        </is>
      </c>
      <c r="F31" s="121" t="inlineStr">
        <is>
          <t>Updates revolver ending balance: opening + draws - repayments.</t>
        </is>
      </c>
      <c r="G31" s="121" t="inlineStr">
        <is>
          <t>Ensures revolver mechanics tie and interest is calculated on correct balances.</t>
        </is>
      </c>
      <c r="H31" s="121" t="inlineStr">
        <is>
          <t>Sign errors or links to wrong waterfall lines.</t>
        </is>
      </c>
      <c r="I31" s="121" t="inlineStr">
        <is>
          <t>If opening 0 + draw 40 - repay 30, ending 10.</t>
        </is>
      </c>
    </row>
    <row r="32" ht="70" customHeight="1">
      <c r="B32" s="122" t="n">
        <v>22</v>
      </c>
      <c r="C32" s="119" t="inlineStr">
        <is>
          <t>Floating all-in rate with floor</t>
        </is>
      </c>
      <c r="D32" s="123">
        <f>HYPERLINK("#'06_DEBT_SCHEDULES'!F35","06_DEBT_SCHEDULES!F35")</f>
        <v/>
      </c>
      <c r="E32" s="163" t="inlineStr">
        <is>
          <t>'=IF(IR_Mode="Fixed",'01_CONTROL'!$F$64,MAX(Bench_Rate+'01_CONTROL'!$D$64,'01_CONTROL'!$E$64))</t>
        </is>
      </c>
      <c r="F32" s="121" t="inlineStr">
        <is>
          <t>Sets all-in floating rate as MAX(benchmark+spread, floor) unless fixed mode is selected.</t>
        </is>
      </c>
      <c r="G32" s="121" t="inlineStr">
        <is>
          <t>Captures rate sensitivity and protects from unrealistic low-rate cases.</t>
        </is>
      </c>
      <c r="H32" s="121" t="inlineStr">
        <is>
          <t>Forgetting floor, or applying spread twice.</t>
        </is>
      </c>
      <c r="I32" s="121" t="inlineStr">
        <is>
          <t>If benchmark 3% + spread 4% =7%, floor 5%, rate=7%.</t>
        </is>
      </c>
    </row>
    <row r="33" ht="70" customHeight="1">
      <c r="B33" s="122" t="n">
        <v>23</v>
      </c>
      <c r="C33" s="119" t="inlineStr">
        <is>
          <t>Debt mandatory amortization (cap at balance)</t>
        </is>
      </c>
      <c r="D33" s="123">
        <f>HYPERLINK("#'06_DEBT_SCHEDULES'!F32","06_DEBT_SCHEDULES!F32")</f>
        <v/>
      </c>
      <c r="E33" s="163" t="inlineStr">
        <is>
          <t>'=MIN(F31,'01_CONTROL'!$C$64*F31)</t>
        </is>
      </c>
      <c r="F33" s="121" t="inlineStr">
        <is>
          <t>Computes scheduled amortization as min(balance, amort% * balance).</t>
        </is>
      </c>
      <c r="G33" s="121" t="inlineStr">
        <is>
          <t>Prevents over-amortization and supports clean roll-forward ties.</t>
        </is>
      </c>
      <c r="H33" s="121" t="inlineStr">
        <is>
          <t>Amort based on original balance instead of current; forgetting MIN cap.</t>
        </is>
      </c>
      <c r="I33" s="121" t="inlineStr">
        <is>
          <t>If balance=100 and amort%=5%, amort=5.</t>
        </is>
      </c>
    </row>
    <row r="34" ht="70" customHeight="1">
      <c r="B34" s="122" t="n">
        <v>24</v>
      </c>
      <c r="C34" s="119" t="inlineStr">
        <is>
          <t>Optional sweep link from waterfall</t>
        </is>
      </c>
      <c r="D34" s="123">
        <f>HYPERLINK("#'06_DEBT_SCHEDULES'!F33","06_DEBT_SCHEDULES!F33")</f>
        <v/>
      </c>
      <c r="E34" s="163" t="inlineStr">
        <is>
          <t>'='07_CASH_FLOW_WATERFALL'!F33</t>
        </is>
      </c>
      <c r="F34" s="121" t="inlineStr">
        <is>
          <t>Pulls optional sweep for the tranche from the waterfall allocation line.</t>
        </is>
      </c>
      <c r="G34" s="121" t="inlineStr">
        <is>
          <t>Keeps cash waterfall as the single source of truth for optional repayments.</t>
        </is>
      </c>
      <c r="H34" s="121" t="inlineStr">
        <is>
          <t>Duplicating sweep logic in both sheets leading to mismatches.</t>
        </is>
      </c>
      <c r="I34" s="121" t="inlineStr">
        <is>
          <t>If waterfall assigns 40 to TLA, tranche optional sweep=40.</t>
        </is>
      </c>
    </row>
    <row r="35" ht="70" customHeight="1">
      <c r="B35" s="122" t="n">
        <v>25</v>
      </c>
      <c r="C35" s="119" t="inlineStr">
        <is>
          <t>Exit EV (multiple method)</t>
        </is>
      </c>
      <c r="D35" s="123">
        <f>HYPERLINK("#'08_EXIT_AND_EQUITY_BRIDGE'!D23","08_EXIT_AND_EQUITY_BRIDGE!D23")</f>
        <v/>
      </c>
      <c r="E35" s="163" t="inlineStr">
        <is>
          <t>'=IF(Exit_Method="Exit Multiple", D15*Exit_Multiple, (Exit_Equity_Target + D24 - D25)/(1-D19))</t>
        </is>
      </c>
      <c r="F35" s="121" t="inlineStr">
        <is>
          <t>Calculates exit EV from exit EBITDA and exit multiple when exit method is 'Exit Multiple'.</t>
        </is>
      </c>
      <c r="G35" s="121" t="inlineStr">
        <is>
          <t>Exit valuation is the largest driver of returns, so logic must be clear and auditable.</t>
        </is>
      </c>
      <c r="H35" s="121" t="inlineStr">
        <is>
          <t>Exit year mismatch; using entry EBITDA; wrong multiple reference.</t>
        </is>
      </c>
      <c r="I35" s="121" t="inlineStr">
        <is>
          <t>Exit EBITDA 450 and multiple 11.0x gives EV=4,950.</t>
        </is>
      </c>
    </row>
    <row r="36" ht="70" customHeight="1">
      <c r="B36" s="122" t="n">
        <v>26</v>
      </c>
      <c r="C36" s="119" t="inlineStr">
        <is>
          <t>EV-to-Equity bridge</t>
        </is>
      </c>
      <c r="D36" s="123">
        <f>HYPERLINK("#'08_EXIT_AND_EQUITY_BRIDGE'!D27","08_EXIT_AND_EQUITY_BRIDGE!D27")</f>
        <v/>
      </c>
      <c r="E36" s="163" t="inlineStr">
        <is>
          <t>'=D23-D24+D25-D26</t>
        </is>
      </c>
      <c r="F36" s="121" t="inlineStr">
        <is>
          <t>Converts exit EV to equity proceeds: EV - debt + cash - fees.</t>
        </is>
      </c>
      <c r="G36" s="121" t="inlineStr">
        <is>
          <t>This is the translation from business value to equity value and return.</t>
        </is>
      </c>
      <c r="H36" s="121" t="inlineStr">
        <is>
          <t>Wrong sign on cash or debt; fees applied to equity not EV.</t>
        </is>
      </c>
      <c r="I36" s="121" t="inlineStr">
        <is>
          <t>EV 4,950 - debt 1,000 + cash 100 - fees 50 = 4,000.</t>
        </is>
      </c>
    </row>
    <row r="37" ht="70" customHeight="1">
      <c r="B37" s="122" t="n">
        <v>27</v>
      </c>
      <c r="C37" s="119" t="inlineStr">
        <is>
          <t>Sponsor proceeds (split by ownership)</t>
        </is>
      </c>
      <c r="D37" s="123">
        <f>HYPERLINK("#'08_EXIT_AND_EQUITY_BRIDGE'!D35","08_EXIT_AND_EQUITY_BRIDGE!D35")</f>
        <v/>
      </c>
      <c r="E37" s="163" t="inlineStr">
        <is>
          <t>'=D27*D34</t>
        </is>
      </c>
      <c r="F37" s="121" t="inlineStr">
        <is>
          <t>Allocates total exit equity proceeds to sponsor based on sponsor ownership of equity.</t>
        </is>
      </c>
      <c r="G37" s="121" t="inlineStr">
        <is>
          <t>Determines sponsor MOIC and sponsor IRR.</t>
        </is>
      </c>
      <c r="H37" s="121" t="inlineStr">
        <is>
          <t>Ownership computed from wrong equity amounts; not tying sponsor+mgmt to total.</t>
        </is>
      </c>
      <c r="I37" s="121" t="inlineStr">
        <is>
          <t>If equity proceeds 4,000 and sponsor owns 90%, sponsor gets 3,600.</t>
        </is>
      </c>
    </row>
    <row r="38" ht="70" customHeight="1">
      <c r="B38" s="122" t="n">
        <v>28</v>
      </c>
      <c r="C38" s="119" t="inlineStr">
        <is>
          <t>Sponsor MOIC</t>
        </is>
      </c>
      <c r="D38" s="123">
        <f>HYPERLINK("#'09_RETURNS'!D21","09_RETURNS!D21")</f>
        <v/>
      </c>
      <c r="E38" s="163" t="inlineStr">
        <is>
          <t>'=IF('05_SOURCES_AND_USES'!$D$38=0,0,'08_EXIT_AND_EQUITY_BRIDGE'!$D$35/'05_SOURCES_AND_USES'!$D$38)</t>
        </is>
      </c>
      <c r="F38" s="121" t="inlineStr">
        <is>
          <t>Computes MOIC as sponsor exit proceeds divided by sponsor equity invested.</t>
        </is>
      </c>
      <c r="G38" s="121" t="inlineStr">
        <is>
          <t>Quickly checks if returns are plausible and ties directly to cash flows.</t>
        </is>
      </c>
      <c r="H38" s="121" t="inlineStr">
        <is>
          <t>Using total equity instead of sponsor equity; mismatched proceeds cell.</t>
        </is>
      </c>
      <c r="I38" s="121" t="inlineStr">
        <is>
          <t>Proceeds 3,600 / equity 2,088 = 1.72x.</t>
        </is>
      </c>
    </row>
    <row r="39" ht="70" customHeight="1">
      <c r="B39" s="122" t="n">
        <v>29</v>
      </c>
      <c r="C39" s="119" t="inlineStr">
        <is>
          <t>Sponsor IRR (range correctness)</t>
        </is>
      </c>
      <c r="D39" s="123">
        <f>HYPERLINK("#'09_RETURNS'!D20","09_RETURNS!D20")</f>
        <v/>
      </c>
      <c r="E39" s="163" t="inlineStr">
        <is>
          <t>'=IRR(OFFSET($E$14,0,0,1,Hold_Col))</t>
        </is>
      </c>
      <c r="F39" s="121" t="inlineStr">
        <is>
          <t>Calculates IRR on the sponsor equity cash flow row, using Hold_Col to include only years 0..exit.</t>
        </is>
      </c>
      <c r="G39" s="121" t="inlineStr">
        <is>
          <t>IRR is IC headline, so the range and timing must be correct.</t>
        </is>
      </c>
      <c r="H39" s="121" t="inlineStr">
        <is>
          <t>Off-by-one in hold column; missing exit cash flow; negative sign mistakes.</t>
        </is>
      </c>
      <c r="I39" s="121" t="inlineStr">
        <is>
          <t>Cash flows: -2,088 in Year0 and +3,600 in Year5 implies ~11.5% IRR.</t>
        </is>
      </c>
    </row>
    <row r="40" ht="70" customHeight="1">
      <c r="B40" s="122" t="n">
        <v>30</v>
      </c>
      <c r="C40" s="119" t="inlineStr">
        <is>
          <t>Net leverage</t>
        </is>
      </c>
      <c r="D40" s="123">
        <f>HYPERLINK("#'10_COVENANTS_AND_CREDIT_METRICS'!F19","10_COVENANTS_AND_CREDIT_METRICS!F19")</f>
        <v/>
      </c>
      <c r="E40" s="163" t="inlineStr">
        <is>
          <t>'=IF(F14=0,0,F17/F14)</t>
        </is>
      </c>
      <c r="F40" s="121" t="inlineStr">
        <is>
          <t>Calculates net leverage as net debt divided by EBITDA for each year.</t>
        </is>
      </c>
      <c r="G40" s="121" t="inlineStr">
        <is>
          <t>Used for covenants, credit risk, and downside protection assessment.</t>
        </is>
      </c>
      <c r="H40" s="121" t="inlineStr">
        <is>
          <t>Using gross debt or wrong cash definition; EBITDA definition mismatch.</t>
        </is>
      </c>
      <c r="I40" s="121" t="inlineStr">
        <is>
          <t>Net debt 1,200 / EBITDA 400 = 3.0x.</t>
        </is>
      </c>
    </row>
    <row r="41" ht="70" customHeight="1">
      <c r="B41" s="122" t="n">
        <v>31</v>
      </c>
      <c r="C41" s="119" t="inlineStr">
        <is>
          <t>Interest coverage</t>
        </is>
      </c>
      <c r="D41" s="123">
        <f>HYPERLINK("#'10_COVENANTS_AND_CREDIT_METRICS'!F21","10_COVENANTS_AND_CREDIT_METRICS!F21")</f>
        <v/>
      </c>
      <c r="E41" s="163" t="inlineStr">
        <is>
          <t>'=IF(F20=0,0,F14/F20)</t>
        </is>
      </c>
      <c r="F41" s="121" t="inlineStr">
        <is>
          <t>Calculates EBITDA divided by cash interest.</t>
        </is>
      </c>
      <c r="G41" s="121" t="inlineStr">
        <is>
          <t>Key lender metric and fast sanity check for rate sensitivity.</t>
        </is>
      </c>
      <c r="H41" s="121" t="inlineStr">
        <is>
          <t>Interest sign wrong; including PIK; using EBIT not EBITDA.</t>
        </is>
      </c>
      <c r="I41" s="121" t="inlineStr">
        <is>
          <t>EBITDA 400 / interest 80 = 5.0x.</t>
        </is>
      </c>
    </row>
    <row r="42" ht="70" customHeight="1">
      <c r="B42" s="122" t="n">
        <v>32</v>
      </c>
      <c r="C42" s="119" t="inlineStr">
        <is>
          <t>Net leverage covenant headroom</t>
        </is>
      </c>
      <c r="D42" s="123">
        <f>HYPERLINK("#'10_COVENANTS_AND_CREDIT_METRICS'!F27","10_COVENANTS_AND_CREDIT_METRICS!F27")</f>
        <v/>
      </c>
      <c r="E42" s="163" t="inlineStr">
        <is>
          <t>'=Coven_NetLev_Max-F19</t>
        </is>
      </c>
      <c r="F42" s="121" t="inlineStr">
        <is>
          <t>Compares actual net leverage to covenant maximum to compute headroom.</t>
        </is>
      </c>
      <c r="G42" s="121" t="inlineStr">
        <is>
          <t>Directly answers 'how close are we to a breach'.</t>
        </is>
      </c>
      <c r="H42" s="121" t="inlineStr">
        <is>
          <t>Covenant max hardcoded in the calc; using gross leverage by mistake.</t>
        </is>
      </c>
      <c r="I42" s="121" t="inlineStr">
        <is>
          <t>If max 5.0x and actual 4.2x, headroom 0.8x.</t>
        </is>
      </c>
    </row>
    <row r="43" ht="70" customHeight="1">
      <c r="B43" s="122" t="n">
        <v>33</v>
      </c>
      <c r="C43" s="119" t="inlineStr">
        <is>
          <t>Peak net leverage (summary tile)</t>
        </is>
      </c>
      <c r="D43" s="123">
        <f>HYPERLINK("#'10_COVENANTS_AND_CREDIT_METRICS'!D34","10_COVENANTS_AND_CREDIT_METRICS!D34")</f>
        <v/>
      </c>
      <c r="E43" s="163" t="inlineStr">
        <is>
          <t>'=MAX($F$19:$L$19)</t>
        </is>
      </c>
      <c r="F43" s="121" t="inlineStr">
        <is>
          <t>Takes the maximum of the net leverage series over the period.</t>
        </is>
      </c>
      <c r="G43" s="121" t="inlineStr">
        <is>
          <t>Highlights the stress point and drives dashboard risk summary.</t>
        </is>
      </c>
      <c r="H43" s="121" t="inlineStr">
        <is>
          <t>Range not covering full period; including blank columns.</t>
        </is>
      </c>
      <c r="I43" s="121" t="inlineStr">
        <is>
          <t>If series peaks at 4.5x, peak leverage is 4.5x.</t>
        </is>
      </c>
    </row>
    <row r="44" ht="70" customHeight="1">
      <c r="B44" s="122" t="n">
        <v>34</v>
      </c>
      <c r="C44" s="119" t="inlineStr">
        <is>
          <t>Cash bridge check (should be 0)</t>
        </is>
      </c>
      <c r="D44" s="123">
        <f>HYPERLINK("#'07_CASH_FLOW_WATERFALL'!F42","07_CASH_FLOW_WATERFALL!F42")</f>
        <v/>
      </c>
      <c r="E44" s="163" t="inlineStr">
        <is>
          <t>'=F23 - (F26+F31+F33+F34+F35+F36+F40) + F30</t>
        </is>
      </c>
      <c r="F44" s="121" t="inlineStr">
        <is>
          <t>Checks that cash after mandatory amort equals uses of cash (sweep, revolver, ending cash).</t>
        </is>
      </c>
      <c r="G44" s="121" t="inlineStr">
        <is>
          <t>Prevents hidden cash plugs and circularity issues.</t>
        </is>
      </c>
      <c r="H44" s="121" t="inlineStr">
        <is>
          <t>Missing a term in the bridge; wrong sign on draw/repay.</t>
        </is>
      </c>
      <c r="I44" s="121" t="inlineStr">
        <is>
          <t>If cash after mandatory is 155 and uses sum to 155, check=0.</t>
        </is>
      </c>
    </row>
    <row r="45" ht="70" customHeight="1">
      <c r="B45" s="122" t="n">
        <v>35</v>
      </c>
      <c r="C45" s="119" t="inlineStr">
        <is>
          <t>Sensitivity IRR cell (Exit vs Entry multiple)</t>
        </is>
      </c>
      <c r="D45" s="123">
        <f>HYPERLINK("#'11_SENSITIVITIES'!D24","11_SENSITIVITIES!D24")</f>
        <v/>
      </c>
      <c r="E45" s="163" t="inlineStr">
        <is>
          <t>'=IFERROR(IF(((D$23*$L$16)*(1+$L$23)+$L$18*$L$24-$L$18)&lt;=0,NA(),((($C24*$L$21)-$L$19+$L$20-($C24*$L$21)*$L$22)/((D$23*$L$16)*(1+$L$23)+$L$18*$L$24-$L$18))^(1/Hold_Y)-1),NA())</t>
        </is>
      </c>
      <c r="F45" s="121" t="inlineStr">
        <is>
          <t>Computes an IRR approximation for a given entry and exit multiple pair, holding debt and cash paths constant.</t>
        </is>
      </c>
      <c r="G45" s="121" t="inlineStr">
        <is>
          <t>Lets you see how valuation assumptions dominate returns in IC discussion.</t>
        </is>
      </c>
      <c r="H45" s="121" t="inlineStr">
        <is>
          <t>Mixing up entry vs exit multiple references; forgetting fees; dividing by wrong equity.</t>
        </is>
      </c>
      <c r="I45" s="121" t="inlineStr">
        <is>
          <t>Entry 12x, exit 11x on growing EBITDA should produce lower IRR than exit 12x.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39"/>
  <sheetViews>
    <sheetView showGridLines="0" workbookViewId="0">
      <pane xSplit="4" ySplit="9" topLeftCell="E10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70" customWidth="1" min="3" max="3"/>
    <col width="34" customWidth="1" min="4" max="4"/>
    <col width="30" customWidth="1" min="5" max="5"/>
    <col width="30" customWidth="1" min="6" max="6"/>
    <col width="28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 ht="15" customHeight="1"/>
    <row r="2" ht="15" customHeight="1">
      <c r="B2" s="115" t="inlineStr">
        <is>
          <t>CHECKS:</t>
        </is>
      </c>
      <c r="C2" s="116">
        <f>HYPERLINK("#'90_CHECKS'!B6",'90_CHECKS'!$C$22)</f>
        <v/>
      </c>
      <c r="D2" s="116">
        <f>HYPERLINK("#'80_LBO_LEARN_MAP'!B8","LEARN MAP")</f>
        <v/>
      </c>
      <c r="E2" s="116">
        <f>HYPERLINK("#'00_DASHBOARD'!B3","DASHBOARD")</f>
        <v/>
      </c>
    </row>
    <row r="3" ht="15" customHeight="1"/>
    <row r="4"/>
    <row r="5"/>
    <row r="6" ht="18" customHeight="1">
      <c r="B6" s="104" t="inlineStr">
        <is>
          <t>82_LBO_LEARN_INTERPRETATION | Dashboard interpretation + IC scripts</t>
        </is>
      </c>
      <c r="C6" s="104" t="n"/>
      <c r="D6" s="104" t="n"/>
      <c r="E6" s="104" t="n"/>
      <c r="F6" s="104" t="n"/>
      <c r="G6" s="104" t="n"/>
      <c r="H6" s="104" t="n"/>
      <c r="I6" s="104" t="n"/>
      <c r="J6" s="104" t="n"/>
      <c r="K6" s="104" t="n"/>
      <c r="L6" s="104" t="n"/>
    </row>
    <row r="7"/>
    <row r="8" ht="30" customHeight="1">
      <c r="B8" s="117" t="inlineStr">
        <is>
          <t>Use this tab to speak in IC-style: what the tile means, what it signals, and the next question.</t>
        </is>
      </c>
    </row>
    <row r="9"/>
    <row r="10" ht="18" customHeight="1">
      <c r="B10" s="118" t="inlineStr">
        <is>
          <t>Dashboard tile</t>
        </is>
      </c>
      <c r="C10" s="118" t="inlineStr">
        <is>
          <t>Where (click)</t>
        </is>
      </c>
      <c r="D10" s="118" t="inlineStr">
        <is>
          <t>How to interpret (1-2 lines)</t>
        </is>
      </c>
      <c r="E10" s="118" t="inlineStr">
        <is>
          <t>What it signals</t>
        </is>
      </c>
      <c r="F10" s="118" t="inlineStr">
        <is>
          <t>What could mislead</t>
        </is>
      </c>
      <c r="G10" s="118" t="inlineStr">
        <is>
          <t>Follow-up question</t>
        </is>
      </c>
    </row>
    <row r="11" ht="55" customHeight="1">
      <c r="B11" s="119" t="inlineStr">
        <is>
          <t>ENTRY EV (DKKm)</t>
        </is>
      </c>
      <c r="C11" s="123">
        <f>HYPERLINK("#'00_DASHBOARD'!C11","00_DASHBOARD!C11")</f>
        <v/>
      </c>
      <c r="D11" s="121" t="inlineStr">
        <is>
          <t>Enterprise value paid at entry. It is the starting point for equity required.</t>
        </is>
      </c>
      <c r="E11" s="121" t="inlineStr">
        <is>
          <t>High EV vs EBITDA implies paying up. With fixed leverage it increases equity check and lowers returns.</t>
        </is>
      </c>
      <c r="F11" s="121" t="inlineStr">
        <is>
          <t>EV can be inflated if EBITDA includes one-offs or add-backs. Ensure LTM definition matches lender and comps.</t>
        </is>
      </c>
      <c r="G11" s="121" t="inlineStr">
        <is>
          <t>Is entry multiple supported by comps and growth durability?</t>
        </is>
      </c>
    </row>
    <row r="12" ht="55" customHeight="1">
      <c r="B12" s="119" t="inlineStr">
        <is>
          <t>ENTRY MULTIPLE (x)</t>
        </is>
      </c>
      <c r="C12" s="123">
        <f>HYPERLINK("#'00_DASHBOARD'!C12","00_DASHBOARD!C12")</f>
        <v/>
      </c>
      <c r="D12" s="121" t="inlineStr">
        <is>
          <t>EV divided by LTM EBITDA. Primary valuation assumption.</t>
        </is>
      </c>
      <c r="E12" s="121" t="inlineStr">
        <is>
          <t>Higher entry multiple means you need stronger growth, margin expansion, or deleveraging to hit returns.</t>
        </is>
      </c>
      <c r="F12" s="121" t="inlineStr">
        <is>
          <t>Multiple comparisons can mislead if peers have different growth, churn, or IFRS16 treatment.</t>
        </is>
      </c>
      <c r="G12" s="121" t="inlineStr">
        <is>
          <t>What is the comp range and what quality premium is justified?</t>
        </is>
      </c>
    </row>
    <row r="13" ht="55" customHeight="1">
      <c r="B13" s="119" t="inlineStr">
        <is>
          <t>TOTAL DEBT (DKKm)</t>
        </is>
      </c>
      <c r="C13" s="123">
        <f>HYPERLINK("#'00_DASHBOARD'!C13","00_DASHBOARD!C13")</f>
        <v/>
      </c>
      <c r="D13" s="121" t="inlineStr">
        <is>
          <t>Total funded debt at close across tranches.</t>
        </is>
      </c>
      <c r="E13" s="121" t="inlineStr">
        <is>
          <t>More debt increases equity efficiency but raises interest burden and covenant risk.</t>
        </is>
      </c>
      <c r="F13" s="121" t="inlineStr">
        <is>
          <t>If revolver is shown as drawn when it is just availability, debt and leverage will look worse than reality.</t>
        </is>
      </c>
      <c r="G13" s="121" t="inlineStr">
        <is>
          <t>How much is fixed vs floating and what is the amort profile?</t>
        </is>
      </c>
    </row>
    <row r="14" ht="55" customHeight="1">
      <c r="B14" s="119" t="inlineStr">
        <is>
          <t>TOTAL EQUITY (DKKm)</t>
        </is>
      </c>
      <c r="C14" s="123">
        <f>HYPERLINK("#'00_DASHBOARD'!C14","00_DASHBOARD!C14")</f>
        <v/>
      </c>
      <c r="D14" s="121" t="inlineStr">
        <is>
          <t>Total equity check required at close (sponsor plus management).</t>
        </is>
      </c>
      <c r="E14" s="121" t="inlineStr">
        <is>
          <t>Bigger equity check reduces IRR unless exit equity scales proportionally.</t>
        </is>
      </c>
      <c r="F14" s="121" t="inlineStr">
        <is>
          <t>Equity can be understated if fees or WC adjustments are missing.</t>
        </is>
      </c>
      <c r="G14" s="121" t="inlineStr">
        <is>
          <t>Do Sources and Uses tie and are fees fully captured?</t>
        </is>
      </c>
    </row>
    <row r="15" ht="55" customHeight="1">
      <c r="B15" s="119" t="inlineStr">
        <is>
          <t>ENTRY LEVERAGE (x)</t>
        </is>
      </c>
      <c r="C15" s="123">
        <f>HYPERLINK("#'00_DASHBOARD'!C15","00_DASHBOARD!C15")</f>
        <v/>
      </c>
      <c r="D15" s="121" t="inlineStr">
        <is>
          <t>Debt divided by LTM EBITDA at entry.</t>
        </is>
      </c>
      <c r="E15" s="121" t="inlineStr">
        <is>
          <t>This is the core risk-return choice. Higher leverage tightens liquidity and covenant headroom.</t>
        </is>
      </c>
      <c r="F15" s="121" t="inlineStr">
        <is>
          <t>Leverage can be overstated if EBITDA is conservatively defined or understated if add-backs are aggressive.</t>
        </is>
      </c>
      <c r="G15" s="121" t="inlineStr">
        <is>
          <t>What is net leverage and covenant leverage definition?</t>
        </is>
      </c>
    </row>
    <row r="16" ht="55" customHeight="1">
      <c r="B16" s="119" t="inlineStr">
        <is>
          <t>EXIT MULTIPLE (x)</t>
        </is>
      </c>
      <c r="C16" s="123">
        <f>HYPERLINK("#'00_DASHBOARD'!F11","00_DASHBOARD!F11")</f>
        <v/>
      </c>
      <c r="D16" s="121" t="inlineStr">
        <is>
          <t>Exit valuation multiple applied to exit EBITDA in the base method.</t>
        </is>
      </c>
      <c r="E16" s="121" t="inlineStr">
        <is>
          <t>Exit assumptions dominate returns. A conservative exit multiple protects downside.</t>
        </is>
      </c>
      <c r="F16" s="121" t="inlineStr">
        <is>
          <t>Exit multiples can be biased upward by bull markets. Use a range and show sensitivity.</t>
        </is>
      </c>
      <c r="G16" s="121" t="inlineStr">
        <is>
          <t>What is the defensible exit multiple range and why?</t>
        </is>
      </c>
    </row>
    <row r="17" ht="55" customHeight="1">
      <c r="B17" s="119" t="inlineStr">
        <is>
          <t>SPONSOR IRR</t>
        </is>
      </c>
      <c r="C17" s="123">
        <f>HYPERLINK("#'00_DASHBOARD'!F12","00_DASHBOARD!F12")</f>
        <v/>
      </c>
      <c r="D17" s="121" t="inlineStr">
        <is>
          <t>Annualized return to the sponsor over the hold period.</t>
        </is>
      </c>
      <c r="E17" s="121" t="inlineStr">
        <is>
          <t>High IRR typically reflects strong value growth and or fast deleveraging or short hold.</t>
        </is>
      </c>
      <c r="F17" s="121" t="inlineStr">
        <is>
          <t>IRR is timing sensitive. Check hold period, exit timing, and whether there are interim distributions.</t>
        </is>
      </c>
      <c r="G17" s="121" t="inlineStr">
        <is>
          <t>What is MOIC and what drives the IRR to that level?</t>
        </is>
      </c>
    </row>
    <row r="18" ht="55" customHeight="1">
      <c r="B18" s="119" t="inlineStr">
        <is>
          <t>SPONSOR MOIC</t>
        </is>
      </c>
      <c r="C18" s="123">
        <f>HYPERLINK("#'00_DASHBOARD'!F13","00_DASHBOARD!F13")</f>
        <v/>
      </c>
      <c r="D18" s="121" t="inlineStr">
        <is>
          <t>Multiple of money: exit sponsor proceeds over sponsor equity invested.</t>
        </is>
      </c>
      <c r="E18" s="121" t="inlineStr">
        <is>
          <t>MOIC captures value creation without timing effects and ties directly to entry and exit equity.</t>
        </is>
      </c>
      <c r="F18" s="121" t="inlineStr">
        <is>
          <t>MOIC can look fine even if hold is long. Always pair with IRR.</t>
        </is>
      </c>
      <c r="G18" s="121" t="inlineStr">
        <is>
          <t>How does MOIC change across exit multiple and growth sensitivity?</t>
        </is>
      </c>
    </row>
    <row r="19" ht="55" customHeight="1">
      <c r="B19" s="119" t="inlineStr">
        <is>
          <t>PEAK NET LEVERAGE (x)</t>
        </is>
      </c>
      <c r="C19" s="123">
        <f>HYPERLINK("#'00_DASHBOARD'!F14","00_DASHBOARD!F14")</f>
        <v/>
      </c>
      <c r="D19" s="121" t="inlineStr">
        <is>
          <t>Maximum net leverage across the forecast period.</t>
        </is>
      </c>
      <c r="E19" s="121" t="inlineStr">
        <is>
          <t>Peak indicates the stress point for covenants and liquidity.</t>
        </is>
      </c>
      <c r="F19" s="121" t="inlineStr">
        <is>
          <t>If cash definition differs, peak net leverage may be misread. Confirm net debt definition.</t>
        </is>
      </c>
      <c r="G19" s="121" t="inlineStr">
        <is>
          <t>At what year does peak occur and what drives it (EBITDA vs debt)?</t>
        </is>
      </c>
    </row>
    <row r="20" ht="55" customHeight="1">
      <c r="B20" s="119" t="inlineStr">
        <is>
          <t>MIN LIQUIDITY (DKKm)</t>
        </is>
      </c>
      <c r="C20" s="123">
        <f>HYPERLINK("#'00_DASHBOARD'!F15","00_DASHBOARD!F15")</f>
        <v/>
      </c>
      <c r="D20" s="121" t="inlineStr">
        <is>
          <t>Lowest cash plus undrawn revolver during the hold.</t>
        </is>
      </c>
      <c r="E20" s="121" t="inlineStr">
        <is>
          <t>Low liquidity raises operating risk and covenant default risk even if leverage looks ok.</t>
        </is>
      </c>
      <c r="F20" s="121" t="inlineStr">
        <is>
          <t>Liquidity ignores seasonal WC unless modeled. Check WC assumptions in downside.</t>
        </is>
      </c>
      <c r="G20" s="121" t="inlineStr">
        <is>
          <t>What is the minimum cash buffer policy and revolver availability?</t>
        </is>
      </c>
    </row>
    <row r="21" ht="55" customHeight="1">
      <c r="B21" s="119" t="inlineStr">
        <is>
          <t>MIN COVENANT HEADROOM (x)</t>
        </is>
      </c>
      <c r="C21" s="123">
        <f>HYPERLINK("#'00_DASHBOARD'!F16","00_DASHBOARD!F16")</f>
        <v/>
      </c>
      <c r="D21" s="121" t="inlineStr">
        <is>
          <t>Worst headroom vs covenant level, negative implies breach.</t>
        </is>
      </c>
      <c r="E21" s="121" t="inlineStr">
        <is>
          <t>This is the lender risk test under base and downside.</t>
        </is>
      </c>
      <c r="F21" s="121" t="inlineStr">
        <is>
          <t>Headroom can be misstated if covenant definition differs from model definition.</t>
        </is>
      </c>
      <c r="G21" s="121" t="inlineStr">
        <is>
          <t>Which covenant trips first and under what scenario?</t>
        </is>
      </c>
    </row>
    <row r="22" ht="55" customHeight="1">
      <c r="B22" s="119" t="inlineStr">
        <is>
          <t>CHECKS STATUS</t>
        </is>
      </c>
      <c r="C22" s="123">
        <f>HYPERLINK("#'00_DASHBOARD'!F17","00_DASHBOARD!F17")</f>
        <v/>
      </c>
      <c r="D22" s="121" t="inlineStr">
        <is>
          <t>Model control summary. Must be PASS before relying on results.</t>
        </is>
      </c>
      <c r="E22" s="121" t="inlineStr">
        <is>
          <t>FAIL signals a broken tie-out or logic issue, stop and fix before interpreting outputs.</t>
        </is>
      </c>
      <c r="F22" s="121" t="inlineStr">
        <is>
          <t>A PASS does not guarantee realism, only mechanical consistency.</t>
        </is>
      </c>
      <c r="G22" s="121" t="inlineStr">
        <is>
          <t>Which check failed and what is the root cause line?</t>
        </is>
      </c>
    </row>
    <row r="23"/>
    <row r="24"/>
    <row r="25" ht="18" customHeight="1">
      <c r="B25" s="104" t="inlineStr">
        <is>
          <t>IC-ready scripts (12 common LBO questions)</t>
        </is>
      </c>
      <c r="C25" s="104" t="n"/>
      <c r="D25" s="104" t="n"/>
      <c r="E25" s="104" t="n"/>
      <c r="F25" s="104" t="n"/>
      <c r="G25" s="104" t="n"/>
      <c r="H25" s="104" t="n"/>
      <c r="I25" s="104" t="n"/>
      <c r="J25" s="104" t="n"/>
      <c r="K25" s="104" t="n"/>
      <c r="L25" s="104" t="n"/>
    </row>
    <row r="26"/>
    <row r="27" ht="18" customHeight="1">
      <c r="B27" s="118" t="inlineStr">
        <is>
          <t>Topic</t>
        </is>
      </c>
      <c r="C27" s="118" t="inlineStr">
        <is>
          <t>Script (2-3 sentences)</t>
        </is>
      </c>
    </row>
    <row r="28" ht="45" customHeight="1">
      <c r="B28" s="121" t="inlineStr">
        <is>
          <t>Valuation defensibility</t>
        </is>
      </c>
      <c r="C28" s="121" t="inlineStr">
        <is>
          <t>Entry multiple is justified by recurring revenue, strong retention, and peer comp range. We show sensitivities because small multiple changes dominate IRR, so we underwrite to a conservative exit.</t>
        </is>
      </c>
    </row>
    <row r="29" ht="45" customHeight="1">
      <c r="B29" s="121" t="inlineStr">
        <is>
          <t>Leverage comfort</t>
        </is>
      </c>
      <c r="C29" s="121" t="inlineStr">
        <is>
          <t>Leverage is set so cash interest and covenants stay robust under downside. We focus on peak net leverage, minimum liquidity, and headroom, not just entry leverage.</t>
        </is>
      </c>
    </row>
    <row r="30" ht="45" customHeight="1">
      <c r="B30" s="121" t="inlineStr">
        <is>
          <t>Downside protection</t>
        </is>
      </c>
      <c r="C30" s="121" t="inlineStr">
        <is>
          <t>The downside case stresses growth and margin while keeping costs realistic. We track what breaks first across leverage, coverage, and liquidity, then show levers that are executable.</t>
        </is>
      </c>
    </row>
    <row r="31" ht="45" customHeight="1">
      <c r="B31" s="121" t="inlineStr">
        <is>
          <t>Deleveraging drivers</t>
        </is>
      </c>
      <c r="C31" s="121" t="inlineStr">
        <is>
          <t>Deleveraging is driven by unlevered free cash flow conversion, not accounting EBITDA alone. The biggest swing factors are margin path, working capital, and capex discipline.</t>
        </is>
      </c>
    </row>
    <row r="32" ht="45" customHeight="1">
      <c r="B32" s="121" t="inlineStr">
        <is>
          <t>Interest rate sensitivity</t>
        </is>
      </c>
      <c r="C32" s="121" t="inlineStr">
        <is>
          <t>Floating exposure hits cash after interest first. We test a +200 bps shock and show whether the model still pays down debt and stays inside covenants.</t>
        </is>
      </c>
    </row>
    <row r="33" ht="45" customHeight="1">
      <c r="B33" s="121" t="inlineStr">
        <is>
          <t>Covenant headroom</t>
        </is>
      </c>
      <c r="C33" s="121" t="inlineStr">
        <is>
          <t>We use net leverage and interest coverage and show the minimum headroom year. If headroom is tight, we identify realistic fixes like lower leverage, tighter capex, or better WC conversion.</t>
        </is>
      </c>
    </row>
    <row r="34" ht="45" customHeight="1">
      <c r="B34" s="121" t="inlineStr">
        <is>
          <t>Exit assumptions</t>
        </is>
      </c>
      <c r="C34" s="121" t="inlineStr">
        <is>
          <t>Exit multiple is anchored to comps and we frame a range. We avoid underwriting to multiple expansion, and instead show base returns driven by EBITDA growth and deleveraging.</t>
        </is>
      </c>
    </row>
    <row r="35" ht="45" customHeight="1">
      <c r="B35" s="121" t="inlineStr">
        <is>
          <t>Working capital risks</t>
        </is>
      </c>
      <c r="C35" s="121" t="inlineStr">
        <is>
          <t>Working capital swings can create liquidity stress even in SaaS, especially if billing terms change. We stress ΔNWC and show impact on revolver usage and covenant headroom.</t>
        </is>
      </c>
    </row>
    <row r="36" ht="45" customHeight="1">
      <c r="B36" s="121" t="inlineStr">
        <is>
          <t>Capex underinvestment risk</t>
        </is>
      </c>
      <c r="C36" s="121" t="inlineStr">
        <is>
          <t>Capex below sustainable levels can inflate FCF but harm product competitiveness. We keep capex aligned with D&amp;A and business needs and stress capex creep in downside.</t>
        </is>
      </c>
    </row>
    <row r="37" ht="45" customHeight="1">
      <c r="B37" s="121" t="inlineStr">
        <is>
          <t>Value creation sources</t>
        </is>
      </c>
      <c r="C37" s="121" t="inlineStr">
        <is>
          <t>We decompose returns into EBITDA growth, multiple change, and deleveraging. The controllable levers are operating performance and cash conversion, so we focus there.</t>
        </is>
      </c>
    </row>
    <row r="38" ht="45" customHeight="1">
      <c r="B38" s="121" t="inlineStr">
        <is>
          <t>Sponsor control levers</t>
        </is>
      </c>
      <c r="C38" s="121" t="inlineStr">
        <is>
          <t>Levers include pricing and upsell, cost discipline, working capital management, and debt terms such as sweep and amort. We show which levers move IRR most efficiently.</t>
        </is>
      </c>
    </row>
    <row r="39" ht="45" customHeight="1">
      <c r="B39" s="121" t="inlineStr">
        <is>
          <t>Sanity checks</t>
        </is>
      </c>
      <c r="C39" s="121" t="inlineStr">
        <is>
          <t>Before any IC narrative, we confirm Sources equals Uses, debt roll-forwards tie, cash bridge checks to zero, and exit bridge ties. If checks fail, outputs are not decision-ready.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0" workbookViewId="0">
      <pane xSplit="4" ySplit="9" topLeftCell="E10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80" customWidth="1" min="3" max="3"/>
    <col width="16" customWidth="1" min="4" max="4"/>
    <col width="16" customWidth="1" min="5" max="5"/>
    <col width="16" customWidth="1" min="6" max="6"/>
    <col width="16" customWidth="1" min="7" max="7"/>
    <col width="20" customWidth="1" min="8" max="8"/>
    <col width="45" customWidth="1" min="9" max="9"/>
    <col width="20" customWidth="1" min="10" max="10"/>
    <col width="20" customWidth="1" min="11" max="11"/>
    <col width="20" customWidth="1" min="12" max="12"/>
  </cols>
  <sheetData>
    <row r="1" ht="15" customHeight="1"/>
    <row r="2" ht="15" customHeight="1">
      <c r="B2" s="115" t="inlineStr">
        <is>
          <t>CHECKS:</t>
        </is>
      </c>
      <c r="C2" s="116">
        <f>HYPERLINK("#'90_CHECKS'!B6",'90_CHECKS'!$C$22)</f>
        <v/>
      </c>
      <c r="D2" s="116">
        <f>HYPERLINK("#'80_LBO_LEARN_MAP'!B8","LEARN MAP")</f>
        <v/>
      </c>
      <c r="E2" s="116">
        <f>HYPERLINK("#'00_DASHBOARD'!B3","DASHBOARD")</f>
        <v/>
      </c>
    </row>
    <row r="3" ht="15" customHeight="1"/>
    <row r="4"/>
    <row r="5"/>
    <row r="6" ht="18" customHeight="1">
      <c r="B6" s="104" t="inlineStr">
        <is>
          <t>83_LBO_LEARN_SCENARIOS | Scenario narratives (Base vs Upside vs Downside)</t>
        </is>
      </c>
      <c r="C6" s="104" t="n"/>
      <c r="D6" s="104" t="n"/>
      <c r="E6" s="104" t="n"/>
      <c r="F6" s="104" t="n"/>
      <c r="G6" s="104" t="n"/>
      <c r="H6" s="104" t="n"/>
      <c r="I6" s="104" t="n"/>
      <c r="J6" s="104" t="n"/>
      <c r="K6" s="104" t="n"/>
      <c r="L6" s="104" t="n"/>
    </row>
    <row r="7"/>
    <row r="8" ht="45" customHeight="1">
      <c r="B8" s="117" t="inlineStr">
        <is>
          <t>How to use: (1) Review scenario assumptions pulled from 01_CONTROL. (2) To populate scenario outputs, set 01_CONTROL!D12 to each scenario and copy the dashboard tiles into the blue capture cells below. This keeps the learning layer additive (no model changes).</t>
        </is>
      </c>
    </row>
    <row r="9"/>
    <row r="10" ht="18" customHeight="1">
      <c r="B10" s="104" t="inlineStr">
        <is>
          <t>Scenario assumptions (pulled from 01_CONTROL)</t>
        </is>
      </c>
      <c r="C10" s="104" t="n"/>
      <c r="D10" s="104" t="n"/>
      <c r="E10" s="104" t="n"/>
      <c r="F10" s="104" t="n"/>
      <c r="G10" s="104" t="n"/>
      <c r="H10" s="104" t="n"/>
      <c r="I10" s="104" t="n"/>
      <c r="J10" s="104" t="n"/>
      <c r="K10" s="104" t="n"/>
      <c r="L10" s="104" t="n"/>
    </row>
    <row r="11"/>
    <row r="12" ht="18" customHeight="1">
      <c r="B12" s="118" t="inlineStr">
        <is>
          <t>Assumption</t>
        </is>
      </c>
      <c r="C12" s="118" t="inlineStr">
        <is>
          <t>Base</t>
        </is>
      </c>
      <c r="D12" s="118" t="inlineStr">
        <is>
          <t>Upside</t>
        </is>
      </c>
      <c r="E12" s="118" t="inlineStr">
        <is>
          <t>Downside</t>
        </is>
      </c>
      <c r="F12" s="118" t="inlineStr">
        <is>
          <t>Aggressiveness (Base)</t>
        </is>
      </c>
      <c r="G12" s="118" t="inlineStr">
        <is>
          <t>Aggressiveness (Upside)</t>
        </is>
      </c>
      <c r="H12" s="118" t="inlineStr">
        <is>
          <t>Aggressiveness (Downside)</t>
        </is>
      </c>
      <c r="I12" s="118" t="inlineStr">
        <is>
          <t>Notes (what to watch)</t>
        </is>
      </c>
    </row>
    <row r="13" ht="35" customHeight="1">
      <c r="B13" s="121" t="inlineStr">
        <is>
          <t>Revenue growth (annual)</t>
        </is>
      </c>
      <c r="C13" s="125">
        <f>'01_CONTROL'!D39</f>
        <v/>
      </c>
      <c r="D13" s="125">
        <f>'01_CONTROL'!E39</f>
        <v/>
      </c>
      <c r="E13" s="125">
        <f>'01_CONTROL'!F39</f>
        <v/>
      </c>
      <c r="F13" s="121">
        <f>IF(C13&lt;=0.06,"Conservative",IF(C13&lt;=0.1,"Neutral","Aggressive"))</f>
        <v/>
      </c>
      <c r="G13" s="121">
        <f>IF(D13&lt;=0.06,"Conservative",IF(D13&lt;=0.1,"Neutral","Aggressive"))</f>
        <v/>
      </c>
      <c r="H13" s="121">
        <f>IF(E13&lt;=0.06,"Conservative",IF(E13&lt;=0.1,"Neutral","Aggressive"))</f>
        <v/>
      </c>
      <c r="I13" s="121" t="inlineStr">
        <is>
          <t>Higher is more aggressive. Check customer churn and pricing power.</t>
        </is>
      </c>
    </row>
    <row r="14" ht="35" customHeight="1">
      <c r="B14" s="121" t="inlineStr">
        <is>
          <t>EBITDA margin (steady state)</t>
        </is>
      </c>
      <c r="C14" s="125">
        <f>'01_CONTROL'!D40</f>
        <v/>
      </c>
      <c r="D14" s="125">
        <f>'01_CONTROL'!E40</f>
        <v/>
      </c>
      <c r="E14" s="125">
        <f>'01_CONTROL'!F40</f>
        <v/>
      </c>
      <c r="F14" s="121">
        <f>IF(C14&lt;=0.26,"Conservative",IF(C14&lt;=0.29,"Neutral","Aggressive"))</f>
        <v/>
      </c>
      <c r="G14" s="121">
        <f>IF(D14&lt;=0.26,"Conservative",IF(D14&lt;=0.29,"Neutral","Aggressive"))</f>
        <v/>
      </c>
      <c r="H14" s="121">
        <f>IF(E14&lt;=0.26,"Conservative",IF(E14&lt;=0.29,"Neutral","Aggressive"))</f>
        <v/>
      </c>
      <c r="I14" s="121" t="inlineStr">
        <is>
          <t>Higher is more aggressive. Confirm cost plan and implementation realism.</t>
        </is>
      </c>
    </row>
    <row r="15" ht="35" customHeight="1">
      <c r="B15" s="121" t="inlineStr">
        <is>
          <t>Capex (% revenue)</t>
        </is>
      </c>
      <c r="C15" s="125">
        <f>'01_CONTROL'!D41</f>
        <v/>
      </c>
      <c r="D15" s="125">
        <f>'01_CONTROL'!E41</f>
        <v/>
      </c>
      <c r="E15" s="125">
        <f>'01_CONTROL'!F41</f>
        <v/>
      </c>
      <c r="F15" s="121">
        <f>IF(C15&lt;=0.02,"Aggressive",IF(C15&lt;=0.03,"Neutral","Conservative"))</f>
        <v/>
      </c>
      <c r="G15" s="121">
        <f>IF(D15&lt;=0.02,"Aggressive",IF(D15&lt;=0.03,"Neutral","Conservative"))</f>
        <v/>
      </c>
      <c r="H15" s="121">
        <f>IF(E15&lt;=0.02,"Aggressive",IF(E15&lt;=0.03,"Neutral","Conservative"))</f>
        <v/>
      </c>
      <c r="I15" s="121" t="inlineStr">
        <is>
          <t>Lower capex is more aggressive. Watch underinvestment risk.</t>
        </is>
      </c>
    </row>
    <row r="16" ht="35" customHeight="1">
      <c r="B16" s="121" t="inlineStr">
        <is>
          <t>Working capital (NWC % revenue)</t>
        </is>
      </c>
      <c r="C16" s="125">
        <f>'01_CONTROL'!D44</f>
        <v/>
      </c>
      <c r="D16" s="125">
        <f>'01_CONTROL'!E44</f>
        <v/>
      </c>
      <c r="E16" s="125">
        <f>'01_CONTROL'!F44</f>
        <v/>
      </c>
      <c r="F16" s="121">
        <f>IF(C16&lt;=0.04,"Aggressive",IF(C16&lt;=0.05,"Neutral","Conservative"))</f>
        <v/>
      </c>
      <c r="G16" s="121">
        <f>IF(D16&lt;=0.04,"Aggressive",IF(D16&lt;=0.05,"Neutral","Conservative"))</f>
        <v/>
      </c>
      <c r="H16" s="121">
        <f>IF(E16&lt;=0.04,"Aggressive",IF(E16&lt;=0.05,"Neutral","Conservative"))</f>
        <v/>
      </c>
      <c r="I16" s="121" t="inlineStr">
        <is>
          <t>Lower NWC % is more aggressive. Validate billing terms.</t>
        </is>
      </c>
    </row>
    <row r="17" ht="35" customHeight="1">
      <c r="B17" s="121" t="inlineStr">
        <is>
          <t>Benchmark rate (floating)</t>
        </is>
      </c>
      <c r="C17" s="125">
        <f>'01_CONTROL'!D22</f>
        <v/>
      </c>
      <c r="D17" s="125">
        <f>'01_CONTROL'!D22</f>
        <v/>
      </c>
      <c r="E17" s="125">
        <f>'01_CONTROL'!D22</f>
        <v/>
      </c>
      <c r="F17" s="121">
        <f>IF(C17&gt;=0.05,"Conservative",IF(C17&gt;=0.03,"Neutral","Aggressive"))</f>
        <v/>
      </c>
      <c r="G17" s="121">
        <f>IF(D17&gt;=0.05,"Conservative",IF(D17&gt;=0.03,"Neutral","Aggressive"))</f>
        <v/>
      </c>
      <c r="H17" s="121">
        <f>IF(E17&gt;=0.05,"Conservative",IF(E17&gt;=0.03,"Neutral","Aggressive"))</f>
        <v/>
      </c>
      <c r="I17" s="121" t="inlineStr">
        <is>
          <t>Higher rates are more conservative for returns; stress +200 bps separately.</t>
        </is>
      </c>
    </row>
    <row r="18" ht="35" customHeight="1">
      <c r="B18" s="121" t="inlineStr">
        <is>
          <t>Entry multiple (x)</t>
        </is>
      </c>
      <c r="C18" s="126">
        <f>'01_CONTROL'!D16</f>
        <v/>
      </c>
      <c r="D18" s="126">
        <f>'01_CONTROL'!D16</f>
        <v/>
      </c>
      <c r="E18" s="126">
        <f>'01_CONTROL'!D16</f>
        <v/>
      </c>
      <c r="F18" s="121">
        <f>IF(C18&gt;=13,"Aggressive",IF(C18&gt;=11,"Neutral","Conservative"))</f>
        <v/>
      </c>
      <c r="G18" s="121">
        <f>IF(D18&gt;=13,"Aggressive",IF(D18&gt;=11,"Neutral","Conservative"))</f>
        <v/>
      </c>
      <c r="H18" s="121">
        <f>IF(E18&gt;=13,"Aggressive",IF(E18&gt;=11,"Neutral","Conservative"))</f>
        <v/>
      </c>
      <c r="I18" s="121" t="inlineStr">
        <is>
          <t>Higher entry multiple is more aggressive (harder to earn).</t>
        </is>
      </c>
    </row>
    <row r="19" ht="35" customHeight="1">
      <c r="B19" s="121" t="inlineStr">
        <is>
          <t>Exit multiple (x)</t>
        </is>
      </c>
      <c r="C19" s="126">
        <f>'01_CONTROL'!D18</f>
        <v/>
      </c>
      <c r="D19" s="126">
        <f>'01_CONTROL'!D18</f>
        <v/>
      </c>
      <c r="E19" s="126">
        <f>'01_CONTROL'!D18</f>
        <v/>
      </c>
      <c r="F19" s="121">
        <f>IF(C19&gt;=13,"Aggressive",IF(C19&gt;=11,"Neutral","Conservative"))</f>
        <v/>
      </c>
      <c r="G19" s="121">
        <f>IF(D19&gt;=13,"Aggressive",IF(D19&gt;=11,"Neutral","Conservative"))</f>
        <v/>
      </c>
      <c r="H19" s="121">
        <f>IF(E19&gt;=13,"Aggressive",IF(E19&gt;=11,"Neutral","Conservative"))</f>
        <v/>
      </c>
      <c r="I19" s="121" t="inlineStr">
        <is>
          <t>Higher exit multiple is more aggressive. Use a defensible range.</t>
        </is>
      </c>
    </row>
    <row r="20"/>
    <row r="21"/>
    <row r="22" ht="18" customHeight="1">
      <c r="B22" s="104" t="inlineStr">
        <is>
          <t>Scenario outputs (paste values after toggling Scenario in 01_CONTROL)</t>
        </is>
      </c>
      <c r="C22" s="104" t="n"/>
      <c r="D22" s="104" t="n"/>
      <c r="E22" s="104" t="n"/>
      <c r="F22" s="104" t="n"/>
      <c r="G22" s="104" t="n"/>
      <c r="H22" s="104" t="n"/>
      <c r="I22" s="104" t="n"/>
      <c r="J22" s="104" t="n"/>
      <c r="K22" s="104" t="n"/>
      <c r="L22" s="104" t="n"/>
    </row>
    <row r="23"/>
    <row r="24" ht="18" customHeight="1">
      <c r="B24" s="118" t="inlineStr">
        <is>
          <t>Output KPI</t>
        </is>
      </c>
      <c r="C24" s="118" t="inlineStr">
        <is>
          <t>Base (paste)</t>
        </is>
      </c>
      <c r="D24" s="118" t="inlineStr">
        <is>
          <t>Upside (paste)</t>
        </is>
      </c>
      <c r="E24" s="118" t="inlineStr">
        <is>
          <t>Downside (paste)</t>
        </is>
      </c>
      <c r="F24" s="118" t="inlineStr">
        <is>
          <t>Upside - Base</t>
        </is>
      </c>
      <c r="G24" s="118" t="inlineStr">
        <is>
          <t>Downside - Base</t>
        </is>
      </c>
    </row>
    <row r="25" ht="24" customHeight="1">
      <c r="B25" s="127" t="inlineStr">
        <is>
          <t>Sponsor IRR</t>
        </is>
      </c>
      <c r="C25" s="128" t="n"/>
      <c r="D25" s="128" t="n"/>
      <c r="E25" s="128" t="n"/>
      <c r="F25" s="129">
        <f>IF(OR(C25="",D25=""),"",D25-C25)</f>
        <v/>
      </c>
      <c r="G25" s="129">
        <f>IF(OR(C25="",E25=""),"",E25-C25)</f>
        <v/>
      </c>
    </row>
    <row r="26" ht="24" customHeight="1">
      <c r="B26" s="127" t="inlineStr">
        <is>
          <t>Sponsor MOIC</t>
        </is>
      </c>
      <c r="C26" s="130" t="n"/>
      <c r="D26" s="130" t="n"/>
      <c r="E26" s="130" t="n"/>
      <c r="F26" s="131">
        <f>IF(OR(C26="",D26=""),"",D26-C26)</f>
        <v/>
      </c>
      <c r="G26" s="131">
        <f>IF(OR(C26="",E26=""),"",E26-C26)</f>
        <v/>
      </c>
    </row>
    <row r="27" ht="24" customHeight="1">
      <c r="B27" s="127" t="inlineStr">
        <is>
          <t>Peak net leverage (x)</t>
        </is>
      </c>
      <c r="C27" s="132" t="n"/>
      <c r="D27" s="132" t="n"/>
      <c r="E27" s="132" t="n"/>
      <c r="F27" s="133">
        <f>IF(OR(C27="",D27=""),"",D27-C27)</f>
        <v/>
      </c>
      <c r="G27" s="133">
        <f>IF(OR(C27="",E27=""),"",E27-C27)</f>
        <v/>
      </c>
    </row>
    <row r="28" ht="24" customHeight="1">
      <c r="B28" s="127" t="inlineStr">
        <is>
          <t>Min covenant headroom (net lev, x)</t>
        </is>
      </c>
      <c r="C28" s="132" t="n"/>
      <c r="D28" s="132" t="n"/>
      <c r="E28" s="132" t="n"/>
      <c r="F28" s="133">
        <f>IF(OR(C28="",D28=""),"",D28-C28)</f>
        <v/>
      </c>
      <c r="G28" s="133">
        <f>IF(OR(C28="",E28=""),"",E28-C28)</f>
        <v/>
      </c>
    </row>
    <row r="29" ht="24" customHeight="1">
      <c r="B29" s="127" t="inlineStr">
        <is>
          <t>Min liquidity (DKKm)</t>
        </is>
      </c>
      <c r="C29" s="134" t="n"/>
      <c r="D29" s="134" t="n"/>
      <c r="E29" s="134" t="n"/>
      <c r="F29" s="135">
        <f>IF(OR(C29="",D29=""),"",D29-C29)</f>
        <v/>
      </c>
      <c r="G29" s="135">
        <f>IF(OR(C29="",E29=""),"",E29-C29)</f>
        <v/>
      </c>
    </row>
    <row r="30"/>
    <row r="31"/>
    <row r="32" ht="18" customHeight="1">
      <c r="B32" s="104" t="inlineStr">
        <is>
          <t>Narrative (tie back to model cells)</t>
        </is>
      </c>
      <c r="C32" s="104" t="n"/>
      <c r="D32" s="104" t="n"/>
      <c r="E32" s="104" t="n"/>
      <c r="F32" s="104" t="n"/>
      <c r="G32" s="104" t="n"/>
      <c r="H32" s="104" t="n"/>
      <c r="I32" s="104" t="n"/>
      <c r="J32" s="104" t="n"/>
      <c r="K32" s="104" t="n"/>
      <c r="L32" s="104" t="n"/>
    </row>
    <row r="33"/>
    <row r="34" ht="40" customHeight="1">
      <c r="B34" s="136" t="inlineStr">
        <is>
          <t>What must be true for Upside:</t>
        </is>
      </c>
      <c r="C34" s="117" t="inlineStr">
        <is>
          <t>Upside assumes higher growth (01_CONTROL!E39) and higher steady-state margin (01_CONTROL!E40). For IC, anchor this in retention, pricing power, and a credible cost plan with execution milestones.</t>
        </is>
      </c>
    </row>
    <row r="35" ht="40" customHeight="1">
      <c r="B35" s="136" t="inlineStr">
        <is>
          <t>What breaks first in Downside:</t>
        </is>
      </c>
      <c r="C35" s="117" t="inlineStr">
        <is>
          <t>Downside compresses growth and margin (01_CONTROL!F39:F40) and worsens WC (01_CONTROL!F44). Watch liquidity (10_COVENANTS!Min liquidity) and covenant headroom first, then deleveraging speed.</t>
        </is>
      </c>
    </row>
    <row r="36" ht="40" customHeight="1">
      <c r="B36" s="136" t="inlineStr">
        <is>
          <t>Which 3 assumptions drive ~80% of variance:</t>
        </is>
      </c>
      <c r="C36" s="117" t="inlineStr">
        <is>
          <t>Exit multiple (01_CONTROL!D18), revenue growth (01_CONTROL scenario growth), and margin path (01_CONTROL scenario margin). These dominate EV and FCF, which then drive equity proceeds and IRR.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62"/>
  <sheetViews>
    <sheetView showGridLines="0" workbookViewId="0">
      <pane xSplit="4" ySplit="9" topLeftCell="E10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8" customWidth="1" min="3" max="3"/>
    <col width="38" customWidth="1" min="4" max="4"/>
    <col width="28" customWidth="1" min="5" max="5"/>
    <col width="14" customWidth="1" min="6" max="6"/>
    <col width="34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 ht="15" customHeight="1"/>
    <row r="2" ht="15" customHeight="1">
      <c r="B2" s="115" t="inlineStr">
        <is>
          <t>CHECKS:</t>
        </is>
      </c>
      <c r="C2" s="116">
        <f>HYPERLINK("#'90_CHECKS'!B6",'90_CHECKS'!$C$22)</f>
        <v/>
      </c>
      <c r="D2" s="116">
        <f>HYPERLINK("#'80_LBO_LEARN_MAP'!B8","LEARN MAP")</f>
        <v/>
      </c>
      <c r="E2" s="116">
        <f>HYPERLINK("#'00_DASHBOARD'!B3","DASHBOARD")</f>
        <v/>
      </c>
    </row>
    <row r="3" ht="15" customHeight="1"/>
    <row r="4"/>
    <row r="5"/>
    <row r="6" ht="18" customHeight="1">
      <c r="B6" s="104" t="inlineStr">
        <is>
          <t>84_LBO_LEARN_DRILLS | Exercises + scoring (hands-on)</t>
        </is>
      </c>
      <c r="C6" s="104" t="n"/>
      <c r="D6" s="104" t="n"/>
      <c r="E6" s="104" t="n"/>
      <c r="F6" s="104" t="n"/>
      <c r="G6" s="104" t="n"/>
      <c r="H6" s="104" t="n"/>
      <c r="I6" s="104" t="n"/>
      <c r="J6" s="104" t="n"/>
      <c r="K6" s="104" t="n"/>
      <c r="L6" s="104" t="n"/>
    </row>
    <row r="7"/>
    <row r="8" ht="35" customHeight="1">
      <c r="B8" s="117" t="inlineStr">
        <is>
          <t>Rule: Change ONLY allowed input cells. Do not hardcode outputs. Use 90_CHECKS and dashboard to verify mechanics are intact.</t>
        </is>
      </c>
    </row>
    <row r="9"/>
    <row r="10" ht="18" customHeight="1">
      <c r="B10" s="104" t="inlineStr">
        <is>
          <t>Daily drill mode</t>
        </is>
      </c>
      <c r="C10" s="104" t="n"/>
      <c r="D10" s="104" t="n"/>
      <c r="E10" s="104" t="n"/>
      <c r="F10" s="104" t="n"/>
      <c r="G10" s="104" t="n"/>
      <c r="H10" s="104" t="n"/>
      <c r="I10" s="104" t="n"/>
      <c r="J10" s="104" t="n"/>
      <c r="K10" s="104" t="n"/>
      <c r="L10" s="104" t="n"/>
    </row>
    <row r="11"/>
    <row r="12" ht="20" customHeight="1">
      <c r="B12" s="137" t="inlineStr">
        <is>
          <t>Mode (blue):</t>
        </is>
      </c>
      <c r="C12" s="112" t="inlineStr">
        <is>
          <t>Rotate</t>
        </is>
      </c>
    </row>
    <row r="13" ht="20" customHeight="1">
      <c r="B13" s="137" t="inlineStr">
        <is>
          <t>Today drill #:</t>
        </is>
      </c>
      <c r="C13" s="138">
        <f>IF($C$12="Random",RANDBETWEEN(1,12),MOD(TODAY(),12)+1)</f>
        <v/>
      </c>
    </row>
    <row r="14" ht="20" customHeight="1">
      <c r="B14" s="137" t="inlineStr">
        <is>
          <t>Attempts (blue):</t>
        </is>
      </c>
      <c r="C14" s="112" t="n"/>
    </row>
    <row r="15" ht="20" customHeight="1">
      <c r="B15" s="137" t="inlineStr">
        <is>
          <t>Passes (blue):</t>
        </is>
      </c>
      <c r="C15" s="112" t="n"/>
    </row>
    <row r="16" ht="20" customHeight="1">
      <c r="B16" s="137" t="inlineStr">
        <is>
          <t>Date (auto):</t>
        </is>
      </c>
      <c r="C16" s="139">
        <f>TODAY()</f>
        <v/>
      </c>
    </row>
    <row r="17"/>
    <row r="18" ht="18" customHeight="1">
      <c r="B18" s="104" t="inlineStr">
        <is>
          <t>Baseline snapshot (paste values as values into blue cells before starting)</t>
        </is>
      </c>
      <c r="C18" s="104" t="n"/>
      <c r="D18" s="104" t="n"/>
      <c r="E18" s="104" t="n"/>
      <c r="F18" s="104" t="n"/>
      <c r="G18" s="104" t="n"/>
      <c r="H18" s="104" t="n"/>
      <c r="I18" s="104" t="n"/>
      <c r="J18" s="104" t="n"/>
      <c r="K18" s="104" t="n"/>
      <c r="L18" s="104" t="n"/>
    </row>
    <row r="19"/>
    <row r="20" ht="18" customHeight="1">
      <c r="B20" s="118" t="inlineStr">
        <is>
          <t>Metric</t>
        </is>
      </c>
      <c r="C20" s="118" t="inlineStr">
        <is>
          <t>Baseline (paste)</t>
        </is>
      </c>
      <c r="D20" s="118" t="inlineStr">
        <is>
          <t>Current (live)</t>
        </is>
      </c>
      <c r="E20" s="118" t="inlineStr">
        <is>
          <t>Delta</t>
        </is>
      </c>
    </row>
    <row r="21" ht="20" customHeight="1">
      <c r="B21" s="119" t="inlineStr">
        <is>
          <t>Sponsor IRR</t>
        </is>
      </c>
      <c r="C21" s="128" t="n"/>
      <c r="D21" s="140">
        <f>'00_DASHBOARD'!F12</f>
        <v/>
      </c>
      <c r="E21" s="141">
        <f>IF(OR(C21="",D21=""),"",D21-C21)</f>
        <v/>
      </c>
    </row>
    <row r="22" ht="20" customHeight="1">
      <c r="B22" s="119" t="inlineStr">
        <is>
          <t>Sponsor MOIC</t>
        </is>
      </c>
      <c r="C22" s="130" t="n"/>
      <c r="D22" s="142">
        <f>'00_DASHBOARD'!F13</f>
        <v/>
      </c>
      <c r="E22" s="143">
        <f>IF(OR(C22="",D22=""),"",D22-C22)</f>
        <v/>
      </c>
    </row>
    <row r="23" ht="20" customHeight="1">
      <c r="B23" s="119" t="inlineStr">
        <is>
          <t>Exit multiple</t>
        </is>
      </c>
      <c r="C23" s="132" t="n"/>
      <c r="D23" s="144">
        <f>'00_DASHBOARD'!F11</f>
        <v/>
      </c>
      <c r="E23" s="145">
        <f>IF(OR(C23="",D23=""),"",D23-C23)</f>
        <v/>
      </c>
    </row>
    <row r="24" ht="20" customHeight="1">
      <c r="B24" s="119" t="inlineStr">
        <is>
          <t>Entry multiple</t>
        </is>
      </c>
      <c r="C24" s="132" t="n"/>
      <c r="D24" s="144">
        <f>'00_DASHBOARD'!C12</f>
        <v/>
      </c>
      <c r="E24" s="145">
        <f>IF(OR(C24="",D24=""),"",D24-C24)</f>
        <v/>
      </c>
    </row>
    <row r="25" ht="20" customHeight="1">
      <c r="B25" s="119" t="inlineStr">
        <is>
          <t>Peak net leverage</t>
        </is>
      </c>
      <c r="C25" s="132" t="n"/>
      <c r="D25" s="144">
        <f>'00_DASHBOARD'!F14</f>
        <v/>
      </c>
      <c r="E25" s="145">
        <f>IF(OR(C25="",D25=""),"",D25-C25)</f>
        <v/>
      </c>
    </row>
    <row r="26" ht="20" customHeight="1">
      <c r="B26" s="119" t="inlineStr">
        <is>
          <t>Min liquidity (DKKm)</t>
        </is>
      </c>
      <c r="C26" s="134" t="n"/>
      <c r="D26" s="146">
        <f>'00_DASHBOARD'!F15</f>
        <v/>
      </c>
      <c r="E26" s="147">
        <f>IF(OR(C26="",D26=""),"",D26-C26)</f>
        <v/>
      </c>
    </row>
    <row r="27" ht="20" customHeight="1">
      <c r="B27" s="119" t="inlineStr">
        <is>
          <t>Min covenant headroom (x)</t>
        </is>
      </c>
      <c r="C27" s="132" t="n"/>
      <c r="D27" s="144">
        <f>'00_DASHBOARD'!F16</f>
        <v/>
      </c>
      <c r="E27" s="145">
        <f>IF(OR(C27="",D27=""),"",D27-C27)</f>
        <v/>
      </c>
    </row>
    <row r="28" ht="20" customHeight="1">
      <c r="B28" s="119" t="inlineStr">
        <is>
          <t>Benchmark rate</t>
        </is>
      </c>
      <c r="C28" s="128" t="n"/>
      <c r="D28" s="140">
        <f>'01_CONTROL'!D22</f>
        <v/>
      </c>
      <c r="E28" s="141">
        <f>IF(OR(C28="",D28=""),"",D28-C28)</f>
        <v/>
      </c>
    </row>
    <row r="29" ht="20" customHeight="1">
      <c r="B29" s="119" t="inlineStr">
        <is>
          <t>Leverage target</t>
        </is>
      </c>
      <c r="C29" s="132" t="n"/>
      <c r="D29" s="144">
        <f>'01_CONTROL'!D48</f>
        <v/>
      </c>
      <c r="E29" s="145">
        <f>IF(OR(C29="",D29=""),"",D29-C29)</f>
        <v/>
      </c>
    </row>
    <row r="30" ht="20" customHeight="1">
      <c r="B30" s="119" t="inlineStr">
        <is>
          <t>Debt structure</t>
        </is>
      </c>
      <c r="C30" s="148" t="n"/>
      <c r="D30" s="149">
        <f>'01_CONTROL'!D20</f>
        <v/>
      </c>
      <c r="E30" s="138">
        <f>IF(OR(C30="",D30=""),"",IF(C30=D30,"OK","CHANGED"))</f>
        <v/>
      </c>
    </row>
    <row r="31" ht="20" customHeight="1">
      <c r="B31" s="119" t="inlineStr">
        <is>
          <t>Scenario</t>
        </is>
      </c>
      <c r="C31" s="148" t="n"/>
      <c r="D31" s="149">
        <f>'01_CONTROL'!D12</f>
        <v/>
      </c>
      <c r="E31" s="138">
        <f>IF(OR(C31="",D31=""),"",IF(C31=D31,"OK","CHANGED"))</f>
        <v/>
      </c>
    </row>
    <row r="32" ht="20" customHeight="1">
      <c r="B32" s="119" t="inlineStr">
        <is>
          <t>Active revenue growth</t>
        </is>
      </c>
      <c r="C32" s="128" t="n"/>
      <c r="D32" s="140">
        <f>'01_CONTROL'!G39</f>
        <v/>
      </c>
      <c r="E32" s="141">
        <f>IF(OR(C32="",D32=""),"",D32-C32)</f>
        <v/>
      </c>
    </row>
    <row r="33" ht="20" customHeight="1">
      <c r="B33" s="119" t="inlineStr">
        <is>
          <t>Net leverage in Year 3 (x)</t>
        </is>
      </c>
      <c r="C33" s="132" t="n"/>
      <c r="D33" s="144">
        <f>'10_COVENANTS_AND_CREDIT_METRICS'!H19</f>
        <v/>
      </c>
      <c r="E33" s="145">
        <f>IF(OR(C33="",D33=""),"",D33-C33)</f>
        <v/>
      </c>
    </row>
    <row r="34"/>
    <row r="35">
      <c r="B35" s="150" t="inlineStr">
        <is>
          <t>Target IRR for Drill 5 (blue):</t>
        </is>
      </c>
      <c r="C35" s="151" t="n">
        <v>0.2</v>
      </c>
    </row>
    <row r="36">
      <c r="B36" s="150" t="inlineStr">
        <is>
          <t>Drill 8: Breach observed (TRUE/FALSE, blue):</t>
        </is>
      </c>
      <c r="C36" s="152" t="b">
        <v>0</v>
      </c>
    </row>
    <row r="37">
      <c r="B37" s="150" t="inlineStr">
        <is>
          <t>Drill 8: Fix applied (TRUE/FALSE, blue):</t>
        </is>
      </c>
      <c r="C37" s="152" t="b">
        <v>0</v>
      </c>
    </row>
    <row r="38">
      <c r="B38" s="150" t="inlineStr">
        <is>
          <t>Drill 10: IRR at low exit multiple (paste, blue):</t>
        </is>
      </c>
      <c r="C38" s="151" t="n"/>
    </row>
    <row r="39">
      <c r="B39" s="150" t="inlineStr">
        <is>
          <t>Drill 10: IRR at high exit multiple (paste, blue):</t>
        </is>
      </c>
      <c r="C39" s="151" t="n"/>
    </row>
    <row r="40" ht="26" customHeight="1">
      <c r="B40" s="150" t="inlineStr">
        <is>
          <t>Drill 12 bullets (fill C40:C45, blue):</t>
        </is>
      </c>
      <c r="C40" s="153" t="n"/>
    </row>
    <row r="41" ht="26" customHeight="1">
      <c r="C41" s="153" t="n"/>
    </row>
    <row r="42" ht="26" customHeight="1">
      <c r="C42" s="153" t="n"/>
    </row>
    <row r="43" ht="26" customHeight="1">
      <c r="C43" s="153" t="n"/>
    </row>
    <row r="44" ht="26" customHeight="1">
      <c r="C44" s="153" t="n"/>
    </row>
    <row r="45" ht="26" customHeight="1">
      <c r="C45" s="153" t="n"/>
    </row>
    <row r="46"/>
    <row r="47"/>
    <row r="48" ht="18" customHeight="1">
      <c r="B48" s="104" t="inlineStr">
        <is>
          <t>12 drills (PASS/FAIL is live vs baseline snapshot)</t>
        </is>
      </c>
      <c r="C48" s="104" t="n"/>
      <c r="D48" s="104" t="n"/>
      <c r="E48" s="104" t="n"/>
      <c r="F48" s="104" t="n"/>
      <c r="G48" s="104" t="n"/>
      <c r="H48" s="104" t="n"/>
      <c r="I48" s="104" t="n"/>
      <c r="J48" s="104" t="n"/>
      <c r="K48" s="104" t="n"/>
      <c r="L48" s="104" t="n"/>
    </row>
    <row r="49"/>
    <row r="50" ht="18" customHeight="1">
      <c r="B50" s="118" t="inlineStr">
        <is>
          <t>#</t>
        </is>
      </c>
      <c r="C50" s="118" t="inlineStr">
        <is>
          <t>Objective</t>
        </is>
      </c>
      <c r="D50" s="118" t="inlineStr">
        <is>
          <t>Allowed inputs (specific cells)</t>
        </is>
      </c>
      <c r="E50" s="118" t="inlineStr">
        <is>
          <t>Forbidden inputs</t>
        </is>
      </c>
      <c r="F50" s="118" t="inlineStr">
        <is>
          <t>PASS/FAIL (live)</t>
        </is>
      </c>
      <c r="G50" s="118" t="inlineStr">
        <is>
          <t>Why this works (driver logic)</t>
        </is>
      </c>
    </row>
    <row r="51" ht="60" customHeight="1">
      <c r="B51" s="138" t="n">
        <v>1</v>
      </c>
      <c r="C51" s="121" t="inlineStr">
        <is>
          <t>Increase IRR by +3pp without changing exit multiple</t>
        </is>
      </c>
      <c r="D51" s="121" t="inlineStr">
        <is>
          <t>01_CONTROL scenario inputs: growth (row 39), margin (row 40), capex (row 41), NWC (row 44). Optional: sweep % (G54).</t>
        </is>
      </c>
      <c r="E51" s="121" t="inlineStr">
        <is>
          <t>Do NOT change exit multiple (01_CONTROL!D18), entry multiple (01_CONTROL!D16), leverage target (01_CONTROL!D48).</t>
        </is>
      </c>
      <c r="F51" s="138">
        <f>IF(AND($D$21&gt;=$C$21+0.03,$D$23=$C$23,$D$24=$C$24,$D$29=$C$29),"PASS","FAIL")</f>
        <v/>
      </c>
      <c r="G51" s="121" t="inlineStr">
        <is>
          <t>Operating improvements raise FCF and debt paydown, increasing equity proceeds with the same exit valuation multiple.</t>
        </is>
      </c>
    </row>
    <row r="52" ht="60" customHeight="1">
      <c r="B52" s="138" t="n">
        <v>2</v>
      </c>
      <c r="C52" s="121" t="inlineStr">
        <is>
          <t>Increase MOIC by +0.3x without changing entry multiple</t>
        </is>
      </c>
      <c r="D52" s="121" t="inlineStr">
        <is>
          <t>Allowed: operating drivers, leverage target, debt structure, exit multiple (if you want).</t>
        </is>
      </c>
      <c r="E52" s="121" t="inlineStr">
        <is>
          <t>Entry multiple must not change.</t>
        </is>
      </c>
      <c r="F52" s="138">
        <f>IF(AND($D$22&gt;=$C$22+0.30,$D$24=$C$24),"PASS","FAIL")</f>
        <v/>
      </c>
      <c r="G52" s="121" t="inlineStr">
        <is>
          <t>MOIC is exit equity divided by entry equity. Holding entry multiple forces value creation elsewhere.</t>
        </is>
      </c>
    </row>
    <row r="53" ht="60" customHeight="1">
      <c r="B53" s="138" t="n">
        <v>3</v>
      </c>
      <c r="C53" s="121" t="inlineStr">
        <is>
          <t>Reduce peak leverage by 0.5x while keeping IRR within -1pp</t>
        </is>
      </c>
      <c r="D53" s="121" t="inlineStr">
        <is>
          <t>Allowed: leverage target, sweep %, operating drivers.</t>
        </is>
      </c>
      <c r="E53" s="121" t="inlineStr">
        <is>
          <t>Entry and exit multiple must not change.</t>
        </is>
      </c>
      <c r="F53" s="138">
        <f>IF(AND($D$25&lt;=$C$25-0.5,$D$21&gt;=$C$21-0.01,$D$24=$C$24,$D$23=$C$23),"PASS","FAIL")</f>
        <v/>
      </c>
      <c r="G53" s="121" t="inlineStr">
        <is>
          <t>Lower starting debt and/or faster paydown reduces peak leverage. Keeping IRR near baseline trains trade-off thinking.</t>
        </is>
      </c>
    </row>
    <row r="54" ht="60" customHeight="1">
      <c r="B54" s="138" t="n">
        <v>4</v>
      </c>
      <c r="C54" s="121" t="inlineStr">
        <is>
          <t>Offset +200 bps interest rate shock while keeping MOIC flat (±0.02x)</t>
        </is>
      </c>
      <c r="D54" s="121" t="inlineStr">
        <is>
          <t>Set benchmark rate (01_CONTROL!D22) = baseline + 2.00%. Allowed: leverage, sweep %, operating drivers.</t>
        </is>
      </c>
      <c r="E54" s="121" t="inlineStr">
        <is>
          <t>Do not change entry multiple.</t>
        </is>
      </c>
      <c r="F54" s="138">
        <f>IF(AND($D$28&gt;=$C$28+0.02,ABS($D$22-$C$22)&lt;=0.02,$D$24=$C$24),"PASS","FAIL")</f>
        <v/>
      </c>
      <c r="G54" s="121" t="inlineStr">
        <is>
          <t>Higher rates reduce cash after interest. You offset by lowering leverage or improving FCF conversion.</t>
        </is>
      </c>
    </row>
    <row r="55" ht="60" customHeight="1">
      <c r="B55" s="138" t="n">
        <v>5</v>
      </c>
      <c r="C55" s="121" t="inlineStr">
        <is>
          <t>Hit a target IRR by changing debt structure (and explain trade-offs)</t>
        </is>
      </c>
      <c r="D55" s="121" t="inlineStr">
        <is>
          <t>Debt structure (01_CONTROL!D20), leverage target (D48), tranche spreads/amort (rows 63-67).</t>
        </is>
      </c>
      <c r="E55" s="121" t="inlineStr">
        <is>
          <t>Prefer no change to exit multiple for a credit-driven result.</t>
        </is>
      </c>
      <c r="F55" s="138">
        <f>IF(AND($D$21&gt;=$C$35,$D$30&lt;&gt;$C$30),"PASS","FAIL")</f>
        <v/>
      </c>
      <c r="G55" s="121" t="inlineStr">
        <is>
          <t>Structure changes pricing and amort burden. This shifts cash interest and paydown speed, affecting equity proceeds.</t>
        </is>
      </c>
    </row>
    <row r="56" ht="60" customHeight="1">
      <c r="B56" s="138" t="n">
        <v>6</v>
      </c>
      <c r="C56" s="121" t="inlineStr">
        <is>
          <t>Improve returns via operating levers only (no leverage change)</t>
        </is>
      </c>
      <c r="D56" s="121" t="inlineStr">
        <is>
          <t>Change only operating assumptions (growth/margin/capex/NWC) using scenario table inputs.</t>
        </is>
      </c>
      <c r="E56" s="121" t="inlineStr">
        <is>
          <t>No change to leverage target, entry multiple, exit multiple.</t>
        </is>
      </c>
      <c r="F56" s="138">
        <f>IF(AND($D$21&gt;=$C$21+0.02,$D$29=$C$29,$D$24=$C$24,$D$23=$C$23),"PASS","FAIL")</f>
        <v/>
      </c>
      <c r="G56" s="121" t="inlineStr">
        <is>
          <t>Pure operational improvement increases unlevered FCF and deleveraging without relying on financial engineering.</t>
        </is>
      </c>
    </row>
    <row r="57" ht="60" customHeight="1">
      <c r="B57" s="138" t="n">
        <v>7</v>
      </c>
      <c r="C57" s="121" t="inlineStr">
        <is>
          <t>Build a credible downside that still avoids covenant breach</t>
        </is>
      </c>
      <c r="D57" s="121" t="inlineStr">
        <is>
          <t>Set Scenario to Downside and adjust downside assumptions only (01_CONTROL!F39:F44).</t>
        </is>
      </c>
      <c r="E57" s="121" t="inlineStr">
        <is>
          <t>Do not 'fix' by raising exit multiple.</t>
        </is>
      </c>
      <c r="F57" s="138">
        <f>IF(AND($D$31="Downside",$D$27&gt;=0,$D$26&gt;=0),"PASS","FAIL")</f>
        <v/>
      </c>
      <c r="G57" s="121" t="inlineStr">
        <is>
          <t>Downside should be realistic and still show survival if leverage is appropriate.</t>
        </is>
      </c>
    </row>
    <row r="58" ht="60" customHeight="1">
      <c r="B58" s="138" t="n">
        <v>8</v>
      </c>
      <c r="C58" s="121" t="inlineStr">
        <is>
          <t>Force a covenant breach then fix it using two levers</t>
        </is>
      </c>
      <c r="D58" s="121" t="inlineStr">
        <is>
          <t>Step 1: create breach (lower margin, higher rates). Step 2: fix using two realistic levers (lower leverage, better WC, capex discipline).</t>
        </is>
      </c>
      <c r="E58" s="121" t="inlineStr">
        <is>
          <t>Do not hardcode outputs or change model formulas.</t>
        </is>
      </c>
      <c r="F58" s="138">
        <f>IF(AND($C$36=TRUE,$C$37=TRUE,$D$27&gt;=0),"PASS","FAIL")</f>
        <v/>
      </c>
      <c r="G58" s="121" t="inlineStr">
        <is>
          <t>Trains diagnose-and-fix workflow: identify what breaks first and apply credible levers.</t>
        </is>
      </c>
    </row>
    <row r="59" ht="60" customHeight="1">
      <c r="B59" s="138" t="n">
        <v>9</v>
      </c>
      <c r="C59" s="121" t="inlineStr">
        <is>
          <t>Improve deleveraging speed without changing revenue growth</t>
        </is>
      </c>
      <c r="D59" s="121" t="inlineStr">
        <is>
          <t>Keep active revenue growth unchanged. Improve FCF conversion (margin/capex/WC/sweep) to reduce Year 3 net leverage by 0.5x.</t>
        </is>
      </c>
      <c r="E59" s="121" t="inlineStr">
        <is>
          <t>Do not change revenue growth, entry multiple, exit multiple.</t>
        </is>
      </c>
      <c r="F59" s="138">
        <f>IF(AND($D$33&lt;=$C$33-0.5,$D$32=$C$32),"PASS","FAIL")</f>
        <v/>
      </c>
      <c r="G59" s="121" t="inlineStr">
        <is>
          <t>With growth fixed, deleveraging comes from better conversion and cash discipline.</t>
        </is>
      </c>
    </row>
    <row r="60" ht="60" customHeight="1">
      <c r="B60" s="138" t="n">
        <v>10</v>
      </c>
      <c r="C60" s="121" t="inlineStr">
        <is>
          <t>Quantify exit multiple dominance and defend a range</t>
        </is>
      </c>
      <c r="D60" s="121" t="inlineStr">
        <is>
          <t>Use sensitivity pack and record IRR at two exit multiples.</t>
        </is>
      </c>
      <c r="E60" s="121" t="inlineStr">
        <is>
          <t>Do not change operating assumptions while testing.</t>
        </is>
      </c>
      <c r="F60" s="138">
        <f>IF(AND($C$38&lt;&gt;"",$C$39&lt;&gt;"",ABS($C$39-$C$38)&gt;=0.05),"PASS","FAIL")</f>
        <v/>
      </c>
      <c r="G60" s="121" t="inlineStr">
        <is>
          <t>Shows how much return is driven by multiple. IC expects a defended range with quantified impact.</t>
        </is>
      </c>
    </row>
    <row r="61" ht="60" customHeight="1">
      <c r="B61" s="138" t="n">
        <v>11</v>
      </c>
      <c r="C61" s="121" t="inlineStr">
        <is>
          <t>Definition mismatch drill (NWC method) and checks</t>
        </is>
      </c>
      <c r="D61" s="121" t="inlineStr">
        <is>
          <t>Switch NWC method (01_CONTROL!D43/E43/F43) and validate checks remain PASS and logic holds.</t>
        </is>
      </c>
      <c r="E61" s="121" t="inlineStr">
        <is>
          <t>No hardcodes; do not bypass checks.</t>
        </is>
      </c>
      <c r="F61" s="138">
        <f>'90_CHECKS'!$C$22</f>
        <v/>
      </c>
      <c r="G61" s="121" t="inlineStr">
        <is>
          <t>This trains definition awareness and reliance on checks for model integrity.</t>
        </is>
      </c>
    </row>
    <row r="62" ht="60" customHeight="1">
      <c r="B62" s="138" t="n">
        <v>12</v>
      </c>
      <c r="C62" s="121" t="inlineStr">
        <is>
          <t>Value creation bridge in 6 bullets (speed drill)</t>
        </is>
      </c>
      <c r="D62" s="121" t="inlineStr">
        <is>
          <t>Use 86_LBO_SPECIAL_MODULE return decomposition and fill bullets.</t>
        </is>
      </c>
      <c r="E62" s="121" t="inlineStr">
        <is>
          <t>No model input changes required.</t>
        </is>
      </c>
      <c r="F62" s="138">
        <f>IF(COUNTA($C$40:$C$45)=6,"PASS","FAIL")</f>
        <v/>
      </c>
      <c r="G62" s="121" t="inlineStr">
        <is>
          <t>Trains IC storytelling: EBITDA growth, multiple, deleveraging, plus risks and sensitivities.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51"/>
  <sheetViews>
    <sheetView showGridLines="0" workbookViewId="0">
      <pane xSplit="4" ySplit="9" topLeftCell="E10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16" customWidth="1" min="2" max="2"/>
    <col width="28" customWidth="1" min="3" max="3"/>
    <col width="28" customWidth="1" min="4" max="4"/>
    <col width="24" customWidth="1" min="5" max="5"/>
    <col width="24" customWidth="1" min="6" max="6"/>
    <col width="28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 ht="15" customHeight="1"/>
    <row r="2" ht="15" customHeight="1">
      <c r="B2" s="115" t="inlineStr">
        <is>
          <t>CHECKS:</t>
        </is>
      </c>
      <c r="C2" s="116">
        <f>HYPERLINK("#'90_CHECKS'!B6",'90_CHECKS'!$C$22)</f>
        <v/>
      </c>
      <c r="D2" s="116">
        <f>HYPERLINK("#'80_LBO_LEARN_MAP'!B8","LEARN MAP")</f>
        <v/>
      </c>
      <c r="E2" s="116">
        <f>HYPERLINK("#'00_DASHBOARD'!B3","DASHBOARD")</f>
        <v/>
      </c>
    </row>
    <row r="3" ht="15" customHeight="1"/>
    <row r="4"/>
    <row r="5"/>
    <row r="6" ht="18" customHeight="1">
      <c r="B6" s="104" t="inlineStr">
        <is>
          <t>85_LBO_LEARN_MISTAKES | Mistake library (25) + training mode (simulated)</t>
        </is>
      </c>
      <c r="C6" s="104" t="n"/>
      <c r="D6" s="104" t="n"/>
      <c r="E6" s="104" t="n"/>
      <c r="F6" s="104" t="n"/>
      <c r="G6" s="104" t="n"/>
      <c r="H6" s="104" t="n"/>
      <c r="I6" s="104" t="n"/>
      <c r="J6" s="104" t="n"/>
      <c r="K6" s="104" t="n"/>
      <c r="L6" s="104" t="n"/>
    </row>
    <row r="7"/>
    <row r="8" ht="35" customHeight="1">
      <c r="B8" s="117" t="inlineStr">
        <is>
          <t>Purpose: Common mistakes that break LBO models, grouped by category. Training mode is simulated to avoid altering core outputs.</t>
        </is>
      </c>
    </row>
    <row r="9"/>
    <row r="10" ht="18" customHeight="1">
      <c r="B10" s="104" t="inlineStr">
        <is>
          <t>Mistake library (25 common issues)</t>
        </is>
      </c>
      <c r="C10" s="104" t="n"/>
      <c r="D10" s="104" t="n"/>
      <c r="E10" s="104" t="n"/>
      <c r="F10" s="104" t="n"/>
      <c r="G10" s="104" t="n"/>
      <c r="H10" s="104" t="n"/>
      <c r="I10" s="104" t="n"/>
      <c r="J10" s="104" t="n"/>
      <c r="K10" s="104" t="n"/>
      <c r="L10" s="104" t="n"/>
    </row>
    <row r="11"/>
    <row r="12" ht="18" customHeight="1">
      <c r="B12" s="118" t="inlineStr">
        <is>
          <t>Category</t>
        </is>
      </c>
      <c r="C12" s="118" t="inlineStr">
        <is>
          <t>Mistake</t>
        </is>
      </c>
      <c r="D12" s="118" t="inlineStr">
        <is>
          <t>What you see</t>
        </is>
      </c>
      <c r="E12" s="118" t="inlineStr">
        <is>
          <t>Root cause</t>
        </is>
      </c>
      <c r="F12" s="118" t="inlineStr">
        <is>
          <t>Quick fix</t>
        </is>
      </c>
      <c r="G12" s="118" t="inlineStr">
        <is>
          <t>Where to validate (cell/check)</t>
        </is>
      </c>
    </row>
    <row r="13" ht="38" customHeight="1">
      <c r="B13" s="121" t="inlineStr">
        <is>
          <t>Mechanics</t>
        </is>
      </c>
      <c r="C13" s="121" t="inlineStr">
        <is>
          <t>Sign convention flipped on capex or ΔNWC</t>
        </is>
      </c>
      <c r="D13" s="121" t="inlineStr">
        <is>
          <t>FCF increases when capex increases</t>
        </is>
      </c>
      <c r="E13" s="121" t="inlineStr">
        <is>
          <t>Wrong sign in cash flow lines</t>
        </is>
      </c>
      <c r="F13" s="121" t="inlineStr">
        <is>
          <t>Check capex and ΔNWC signs in 04/07; investment uses cash</t>
        </is>
      </c>
      <c r="G13" s="121" t="inlineStr">
        <is>
          <t>07_CASH_FLOW_WATERFALL!F17 and 04_OPERATING_MODEL!F32/F36</t>
        </is>
      </c>
    </row>
    <row r="14" ht="38" customHeight="1">
      <c r="B14" s="121" t="inlineStr">
        <is>
          <t>Mechanics</t>
        </is>
      </c>
      <c r="C14" s="121" t="inlineStr">
        <is>
          <t>Sources and Uses does not tie</t>
        </is>
      </c>
      <c r="D14" s="121" t="inlineStr">
        <is>
          <t>Equity check wrong; returns nonsense</t>
        </is>
      </c>
      <c r="E14" s="121" t="inlineStr">
        <is>
          <t>Missing fee or incorrect total</t>
        </is>
      </c>
      <c r="F14" s="121" t="inlineStr">
        <is>
          <t>Fix S&amp;U totals and confirm tie line equals 0</t>
        </is>
      </c>
      <c r="G14" s="121" t="inlineStr">
        <is>
          <t>05_SOURCES_AND_USES!D44 and 90_CHECKS Sources=Uses</t>
        </is>
      </c>
    </row>
    <row r="15" ht="38" customHeight="1">
      <c r="B15" s="121" t="inlineStr">
        <is>
          <t>Mechanics</t>
        </is>
      </c>
      <c r="C15" s="121" t="inlineStr">
        <is>
          <t>Hold period off-by-one</t>
        </is>
      </c>
      <c r="D15" s="121" t="inlineStr">
        <is>
          <t>Exit cash flow in wrong year</t>
        </is>
      </c>
      <c r="E15" s="121" t="inlineStr">
        <is>
          <t>Hold_Col misaligned to Hold_Y</t>
        </is>
      </c>
      <c r="F15" s="121" t="inlineStr">
        <is>
          <t>Verify Hold_Col = Hold_Y+1 and exit indexes</t>
        </is>
      </c>
      <c r="G15" s="121" t="inlineStr">
        <is>
          <t>01_CONTROL!G14 and 09_RETURNS!D20</t>
        </is>
      </c>
    </row>
    <row r="16" ht="38" customHeight="1">
      <c r="B16" s="121" t="inlineStr">
        <is>
          <t>Mechanics</t>
        </is>
      </c>
      <c r="C16" s="121" t="inlineStr">
        <is>
          <t>Hardcoded number inside formula area</t>
        </is>
      </c>
      <c r="D16" s="121" t="inlineStr">
        <is>
          <t>Hidden assumption</t>
        </is>
      </c>
      <c r="E16" s="121" t="inlineStr">
        <is>
          <t>Manual overwrite of calc cell</t>
        </is>
      </c>
      <c r="F16" s="121" t="inlineStr">
        <is>
          <t>Move to blue input and reference</t>
        </is>
      </c>
      <c r="G16" s="121" t="inlineStr">
        <is>
          <t>Scan for blue fonts and use 90_CHECKS trace discipline</t>
        </is>
      </c>
    </row>
    <row r="17" ht="38" customHeight="1">
      <c r="B17" s="121" t="inlineStr">
        <is>
          <t>Operating model</t>
        </is>
      </c>
      <c r="C17" s="121" t="inlineStr">
        <is>
          <t>Revenue growth applied to wrong base year</t>
        </is>
      </c>
      <c r="D17" s="121" t="inlineStr">
        <is>
          <t>Growth not compounding correctly</t>
        </is>
      </c>
      <c r="E17" s="121" t="inlineStr">
        <is>
          <t>Wrong reference in revenue forecast</t>
        </is>
      </c>
      <c r="F17" s="121" t="inlineStr">
        <is>
          <t>Check 03 revenue forecast uses prior-year revenue</t>
        </is>
      </c>
      <c r="G17" s="121" t="inlineStr">
        <is>
          <t>03_DRIVERS_AND_FORECAST!F12</t>
        </is>
      </c>
    </row>
    <row r="18" ht="38" customHeight="1">
      <c r="B18" s="121" t="inlineStr">
        <is>
          <t>Operating model</t>
        </is>
      </c>
      <c r="C18" s="121" t="inlineStr">
        <is>
          <t>Margin ramp mis-specified</t>
        </is>
      </c>
      <c r="D18" s="121" t="inlineStr">
        <is>
          <t>Margins jump unrealistically</t>
        </is>
      </c>
      <c r="E18" s="121" t="inlineStr">
        <is>
          <t>Ramp logic or years wrong</t>
        </is>
      </c>
      <c r="F18" s="121" t="inlineStr">
        <is>
          <t>Check margin ramp years and target margin</t>
        </is>
      </c>
      <c r="G18" s="121" t="inlineStr">
        <is>
          <t>03_DRIVERS_AND_FORECAST!F15 and 01_CONTROL!D27</t>
        </is>
      </c>
    </row>
    <row r="19" ht="38" customHeight="1">
      <c r="B19" s="121" t="inlineStr">
        <is>
          <t>Operating model</t>
        </is>
      </c>
      <c r="C19" s="121" t="inlineStr">
        <is>
          <t>ΔNWC sign error</t>
        </is>
      </c>
      <c r="D19" s="121" t="inlineStr">
        <is>
          <t>WC investment increases cash</t>
        </is>
      </c>
      <c r="E19" s="121" t="inlineStr">
        <is>
          <t>Sign reversed</t>
        </is>
      </c>
      <c r="F19" s="121" t="inlineStr">
        <is>
          <t>Ensure ΔNWC is a cash outflow when WC increases</t>
        </is>
      </c>
      <c r="G19" s="121" t="inlineStr">
        <is>
          <t>04_OPERATING_MODEL!F32 and 07_WATERFALL!F16</t>
        </is>
      </c>
    </row>
    <row r="20" ht="38" customHeight="1">
      <c r="B20" s="121" t="inlineStr">
        <is>
          <t>Operating model</t>
        </is>
      </c>
      <c r="C20" s="121" t="inlineStr">
        <is>
          <t>Capex unrealistic vs D&amp;A</t>
        </is>
      </c>
      <c r="D20" s="121" t="inlineStr">
        <is>
          <t>FCF inflated</t>
        </is>
      </c>
      <c r="E20" s="121" t="inlineStr">
        <is>
          <t>Capex % too low</t>
        </is>
      </c>
      <c r="F20" s="121" t="inlineStr">
        <is>
          <t>Stress capex and sanity vs D&amp;A</t>
        </is>
      </c>
      <c r="G20" s="121" t="inlineStr">
        <is>
          <t>01_CONTROL row 41 and 04_OPERATING_MODEL capex/D&amp;A lines</t>
        </is>
      </c>
    </row>
    <row r="21" ht="38" customHeight="1">
      <c r="B21" s="121" t="inlineStr">
        <is>
          <t>Debt schedules</t>
        </is>
      </c>
      <c r="C21" s="121" t="inlineStr">
        <is>
          <t>Debt roll-forward doesn't tie</t>
        </is>
      </c>
      <c r="D21" s="121" t="inlineStr">
        <is>
          <t>Ending balances jump/negative</t>
        </is>
      </c>
      <c r="E21" s="121" t="inlineStr">
        <is>
          <t>Missing draw/repay or sweep line</t>
        </is>
      </c>
      <c r="F21" s="121" t="inlineStr">
        <is>
          <t>Check open+draws-mandatory-optional=close</t>
        </is>
      </c>
      <c r="G21" s="121" t="inlineStr">
        <is>
          <t>06_DEBT_SCHEDULES tranche blocks</t>
        </is>
      </c>
    </row>
    <row r="22" ht="38" customHeight="1">
      <c r="B22" s="121" t="inlineStr">
        <is>
          <t>Debt schedules</t>
        </is>
      </c>
      <c r="C22" s="121" t="inlineStr">
        <is>
          <t>Revolver breaches limit</t>
        </is>
      </c>
      <c r="D22" s="121" t="inlineStr">
        <is>
          <t>Liquidity misleading</t>
        </is>
      </c>
      <c r="E22" s="121" t="inlineStr">
        <is>
          <t>Draw not capped by limit</t>
        </is>
      </c>
      <c r="F22" s="121" t="inlineStr">
        <is>
          <t>Cap draw and repay appropriately</t>
        </is>
      </c>
      <c r="G22" s="121" t="inlineStr">
        <is>
          <t>07_WATERFALL!F30 and 90_CHECKS revolver check</t>
        </is>
      </c>
    </row>
    <row r="23" ht="38" customHeight="1">
      <c r="B23" s="121" t="inlineStr">
        <is>
          <t>Debt schedules</t>
        </is>
      </c>
      <c r="C23" s="121" t="inlineStr">
        <is>
          <t>Sweep order wrong</t>
        </is>
      </c>
      <c r="D23" s="121" t="inlineStr">
        <is>
          <t>Wrong tranche delevers first</t>
        </is>
      </c>
      <c r="E23" s="121" t="inlineStr">
        <is>
          <t>Allocation logic wrong</t>
        </is>
      </c>
      <c r="F23" s="121" t="inlineStr">
        <is>
          <t>Match credit agreement priority</t>
        </is>
      </c>
      <c r="G23" s="121" t="inlineStr">
        <is>
          <t>07_WATERFALL!F33:F36</t>
        </is>
      </c>
    </row>
    <row r="24" ht="38" customHeight="1">
      <c r="B24" s="121" t="inlineStr">
        <is>
          <t>Debt schedules</t>
        </is>
      </c>
      <c r="C24" s="121" t="inlineStr">
        <is>
          <t>Interest calc wrong base</t>
        </is>
      </c>
      <c r="D24" s="121" t="inlineStr">
        <is>
          <t>Interest too low/high</t>
        </is>
      </c>
      <c r="E24" s="121" t="inlineStr">
        <is>
          <t>Using ending balance only</t>
        </is>
      </c>
      <c r="F24" s="121" t="inlineStr">
        <is>
          <t>Use opening or average balance consistently</t>
        </is>
      </c>
      <c r="G24" s="121" t="inlineStr">
        <is>
          <t>06_DEBT_SCHEDULES interest lines (e.g., F36)</t>
        </is>
      </c>
    </row>
    <row r="25" ht="38" customHeight="1">
      <c r="B25" s="121" t="inlineStr">
        <is>
          <t>Circularity</t>
        </is>
      </c>
      <c r="C25" s="121" t="inlineStr">
        <is>
          <t>Cash ↔ interest loop</t>
        </is>
      </c>
      <c r="D25" s="121" t="inlineStr">
        <is>
          <t>Model unstable</t>
        </is>
      </c>
      <c r="E25" s="121" t="inlineStr">
        <is>
          <t>Circular refs between cash and interest</t>
        </is>
      </c>
      <c r="F25" s="121" t="inlineStr">
        <is>
          <t>Use non-circular waterfall structure</t>
        </is>
      </c>
      <c r="G25" s="121" t="inlineStr">
        <is>
          <t>90_CHECKS and Excel circular reference indicator</t>
        </is>
      </c>
    </row>
    <row r="26" ht="38" customHeight="1">
      <c r="B26" s="121" t="inlineStr">
        <is>
          <t>Circularity</t>
        </is>
      </c>
      <c r="C26" s="121" t="inlineStr">
        <is>
          <t>Volatile functions everywhere</t>
        </is>
      </c>
      <c r="D26" s="121" t="inlineStr">
        <is>
          <t>Slow model, inconsistent outputs</t>
        </is>
      </c>
      <c r="E26" s="121" t="inlineStr">
        <is>
          <t>OFFSET/INDIRECT overuse</t>
        </is>
      </c>
      <c r="F26" s="121" t="inlineStr">
        <is>
          <t>Prefer INDEX and fixed ranges where possible</t>
        </is>
      </c>
      <c r="G26" s="121" t="inlineStr">
        <is>
          <t>Review 09_RETURNS and learning tabs</t>
        </is>
      </c>
    </row>
    <row r="27" ht="38" customHeight="1">
      <c r="B27" s="121" t="inlineStr">
        <is>
          <t>Circularity</t>
        </is>
      </c>
      <c r="C27" s="121" t="inlineStr">
        <is>
          <t>Scenario logic duplicated</t>
        </is>
      </c>
      <c r="D27" s="121" t="inlineStr">
        <is>
          <t>Hard to audit scenario deltas</t>
        </is>
      </c>
      <c r="E27" s="121" t="inlineStr">
        <is>
          <t>Scenario selection in multiple places</t>
        </is>
      </c>
      <c r="F27" s="121" t="inlineStr">
        <is>
          <t>Centralize in 01_CONTROL only</t>
        </is>
      </c>
      <c r="G27" s="121" t="inlineStr">
        <is>
          <t>01_CONTROL scenario block</t>
        </is>
      </c>
    </row>
    <row r="28" ht="38" customHeight="1">
      <c r="B28" s="121" t="inlineStr">
        <is>
          <t>Circularity</t>
        </is>
      </c>
      <c r="C28" s="121" t="inlineStr">
        <is>
          <t>External link creep</t>
        </is>
      </c>
      <c r="D28" s="121" t="inlineStr">
        <is>
          <t>Unexpected red links</t>
        </is>
      </c>
      <c r="E28" s="121" t="inlineStr">
        <is>
          <t>Copy-paste from other files</t>
        </is>
      </c>
      <c r="F28" s="121" t="inlineStr">
        <is>
          <t>Remove external links; isolate in appendix</t>
        </is>
      </c>
      <c r="G28" s="121" t="inlineStr">
        <is>
          <t>Excel 'Edit Links' and 99_APPENDIX_DATA</t>
        </is>
      </c>
    </row>
    <row r="29" ht="38" customHeight="1">
      <c r="B29" s="121" t="inlineStr">
        <is>
          <t>Exit &amp; returns</t>
        </is>
      </c>
      <c r="C29" s="121" t="inlineStr">
        <is>
          <t>EV-to-equity sign error</t>
        </is>
      </c>
      <c r="D29" s="121" t="inlineStr">
        <is>
          <t>Equity rises when debt rises</t>
        </is>
      </c>
      <c r="E29" s="121" t="inlineStr">
        <is>
          <t>Debt/cash sign flipped</t>
        </is>
      </c>
      <c r="F29" s="121" t="inlineStr">
        <is>
          <t>Equity = EV - debt + cash - fees</t>
        </is>
      </c>
      <c r="G29" s="121" t="inlineStr">
        <is>
          <t>08_EXIT_AND_EQUITY_BRIDGE!D27</t>
        </is>
      </c>
    </row>
    <row r="30" ht="38" customHeight="1">
      <c r="B30" s="121" t="inlineStr">
        <is>
          <t>Exit &amp; returns</t>
        </is>
      </c>
      <c r="C30" s="121" t="inlineStr">
        <is>
          <t>IRR range includes wrong columns</t>
        </is>
      </c>
      <c r="D30" s="121" t="inlineStr">
        <is>
          <t>IRR changes with blank years</t>
        </is>
      </c>
      <c r="E30" s="121" t="inlineStr">
        <is>
          <t>Range not limited to hold period</t>
        </is>
      </c>
      <c r="F30" s="121" t="inlineStr">
        <is>
          <t>Use Hold_Col to include only 0..exit</t>
        </is>
      </c>
      <c r="G30" s="121" t="inlineStr">
        <is>
          <t>09_RETURNS!D20</t>
        </is>
      </c>
    </row>
    <row r="31" ht="38" customHeight="1">
      <c r="B31" s="121" t="inlineStr">
        <is>
          <t>Exit &amp; returns</t>
        </is>
      </c>
      <c r="C31" s="121" t="inlineStr">
        <is>
          <t>Net leverage definition mismatch</t>
        </is>
      </c>
      <c r="D31" s="121" t="inlineStr">
        <is>
          <t>Headroom misleading</t>
        </is>
      </c>
      <c r="E31" s="121" t="inlineStr">
        <is>
          <t>Using gross debt or wrong cash</t>
        </is>
      </c>
      <c r="F31" s="121" t="inlineStr">
        <is>
          <t>Align definitions across bridge and covenants</t>
        </is>
      </c>
      <c r="G31" s="121" t="inlineStr">
        <is>
          <t>10_COVENANTS net leverage line</t>
        </is>
      </c>
    </row>
    <row r="32" ht="38" customHeight="1">
      <c r="B32" s="121" t="inlineStr">
        <is>
          <t>Exit &amp; returns</t>
        </is>
      </c>
      <c r="C32" s="121" t="inlineStr">
        <is>
          <t>Proceeds split doesn't tie</t>
        </is>
      </c>
      <c r="D32" s="121" t="inlineStr">
        <is>
          <t>Sponsor+mgmt ≠ total</t>
        </is>
      </c>
      <c r="E32" s="121" t="inlineStr">
        <is>
          <t>Ownership calc wrong</t>
        </is>
      </c>
      <c r="F32" s="121" t="inlineStr">
        <is>
          <t>Ensure sponsor % = sponsor equity / total equity</t>
        </is>
      </c>
      <c r="G32" s="121" t="inlineStr">
        <is>
          <t>08_EXIT_AND_EQUITY_BRIDGE!D34:D36</t>
        </is>
      </c>
    </row>
    <row r="33" ht="38" customHeight="1">
      <c r="B33" s="121" t="inlineStr">
        <is>
          <t>Presentation</t>
        </is>
      </c>
      <c r="C33" s="121" t="inlineStr">
        <is>
          <t>Units inconsistent across tabs</t>
        </is>
      </c>
      <c r="D33" s="121" t="inlineStr">
        <is>
          <t>Multiples/IRR nonsense</t>
        </is>
      </c>
      <c r="E33" s="121" t="inlineStr">
        <is>
          <t>DKK vs DKKm mix</t>
        </is>
      </c>
      <c r="F33" s="121" t="inlineStr">
        <is>
          <t>Confirm units column and number formats</t>
        </is>
      </c>
      <c r="G33" s="121" t="inlineStr">
        <is>
          <t>Col C on core tabs; dashboard labels</t>
        </is>
      </c>
    </row>
    <row r="34" ht="38" customHeight="1">
      <c r="B34" s="121" t="inlineStr">
        <is>
          <t>Presentation</t>
        </is>
      </c>
      <c r="C34" s="121" t="inlineStr">
        <is>
          <t>Blue font used for formulas</t>
        </is>
      </c>
      <c r="D34" s="121" t="inlineStr">
        <is>
          <t>Looks like input but isn't</t>
        </is>
      </c>
      <c r="E34" s="121" t="inlineStr">
        <is>
          <t>Style error</t>
        </is>
      </c>
      <c r="F34" s="121" t="inlineStr">
        <is>
          <t>Blue only for hardcodes; green for links; black for formulas</t>
        </is>
      </c>
      <c r="G34" s="121" t="inlineStr">
        <is>
          <t>House style check during review</t>
        </is>
      </c>
    </row>
    <row r="35" ht="38" customHeight="1">
      <c r="B35" s="121" t="inlineStr">
        <is>
          <t>Presentation</t>
        </is>
      </c>
      <c r="C35" s="121" t="inlineStr">
        <is>
          <t>Dashboard numbers hardcoded</t>
        </is>
      </c>
      <c r="D35" s="121" t="inlineStr">
        <is>
          <t>No audit path</t>
        </is>
      </c>
      <c r="E35" s="121" t="inlineStr">
        <is>
          <t>Manual override of tile</t>
        </is>
      </c>
      <c r="F35" s="121" t="inlineStr">
        <is>
          <t>Tiles must link to calc lines</t>
        </is>
      </c>
      <c r="G35" s="121" t="inlineStr">
        <is>
          <t>80_LBO_LEARN_MAP + dashboard trace discipline</t>
        </is>
      </c>
    </row>
    <row r="36" ht="38" customHeight="1">
      <c r="B36" s="121" t="inlineStr">
        <is>
          <t>Presentation</t>
        </is>
      </c>
      <c r="C36" s="121" t="inlineStr">
        <is>
          <t>Too much text in core tabs</t>
        </is>
      </c>
      <c r="D36" s="121" t="inlineStr">
        <is>
          <t>Hard to review fast</t>
        </is>
      </c>
      <c r="E36" s="121" t="inlineStr">
        <is>
          <t>Narrative mixed into calc blocks</t>
        </is>
      </c>
      <c r="F36" s="121" t="inlineStr">
        <is>
          <t>Keep learning content in 80-86 tabs</t>
        </is>
      </c>
      <c r="G36" s="121" t="inlineStr">
        <is>
          <t>Learning layer tabs only</t>
        </is>
      </c>
    </row>
    <row r="37" ht="38" customHeight="1">
      <c r="B37" s="121" t="inlineStr">
        <is>
          <t>Mechanics</t>
        </is>
      </c>
      <c r="C37" s="121" t="inlineStr">
        <is>
          <t>Zeros not displayed consistently</t>
        </is>
      </c>
      <c r="D37" s="121" t="inlineStr">
        <is>
          <t>Cluttered output tables</t>
        </is>
      </c>
      <c r="E37" s="121" t="inlineStr">
        <is>
          <t>No consistent zero format</t>
        </is>
      </c>
      <c r="F37" s="121" t="inlineStr">
        <is>
          <t>Use '-' for zeros in outputs where appropriate</t>
        </is>
      </c>
      <c r="G37" s="121" t="inlineStr">
        <is>
          <t>Formatting review on outputs</t>
        </is>
      </c>
    </row>
    <row r="38"/>
    <row r="39"/>
    <row r="40" ht="18" customHeight="1">
      <c r="B40" s="104" t="inlineStr">
        <is>
          <t>Optional TRAINING_MODE (simulated issues list + answer key)</t>
        </is>
      </c>
      <c r="C40" s="104" t="n"/>
      <c r="D40" s="104" t="n"/>
      <c r="E40" s="104" t="n"/>
      <c r="F40" s="104" t="n"/>
      <c r="G40" s="104" t="n"/>
      <c r="H40" s="104" t="n"/>
      <c r="I40" s="104" t="n"/>
      <c r="J40" s="104" t="n"/>
      <c r="K40" s="104" t="n"/>
      <c r="L40" s="104" t="n"/>
    </row>
    <row r="41"/>
    <row r="42">
      <c r="B42" s="150" t="inlineStr">
        <is>
          <t>TRAINING_MODE status (01_CONTROL!G12):</t>
        </is>
      </c>
      <c r="C42" s="112">
        <f>TRAINING_MODE</f>
        <v/>
      </c>
    </row>
    <row r="43"/>
    <row r="44" ht="24" customHeight="1">
      <c r="B44" s="150" t="inlineStr">
        <is>
          <t>If TRAINING_MODE = ON: use this simulated list (do not break core model). Identify which check would catch it and where.</t>
        </is>
      </c>
    </row>
    <row r="45"/>
    <row r="46" ht="18" customHeight="1">
      <c r="B46" s="118" t="inlineStr">
        <is>
          <t>Simulated issue</t>
        </is>
      </c>
      <c r="C46" s="118" t="inlineStr">
        <is>
          <t>What it looks like</t>
        </is>
      </c>
      <c r="D46" s="118" t="inlineStr">
        <is>
          <t>Answer key (what check should catch it)</t>
        </is>
      </c>
    </row>
    <row r="47" ht="34" customHeight="1">
      <c r="B47" s="121" t="inlineStr">
        <is>
          <t>Hardcode in calc cell</t>
        </is>
      </c>
      <c r="C47" s="121" t="inlineStr">
        <is>
          <t>EBITDA overwritten as a number</t>
        </is>
      </c>
      <c r="D47" s="121" t="inlineStr">
        <is>
          <t>Should be caught by review: blue font policy violated; reconcile to 03_DRIVERS and 04_OPERATING.</t>
        </is>
      </c>
    </row>
    <row r="48" ht="34" customHeight="1">
      <c r="B48" s="121" t="inlineStr">
        <is>
          <t>Debt roll-forward mismatch</t>
        </is>
      </c>
      <c r="C48" s="121" t="inlineStr">
        <is>
          <t>Optional sweep not linked</t>
        </is>
      </c>
      <c r="D48" s="121" t="inlineStr">
        <is>
          <t>Should show debt roll-forward / cash bridge mismatch and FAIL in checks.</t>
        </is>
      </c>
    </row>
    <row r="49" ht="34" customHeight="1">
      <c r="B49" s="121" t="inlineStr">
        <is>
          <t>Sweep exceeds cash</t>
        </is>
      </c>
      <c r="C49" s="121" t="inlineStr">
        <is>
          <t>Sweep allocation not capped</t>
        </is>
      </c>
      <c r="D49" s="121" t="inlineStr">
        <is>
          <t>Cash bridge check becomes non-zero (07!F42) and 90_CHECKS should flag.</t>
        </is>
      </c>
    </row>
    <row r="50" ht="34" customHeight="1">
      <c r="B50" s="121" t="inlineStr">
        <is>
          <t>Exit bridge sign error</t>
        </is>
      </c>
      <c r="C50" s="121" t="inlineStr">
        <is>
          <t>Cash subtracted instead of added</t>
        </is>
      </c>
      <c r="D50" s="121" t="inlineStr">
        <is>
          <t>Exit equity proceeds no longer equals EV-to-equity bridge; tie-out fails.</t>
        </is>
      </c>
    </row>
    <row r="51" ht="34" customHeight="1">
      <c r="B51" s="121" t="inlineStr">
        <is>
          <t>Broken link placeholder</t>
        </is>
      </c>
      <c r="C51" s="121" t="inlineStr">
        <is>
          <t>Key tile #REF!</t>
        </is>
      </c>
      <c r="D51" s="121" t="inlineStr">
        <is>
          <t>Dashboard trace fails; checks should show FAIL.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63"/>
  <sheetViews>
    <sheetView showGridLines="0" workbookViewId="0">
      <pane xSplit="4" ySplit="9" topLeftCell="E10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22" customWidth="1" min="3" max="3"/>
    <col width="22" customWidth="1" min="4" max="4"/>
    <col width="44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 ht="15" customHeight="1"/>
    <row r="2" ht="15" customHeight="1">
      <c r="B2" s="115" t="inlineStr">
        <is>
          <t>CHECKS:</t>
        </is>
      </c>
      <c r="C2" s="116">
        <f>HYPERLINK("#'90_CHECKS'!B6",'90_CHECKS'!$C$22)</f>
        <v/>
      </c>
      <c r="D2" s="116">
        <f>HYPERLINK("#'80_LBO_LEARN_MAP'!B8","LEARN MAP")</f>
        <v/>
      </c>
      <c r="E2" s="116">
        <f>HYPERLINK("#'00_DASHBOARD'!B3","DASHBOARD")</f>
        <v/>
      </c>
    </row>
    <row r="3" ht="15" customHeight="1"/>
    <row r="4"/>
    <row r="5"/>
    <row r="6" ht="18" customHeight="1">
      <c r="B6" s="104" t="inlineStr">
        <is>
          <t>86_LBO_SPECIAL_MODULE | Return decomposition + waterfall explainer + covenant lab</t>
        </is>
      </c>
      <c r="C6" s="104" t="n"/>
      <c r="D6" s="104" t="n"/>
      <c r="E6" s="104" t="n"/>
      <c r="F6" s="104" t="n"/>
      <c r="G6" s="104" t="n"/>
      <c r="H6" s="104" t="n"/>
      <c r="I6" s="104" t="n"/>
      <c r="J6" s="104" t="n"/>
      <c r="K6" s="104" t="n"/>
      <c r="L6" s="104" t="n"/>
    </row>
    <row r="7"/>
    <row r="8" ht="40" customHeight="1">
      <c r="B8" s="117" t="inlineStr">
        <is>
          <t>This tab contains three LBO-specific mini-modules used in IC prep: (1) value creation attribution, (2) debt waterfall explainer, (3) downside protection and covenant lab.</t>
        </is>
      </c>
    </row>
    <row r="9"/>
    <row r="10" ht="18" customHeight="1">
      <c r="B10" s="104" t="inlineStr">
        <is>
          <t>1) Return decomposition bridge (Value creation attribution)</t>
        </is>
      </c>
      <c r="C10" s="104" t="n"/>
      <c r="D10" s="104" t="n"/>
      <c r="E10" s="104" t="n"/>
      <c r="F10" s="104" t="n"/>
      <c r="G10" s="104" t="n"/>
      <c r="H10" s="104" t="n"/>
      <c r="I10" s="104" t="n"/>
      <c r="J10" s="104" t="n"/>
      <c r="K10" s="104" t="n"/>
      <c r="L10" s="104" t="n"/>
    </row>
    <row r="11"/>
    <row r="12" ht="18" customHeight="1">
      <c r="B12" s="118" t="inlineStr">
        <is>
          <t>Driver</t>
        </is>
      </c>
      <c r="C12" s="118" t="inlineStr">
        <is>
          <t>Value (DKKm)</t>
        </is>
      </c>
      <c r="D12" s="118" t="inlineStr">
        <is>
          <t>Link / source</t>
        </is>
      </c>
    </row>
    <row r="13" ht="28" customHeight="1">
      <c r="B13" s="121" t="inlineStr">
        <is>
          <t>Entry EBITDA (LTM)</t>
        </is>
      </c>
      <c r="C13" s="154">
        <f>'01_CONTROL'!$D$32</f>
        <v/>
      </c>
      <c r="D13" s="121">
        <f>HYPERLINK("#'01_CONTROL'!D32","01_CONTROL!D32")</f>
        <v/>
      </c>
    </row>
    <row r="14" ht="28" customHeight="1">
      <c r="B14" s="121" t="inlineStr">
        <is>
          <t>Exit EBITDA (selected exit year)</t>
        </is>
      </c>
      <c r="C14" s="154">
        <f>'08_EXIT_AND_EQUITY_BRIDGE'!$D$15</f>
        <v/>
      </c>
      <c r="D14" s="121">
        <f>HYPERLINK("#'08_EXIT_AND_EQUITY_BRIDGE'!D15","08_EXIT_AND_EQUITY_BRIDGE!D15")</f>
        <v/>
      </c>
    </row>
    <row r="15" ht="28" customHeight="1">
      <c r="B15" s="121" t="inlineStr">
        <is>
          <t>Entry multiple (x)</t>
        </is>
      </c>
      <c r="C15" s="126">
        <f>'01_CONTROL'!$D$16</f>
        <v/>
      </c>
      <c r="D15" s="121">
        <f>HYPERLINK("#'01_CONTROL'!D16","01_CONTROL!D16")</f>
        <v/>
      </c>
    </row>
    <row r="16" ht="28" customHeight="1">
      <c r="B16" s="121" t="inlineStr">
        <is>
          <t>Exit multiple (x)</t>
        </is>
      </c>
      <c r="C16" s="126">
        <f>'01_CONTROL'!$D$18</f>
        <v/>
      </c>
      <c r="D16" s="121">
        <f>HYPERLINK("#'01_CONTROL'!D18","01_CONTROL!D18")</f>
        <v/>
      </c>
    </row>
    <row r="17" ht="28" customHeight="1">
      <c r="B17" s="121" t="inlineStr">
        <is>
          <t>Entry EV</t>
        </is>
      </c>
      <c r="C17" s="154">
        <f>'05_SOURCES_AND_USES'!$D$16</f>
        <v/>
      </c>
      <c r="D17" s="121">
        <f>HYPERLINK("#'05_SOURCES_AND_USES'!D16","05_SOURCES_AND_USES!D16")</f>
        <v/>
      </c>
    </row>
    <row r="18" ht="28" customHeight="1">
      <c r="B18" s="121" t="inlineStr">
        <is>
          <t>Exit EV</t>
        </is>
      </c>
      <c r="C18" s="154">
        <f>'08_EXIT_AND_EQUITY_BRIDGE'!$D$23</f>
        <v/>
      </c>
      <c r="D18" s="121">
        <f>HYPERLINK("#'08_EXIT_AND_EQUITY_BRIDGE'!D23","08_EXIT_AND_EQUITY_BRIDGE!D23")</f>
        <v/>
      </c>
    </row>
    <row r="19" ht="28" customHeight="1">
      <c r="B19" s="121" t="inlineStr">
        <is>
          <t>Entry net debt (debt - cash at close)</t>
        </is>
      </c>
      <c r="C19" s="154">
        <f>'05_SOURCES_AND_USES'!$D$37-'07_CASH_FLOW_WATERFALL'!$E$41</f>
        <v/>
      </c>
      <c r="D19" s="121" t="inlineStr">
        <is>
          <t>Debt: =HYPERLINK("#'05_SOURCES_AND_USES'!D37","05_SOURCES_AND_USES!D37") | Cash: =HYPERLINK("#'07_CASH_FLOW_WATERFALL'!E41","07_CASH_FLOW_WATERFALL!E41")</t>
        </is>
      </c>
    </row>
    <row r="20" ht="28" customHeight="1">
      <c r="B20" s="121" t="inlineStr">
        <is>
          <t>Exit net debt (debt - cash at exit)</t>
        </is>
      </c>
      <c r="C20" s="154">
        <f>'08_EXIT_AND_EQUITY_BRIDGE'!$D$24-'08_EXIT_AND_EQUITY_BRIDGE'!$D$25</f>
        <v/>
      </c>
      <c r="D20" s="121">
        <f>HYPERLINK("#'08_EXIT_AND_EQUITY_BRIDGE'!D24","08_EXIT_AND_EQUITY_BRIDGE!D24") / =HYPERLINK("#'08_EXIT_AND_EQUITY_BRIDGE'!D25","08_EXIT_AND_EQUITY_BRIDGE!D25")</f>
        <v/>
      </c>
    </row>
    <row r="21" ht="28" customHeight="1">
      <c r="B21" s="121" t="inlineStr">
        <is>
          <t>Total equity invested</t>
        </is>
      </c>
      <c r="C21" s="154">
        <f>'05_SOURCES_AND_USES'!$D$40</f>
        <v/>
      </c>
      <c r="D21" s="121">
        <f>HYPERLINK("#'05_SOURCES_AND_USES'!D40","05_SOURCES_AND_USES!D40")</f>
        <v/>
      </c>
    </row>
    <row r="22" ht="28" customHeight="1">
      <c r="B22" s="121" t="inlineStr">
        <is>
          <t>Total equity proceeds (exit)</t>
        </is>
      </c>
      <c r="C22" s="154">
        <f>'08_EXIT_AND_EQUITY_BRIDGE'!$D$27</f>
        <v/>
      </c>
      <c r="D22" s="121">
        <f>HYPERLINK("#'08_EXIT_AND_EQUITY_BRIDGE'!D27","08_EXIT_AND_EQUITY_BRIDGE!D27")</f>
        <v/>
      </c>
    </row>
    <row r="23"/>
    <row r="24" ht="18" customHeight="1">
      <c r="B24" s="104" t="inlineStr">
        <is>
          <t>Attribution (EV bridge + deleveraging to equity)</t>
        </is>
      </c>
      <c r="C24" s="104" t="n"/>
      <c r="D24" s="104" t="n"/>
      <c r="E24" s="104" t="n"/>
      <c r="F24" s="104" t="n"/>
      <c r="G24" s="104" t="n"/>
      <c r="H24" s="104" t="n"/>
      <c r="I24" s="104" t="n"/>
      <c r="J24" s="104" t="n"/>
      <c r="K24" s="104" t="n"/>
      <c r="L24" s="104" t="n"/>
    </row>
    <row r="25"/>
    <row r="26" ht="18" customHeight="1">
      <c r="B26" s="118" t="inlineStr">
        <is>
          <t>Component</t>
        </is>
      </c>
      <c r="C26" s="118" t="inlineStr">
        <is>
          <t>Formula</t>
        </is>
      </c>
      <c r="D26" s="118" t="inlineStr">
        <is>
          <t>Value (DKKm)</t>
        </is>
      </c>
      <c r="E26" s="118" t="inlineStr">
        <is>
          <t>IC script</t>
        </is>
      </c>
    </row>
    <row r="27" ht="44" customHeight="1">
      <c r="B27" s="121" t="inlineStr">
        <is>
          <t>EBITDA growth (at entry multiple)</t>
        </is>
      </c>
      <c r="C27" s="121">
        <f>(Exit EBITDA - Entry EBITDA) * Entry multiple</f>
        <v/>
      </c>
      <c r="D27" s="154">
        <f>($C$14-$C$13)*$C$15</f>
        <v/>
      </c>
      <c r="E27" s="121" t="inlineStr">
        <is>
          <t>At constant multiple, growth in EBITDA creates EV uplift. We underwrite this via retention, ARR expansion, and cost actions.</t>
        </is>
      </c>
    </row>
    <row r="28" ht="44" customHeight="1">
      <c r="B28" s="121" t="inlineStr">
        <is>
          <t>Multiple change (at exit EBITDA)</t>
        </is>
      </c>
      <c r="C28" s="121">
        <f>Exit EBITDA * (Exit multiple - Entry multiple)</f>
        <v/>
      </c>
      <c r="D28" s="154">
        <f>$C$14*($C$16-$C$15)</f>
        <v/>
      </c>
      <c r="E28" s="121" t="inlineStr">
        <is>
          <t>Multiple expansion is upside, not the base thesis. We show sensitivity and anchor to comp ranges.</t>
        </is>
      </c>
    </row>
    <row r="29" ht="44" customHeight="1">
      <c r="B29" s="121" t="inlineStr">
        <is>
          <t>Deleveraging (net debt reduction to equity)</t>
        </is>
      </c>
      <c r="C29" s="121">
        <f>Entry net debt - Exit net debt</f>
        <v/>
      </c>
      <c r="D29" s="154">
        <f>$C$19-$C$20</f>
        <v/>
      </c>
      <c r="E29" s="121" t="inlineStr">
        <is>
          <t>Cash flow pays down net debt, converting EV into equity value. This is the controllable downside-protection lever.</t>
        </is>
      </c>
    </row>
    <row r="30" ht="44" customHeight="1">
      <c r="B30" s="121" t="inlineStr">
        <is>
          <t>Dividends / distributions</t>
        </is>
      </c>
      <c r="C30" s="121">
        <f>0 in this template</f>
        <v/>
      </c>
      <c r="D30" s="154">
        <f>0</f>
        <v/>
      </c>
      <c r="E30" s="121" t="inlineStr">
        <is>
          <t>No interim distributions modeled here. If dividends are added, they increase IRR and cash yield.</t>
        </is>
      </c>
    </row>
    <row r="31" ht="44" customHeight="1">
      <c r="B31" s="121" t="inlineStr">
        <is>
          <t>Check: Total equity value created</t>
        </is>
      </c>
      <c r="C31" s="121">
        <f>(Total proceeds - Total invested)</f>
        <v/>
      </c>
      <c r="D31" s="154">
        <f>$C$22-$C$21</f>
        <v/>
      </c>
      <c r="E31" s="121" t="inlineStr">
        <is>
          <t>This is the total equity uplift. Components above should reconcile directionally to this change (EV effects + deleveraging).</t>
        </is>
      </c>
    </row>
    <row r="32"/>
    <row r="33"/>
    <row r="34" ht="18" customHeight="1">
      <c r="B34" s="104" t="inlineStr">
        <is>
          <t>2) Debt waterfall explainer (step-by-step)</t>
        </is>
      </c>
      <c r="C34" s="104" t="n"/>
      <c r="D34" s="104" t="n"/>
      <c r="E34" s="104" t="n"/>
      <c r="F34" s="104" t="n"/>
      <c r="G34" s="104" t="n"/>
      <c r="H34" s="104" t="n"/>
      <c r="I34" s="104" t="n"/>
      <c r="J34" s="104" t="n"/>
      <c r="K34" s="104" t="n"/>
      <c r="L34" s="104" t="n"/>
    </row>
    <row r="35"/>
    <row r="36">
      <c r="B36" s="150" t="inlineStr">
        <is>
          <t>Select year (1=Year1, etc) (blue):</t>
        </is>
      </c>
      <c r="C36" s="155" t="n">
        <v>1</v>
      </c>
    </row>
    <row r="37"/>
    <row r="38" ht="18" customHeight="1">
      <c r="B38" s="118" t="inlineStr">
        <is>
          <t>Step</t>
        </is>
      </c>
      <c r="C38" s="118" t="inlineStr">
        <is>
          <t>Pulled from model</t>
        </is>
      </c>
      <c r="D38" s="118" t="inlineStr">
        <is>
          <t>Value (DKKm)</t>
        </is>
      </c>
      <c r="E38" s="118" t="inlineStr">
        <is>
          <t>Why it matters / pitfall</t>
        </is>
      </c>
    </row>
    <row r="39" ht="36" customHeight="1">
      <c r="B39" s="121" t="inlineStr">
        <is>
          <t>EBITDA</t>
        </is>
      </c>
      <c r="C39" s="121" t="inlineStr">
        <is>
          <t>07_CASH_FLOW_WATERFALL!Row 14</t>
        </is>
      </c>
      <c r="D39" s="156">
        <f>INDEX('07_CASH_FLOW_WATERFALL'!$E$14:$L$14,1,$C$36+1)</f>
        <v/>
      </c>
      <c r="E39" s="121" t="inlineStr">
        <is>
          <t>Start of cash engine. Ensure EBITDA definition matches covenants and valuation.</t>
        </is>
      </c>
    </row>
    <row r="40" ht="36" customHeight="1">
      <c r="B40" s="121" t="inlineStr">
        <is>
          <t>Less: cash taxes</t>
        </is>
      </c>
      <c r="C40" s="121" t="inlineStr">
        <is>
          <t>07_CASH_FLOW_WATERFALL!Row 15</t>
        </is>
      </c>
      <c r="D40" s="156">
        <f>INDEX('07_CASH_FLOW_WATERFALL'!$E$15:$L$15,1,$C$36+1)</f>
        <v/>
      </c>
      <c r="E40" s="121" t="inlineStr">
        <is>
          <t>Taxes reduce cash. Pitfall: taxing EBITDA instead of EBIT/EBT logic.</t>
        </is>
      </c>
    </row>
    <row r="41" ht="36" customHeight="1">
      <c r="B41" s="121" t="inlineStr">
        <is>
          <t>Less: ΔNWC</t>
        </is>
      </c>
      <c r="C41" s="121" t="inlineStr">
        <is>
          <t>07_CASH_FLOW_WATERFALL!Row 16</t>
        </is>
      </c>
      <c r="D41" s="156">
        <f>INDEX('07_CASH_FLOW_WATERFALL'!$E$16:$L$16,1,$C$36+1)</f>
        <v/>
      </c>
      <c r="E41" s="121" t="inlineStr">
        <is>
          <t>WC investment consumes cash. Pitfall: sign errors or unrealistic WC assumptions.</t>
        </is>
      </c>
    </row>
    <row r="42" ht="36" customHeight="1">
      <c r="B42" s="121" t="inlineStr">
        <is>
          <t>Less: capex</t>
        </is>
      </c>
      <c r="C42" s="121" t="inlineStr">
        <is>
          <t>07_CASH_FLOW_WATERFALL!Row 17</t>
        </is>
      </c>
      <c r="D42" s="156">
        <f>INDEX('07_CASH_FLOW_WATERFALL'!$E$17:$L$17,1,$C$36+1)</f>
        <v/>
      </c>
      <c r="E42" s="121" t="inlineStr">
        <is>
          <t>Capex is real cash. Pitfall: underestimating maintenance capex for software platform.</t>
        </is>
      </c>
    </row>
    <row r="43" ht="36" customHeight="1">
      <c r="B43" s="121">
        <f> Cash before debt service</f>
        <v/>
      </c>
      <c r="C43" s="121" t="inlineStr">
        <is>
          <t>07_CASH_FLOW_WATERFALL!Row 19</t>
        </is>
      </c>
      <c r="D43" s="156">
        <f>INDEX('07_CASH_FLOW_WATERFALL'!$E$19:$L$19,1,$C$36+1)</f>
        <v/>
      </c>
      <c r="E43" s="121" t="inlineStr">
        <is>
          <t>This is the cash pool to service debt.</t>
        </is>
      </c>
    </row>
    <row r="44" ht="36" customHeight="1">
      <c r="B44" s="121" t="inlineStr">
        <is>
          <t>Less: cash interest</t>
        </is>
      </c>
      <c r="C44" s="121" t="inlineStr">
        <is>
          <t>07_CASH_FLOW_WATERFALL!Row 20</t>
        </is>
      </c>
      <c r="D44" s="156">
        <f>INDEX('07_CASH_FLOW_WATERFALL'!$E$20:$L$20,1,$C$36+1)</f>
        <v/>
      </c>
      <c r="E44" s="121" t="inlineStr">
        <is>
          <t>Rate shocks hit here first. Validate interest lines include all tranches.</t>
        </is>
      </c>
    </row>
    <row r="45" ht="36" customHeight="1">
      <c r="B45" s="121">
        <f> Cash after interest</f>
        <v/>
      </c>
      <c r="C45" s="121" t="inlineStr">
        <is>
          <t>07_CASH_FLOW_WATERFALL!Row 21</t>
        </is>
      </c>
      <c r="D45" s="156">
        <f>INDEX('07_CASH_FLOW_WATERFALL'!$E$21:$L$21,1,$C$36+1)</f>
        <v/>
      </c>
      <c r="E45" s="121" t="inlineStr">
        <is>
          <t>If negative, expect revolver draw or liquidity stress.</t>
        </is>
      </c>
    </row>
    <row r="46" ht="36" customHeight="1">
      <c r="B46" s="121" t="inlineStr">
        <is>
          <t>Less: mandatory amort</t>
        </is>
      </c>
      <c r="C46" s="121" t="inlineStr">
        <is>
          <t>07_CASH_FLOW_WATERFALL!Row 22</t>
        </is>
      </c>
      <c r="D46" s="156">
        <f>INDEX('07_CASH_FLOW_WATERFALL'!$E$22:$L$22,1,$C$36+1)</f>
        <v/>
      </c>
      <c r="E46" s="121" t="inlineStr">
        <is>
          <t>Contractual paydown. Pitfall: amort exceeding balance.</t>
        </is>
      </c>
    </row>
    <row r="47" ht="36" customHeight="1">
      <c r="B47" s="121">
        <f> Cash after mandatory</f>
        <v/>
      </c>
      <c r="C47" s="121" t="inlineStr">
        <is>
          <t>07_CASH_FLOW_WATERFALL!Row 23</t>
        </is>
      </c>
      <c r="D47" s="156">
        <f>INDEX('07_CASH_FLOW_WATERFALL'!$E$23:$L$23,1,$C$36+1)</f>
        <v/>
      </c>
      <c r="E47" s="121" t="inlineStr">
        <is>
          <t>This feeds optional sweep and revolver logic.</t>
        </is>
      </c>
    </row>
    <row r="48" ht="36" customHeight="1">
      <c r="B48" s="121" t="inlineStr">
        <is>
          <t>Optional sweep pool</t>
        </is>
      </c>
      <c r="C48" s="121" t="inlineStr">
        <is>
          <t>07_CASH_FLOW_WATERFALL!Row 25</t>
        </is>
      </c>
      <c r="D48" s="156">
        <f>INDEX('07_CASH_FLOW_WATERFALL'!$E$25:$L$25,1,$C$36+1)</f>
        <v/>
      </c>
      <c r="E48" s="121" t="inlineStr">
        <is>
          <t>Cash to repay term debt (post sweep%). Pitfall: sweeping below liquidity target.</t>
        </is>
      </c>
    </row>
    <row r="49" ht="36" customHeight="1">
      <c r="B49" s="121" t="inlineStr">
        <is>
          <t>Revolver draw</t>
        </is>
      </c>
      <c r="C49" s="121" t="inlineStr">
        <is>
          <t>07_CASH_FLOW_WATERFALL!Row 30</t>
        </is>
      </c>
      <c r="D49" s="156">
        <f>INDEX('07_CASH_FLOW_WATERFALL'!$E$30:$L$30,1,$C$36+1)</f>
        <v/>
      </c>
      <c r="E49" s="121" t="inlineStr">
        <is>
          <t>Draw only if deficit and within limit.</t>
        </is>
      </c>
    </row>
    <row r="50" ht="36" customHeight="1">
      <c r="B50" s="121" t="inlineStr">
        <is>
          <t>Revolver repay</t>
        </is>
      </c>
      <c r="C50" s="121" t="inlineStr">
        <is>
          <t>07_CASH_FLOW_WATERFALL!Row 31</t>
        </is>
      </c>
      <c r="D50" s="156">
        <f>INDEX('07_CASH_FLOW_WATERFALL'!$E$31:$L$31,1,$C$36+1)</f>
        <v/>
      </c>
      <c r="E50" s="121" t="inlineStr">
        <is>
          <t>Repay revolver first when surplus exists.</t>
        </is>
      </c>
    </row>
    <row r="51" ht="36" customHeight="1">
      <c r="B51" s="121" t="inlineStr">
        <is>
          <t>Ending cash</t>
        </is>
      </c>
      <c r="C51" s="121" t="inlineStr">
        <is>
          <t>07_CASH_FLOW_WATERFALL!Row 41</t>
        </is>
      </c>
      <c r="D51" s="156">
        <f>INDEX('07_CASH_FLOW_WATERFALL'!$E$41:$L$41,1,$C$36+1)</f>
        <v/>
      </c>
      <c r="E51" s="121" t="inlineStr">
        <is>
          <t>Ending cash must be explained. Validate cash bridge check is 0.</t>
        </is>
      </c>
    </row>
    <row r="52" ht="36" customHeight="1">
      <c r="B52" s="121" t="inlineStr">
        <is>
          <t>Cash bridge check</t>
        </is>
      </c>
      <c r="C52" s="121" t="inlineStr">
        <is>
          <t>07_CASH_FLOW_WATERFALL!Row 42</t>
        </is>
      </c>
      <c r="D52" s="156">
        <f>INDEX('07_CASH_FLOW_WATERFALL'!$E$42:$L$42,1,$C$36+1)</f>
        <v/>
      </c>
      <c r="E52" s="121" t="inlineStr">
        <is>
          <t>Must be 0. If not, stop and fix logic before interpreting outputs.</t>
        </is>
      </c>
    </row>
    <row r="53"/>
    <row r="54"/>
    <row r="55" ht="18" customHeight="1">
      <c r="B55" s="104" t="inlineStr">
        <is>
          <t>3) Downside protection &amp; covenant lab</t>
        </is>
      </c>
      <c r="C55" s="104" t="n"/>
      <c r="D55" s="104" t="n"/>
      <c r="E55" s="104" t="n"/>
      <c r="F55" s="104" t="n"/>
      <c r="G55" s="104" t="n"/>
      <c r="H55" s="104" t="n"/>
      <c r="I55" s="104" t="n"/>
      <c r="J55" s="104" t="n"/>
      <c r="K55" s="104" t="n"/>
      <c r="L55" s="104" t="n"/>
    </row>
    <row r="56"/>
    <row r="57">
      <c r="B57" s="150" t="inlineStr">
        <is>
          <t>What breaks first? (live):</t>
        </is>
      </c>
      <c r="C57" s="157">
        <f>IF('10_COVENANTS_AND_CREDIT_METRICS'!$D$35&lt;0,"Liquidity",IF('10_COVENANTS_AND_CREDIT_METRICS'!$D$36&lt;0,"Net leverage covenant",IF('10_COVENANTS_AND_CREDIT_METRICS'!$D$37&lt;0,"Interest coverage covenant","None in current scenario")) )</f>
        <v/>
      </c>
    </row>
    <row r="58"/>
    <row r="59" ht="18" customHeight="1">
      <c r="B59" s="118" t="inlineStr">
        <is>
          <t>Metric</t>
        </is>
      </c>
      <c r="C59" s="118" t="inlineStr">
        <is>
          <t>Min / peak (live)</t>
        </is>
      </c>
      <c r="D59" s="118" t="inlineStr">
        <is>
          <t>Source</t>
        </is>
      </c>
      <c r="E59" s="118" t="inlineStr">
        <is>
          <t>How to fix (realistic levers)</t>
        </is>
      </c>
    </row>
    <row r="60" ht="34" customHeight="1">
      <c r="B60" s="121" t="inlineStr">
        <is>
          <t>Peak net leverage (x)</t>
        </is>
      </c>
      <c r="C60" s="121">
        <f>'10_COVENANTS_AND_CREDIT_METRICS'!$D$34</f>
        <v/>
      </c>
      <c r="D60" s="121">
        <f>HYPERLINK("#'10_COVENANTS_AND_CREDIT_METRICS'!D34","10_COVENANTS_AND_CREDIT_METRICS!D34")</f>
        <v/>
      </c>
      <c r="E60" s="121" t="inlineStr">
        <is>
          <t>Lower leverage target, increase sweep %, improve margin, reduce capex, improve WC conversion.</t>
        </is>
      </c>
    </row>
    <row r="61" ht="34" customHeight="1">
      <c r="B61" s="121" t="inlineStr">
        <is>
          <t>Min liquidity (DKKm)</t>
        </is>
      </c>
      <c r="C61" s="121">
        <f>'10_COVENANTS_AND_CREDIT_METRICS'!$D$35</f>
        <v/>
      </c>
      <c r="D61" s="121">
        <f>HYPERLINK("#'10_COVENANTS_AND_CREDIT_METRICS'!D35","10_COVENANTS_AND_CREDIT_METRICS!D35")</f>
        <v/>
      </c>
      <c r="E61" s="121" t="inlineStr">
        <is>
          <t>Lower leverage, reduce sweep %, add revolver capacity, improve WC, delay capex (if realistic).</t>
        </is>
      </c>
    </row>
    <row r="62" ht="34" customHeight="1">
      <c r="B62" s="121" t="inlineStr">
        <is>
          <t>Min net leverage headroom (x)</t>
        </is>
      </c>
      <c r="C62" s="121">
        <f>'10_COVENANTS_AND_CREDIT_METRICS'!$D$36</f>
        <v/>
      </c>
      <c r="D62" s="121">
        <f>HYPERLINK("#'10_COVENANTS_AND_CREDIT_METRICS'!D36","10_COVENANTS_AND_CREDIT_METRICS!D36")</f>
        <v/>
      </c>
      <c r="E62" s="121" t="inlineStr">
        <is>
          <t>Delever faster via FCF, reduce debt at close, improve EBITDA via pricing/cost actions.</t>
        </is>
      </c>
    </row>
    <row r="63" ht="34" customHeight="1">
      <c r="B63" s="121" t="inlineStr">
        <is>
          <t>Min interest coverage headroom (x)</t>
        </is>
      </c>
      <c r="C63" s="121">
        <f>'10_COVENANTS_AND_CREDIT_METRICS'!$D$37</f>
        <v/>
      </c>
      <c r="D63" s="121">
        <f>HYPERLINK("#'10_COVENANTS_AND_CREDIT_METRICS'!D37","10_COVENANTS_AND_CREDIT_METRICS!D37")</f>
        <v/>
      </c>
      <c r="E63" s="121" t="inlineStr">
        <is>
          <t>Hedge rates, reduce floating exposure, reduce leverage, improve EBITDA conversion.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120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2" customWidth="1" min="2" max="2"/>
    <col width="12" customWidth="1" min="3" max="3"/>
    <col width="20" customWidth="1" min="4" max="4"/>
    <col width="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26" t="n"/>
      <c r="N1" s="26" t="n"/>
    </row>
    <row r="2" ht="16" customHeight="1">
      <c r="A2" s="1" t="n"/>
      <c r="B2" s="2" t="inlineStr">
        <is>
          <t>CHECKS:</t>
        </is>
      </c>
      <c r="C2" s="3">
        <f>HYPERLINK("#'90_CHECKS'!B6",'90_CHECKS'!$C$22)</f>
        <v/>
      </c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28" t="n"/>
      <c r="N2" s="28" t="n"/>
    </row>
    <row r="3" ht="15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28" t="n"/>
      <c r="N3" s="28" t="n"/>
    </row>
    <row r="4" ht="18" customHeight="1">
      <c r="A4" s="1" t="n"/>
      <c r="B4" s="8" t="inlineStr">
        <is>
          <t>Checks hub (must be GREEN before sending)</t>
        </is>
      </c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28" t="n"/>
      <c r="N4" s="28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28" t="n"/>
      <c r="N5" s="28" t="n"/>
    </row>
    <row r="6" ht="15" customHeight="1">
      <c r="A6" s="1" t="n"/>
      <c r="B6" s="19" t="inlineStr">
        <is>
          <t>Check</t>
        </is>
      </c>
      <c r="C6" s="102" t="inlineStr">
        <is>
          <t>Status</t>
        </is>
      </c>
      <c r="D6" s="19" t="inlineStr">
        <is>
          <t>Value</t>
        </is>
      </c>
      <c r="E6" s="1" t="n"/>
      <c r="F6" s="1" t="n"/>
      <c r="G6" s="1" t="n"/>
      <c r="H6" s="1" t="n"/>
      <c r="I6" s="1" t="n"/>
      <c r="J6" s="1" t="n"/>
      <c r="K6" s="1" t="n"/>
      <c r="L6" s="1" t="n"/>
      <c r="M6" s="28" t="n"/>
      <c r="N6" s="28" t="n"/>
    </row>
    <row r="7" ht="15" customHeight="1">
      <c r="A7" s="1" t="n"/>
      <c r="B7" s="17" t="inlineStr">
        <is>
          <t>Sources = Uses tie</t>
        </is>
      </c>
      <c r="C7" s="18">
        <f>IFERROR(IF(ABS('05_SOURCES_AND_USES'!$D$44)&lt;0.001,"PASS","FAIL"),"FAIL")</f>
        <v/>
      </c>
      <c r="D7" s="103">
        <f>'05_SOURCES_AND_USES'!$D$44</f>
        <v/>
      </c>
      <c r="E7" s="1" t="n"/>
      <c r="F7" s="1" t="n"/>
      <c r="G7" s="1" t="n"/>
      <c r="H7" s="1" t="n"/>
      <c r="I7" s="1" t="n"/>
      <c r="J7" s="1" t="n"/>
      <c r="K7" s="1" t="n"/>
      <c r="L7" s="1" t="n"/>
    </row>
    <row r="8" ht="15" customHeight="1">
      <c r="A8" s="1" t="n"/>
      <c r="B8" s="17" t="inlineStr">
        <is>
          <t>Cash roll-forward (no plug)</t>
        </is>
      </c>
      <c r="C8" s="18">
        <f>IFERROR(IF($D$8&lt;0.001,"PASS","FAIL"),"FAIL")</f>
        <v/>
      </c>
      <c r="D8" s="103">
        <f>MAX(ABS('07_CASH_FLOW_WATERFALL'!$E$42),ABS('07_CASH_FLOW_WATERFALL'!$F$42),ABS('07_CASH_FLOW_WATERFALL'!$G$42),ABS('07_CASH_FLOW_WATERFALL'!$H$42),ABS('07_CASH_FLOW_WATERFALL'!$I$42),ABS('07_CASH_FLOW_WATERFALL'!$J$42),ABS('07_CASH_FLOW_WATERFALL'!$K$42),ABS('07_CASH_FLOW_WATERFALL'!$L$42))</f>
        <v/>
      </c>
      <c r="E8" s="1" t="n"/>
      <c r="F8" s="1" t="n"/>
      <c r="G8" s="1" t="n"/>
      <c r="H8" s="1" t="n"/>
      <c r="I8" s="1" t="n"/>
      <c r="J8" s="1" t="n"/>
      <c r="K8" s="1" t="n"/>
      <c r="L8" s="1" t="n"/>
    </row>
    <row r="9" ht="15" customHeight="1">
      <c r="A9" s="1" t="n"/>
      <c r="B9" s="17" t="inlineStr">
        <is>
          <t>Revolver &gt;= 0 and &lt;= limit</t>
        </is>
      </c>
      <c r="C9" s="18">
        <f>IFERROR(IF(AND(MIN('06_DEBT_SCHEDULES'!$E$25:$L$25)&gt;=-0.001,MAX('06_DEBT_SCHEDULES'!$E$25:$L$25)&lt;=Revolver_Limit+0.001),"PASS","FAIL"),"FAIL")</f>
        <v/>
      </c>
      <c r="D9" s="103">
        <f>MAX('06_DEBT_SCHEDULES'!$E$25:$L$25)</f>
        <v/>
      </c>
      <c r="E9" s="1" t="n"/>
      <c r="F9" s="1" t="n"/>
      <c r="G9" s="1" t="n"/>
      <c r="H9" s="1" t="n"/>
      <c r="I9" s="1" t="n"/>
      <c r="J9" s="1" t="n"/>
      <c r="K9" s="1" t="n"/>
      <c r="L9" s="1" t="n"/>
    </row>
    <row r="10" ht="15" customHeight="1">
      <c r="A10" s="1" t="n"/>
      <c r="B10" s="17" t="inlineStr">
        <is>
          <t>Debt balances non-negative</t>
        </is>
      </c>
      <c r="C10" s="18">
        <f>IFERROR(IF(AND(MIN('06_DEBT_SCHEDULES'!$E$35:$L$35)&gt;=-0.001,MIN('06_DEBT_SCHEDULES'!$E$45:$L$45)&gt;=-0.001,MIN('06_DEBT_SCHEDULES'!$E$55:$L$55)&gt;=-0.001,MIN('06_DEBT_SCHEDULES'!$E$65:$L$65)&gt;=-0.001),"PASS","FAIL"),"FAIL")</f>
        <v/>
      </c>
      <c r="D10" s="103">
        <f>MIN('06_DEBT_SCHEDULES'!$E$67:$L$67)</f>
        <v/>
      </c>
      <c r="E10" s="1" t="n"/>
      <c r="F10" s="1" t="n"/>
      <c r="G10" s="1" t="n"/>
      <c r="H10" s="1" t="n"/>
      <c r="I10" s="1" t="n"/>
      <c r="J10" s="1" t="n"/>
      <c r="K10" s="1" t="n"/>
      <c r="L10" s="1" t="n"/>
    </row>
    <row r="11" ht="15" customHeight="1">
      <c r="A11" s="1" t="n"/>
      <c r="B11" s="17" t="inlineStr">
        <is>
          <t>Exit equity split ties</t>
        </is>
      </c>
      <c r="C11" s="18">
        <f>IFERROR(IF(ABS($D$11)&lt;0.001,"PASS","FAIL"),"FAIL")</f>
        <v/>
      </c>
      <c r="D11" s="103">
        <f>'08_EXIT_AND_EQUITY_BRIDGE'!$D$27-('08_EXIT_AND_EQUITY_BRIDGE'!$D$35+'08_EXIT_AND_EQUITY_BRIDGE'!$D$36)</f>
        <v/>
      </c>
      <c r="E11" s="1" t="n"/>
      <c r="F11" s="1" t="n"/>
      <c r="G11" s="1" t="n"/>
      <c r="H11" s="1" t="n"/>
      <c r="I11" s="1" t="n"/>
      <c r="J11" s="1" t="n"/>
      <c r="K11" s="1" t="n"/>
      <c r="L11" s="1" t="n"/>
    </row>
    <row r="12" ht="15" customHeight="1">
      <c r="A12" s="1" t="n"/>
      <c r="B12" s="17" t="inlineStr">
        <is>
          <t>No negative cash</t>
        </is>
      </c>
      <c r="C12" s="18">
        <f>IFERROR(IF(MIN('07_CASH_FLOW_WATERFALL'!$E$41:$L$41)&gt;=-0.001,"PASS","FAIL"),"FAIL")</f>
        <v/>
      </c>
      <c r="D12" s="103">
        <f>MIN('07_CASH_FLOW_WATERFALL'!$E$41:$L$41)</f>
        <v/>
      </c>
      <c r="E12" s="1" t="n"/>
      <c r="F12" s="1" t="n"/>
      <c r="G12" s="1" t="n"/>
      <c r="H12" s="1" t="n"/>
      <c r="I12" s="1" t="n"/>
      <c r="J12" s="1" t="n"/>
      <c r="K12" s="1" t="n"/>
      <c r="L12" s="1" t="n"/>
    </row>
    <row r="13" ht="15" customHeight="1">
      <c r="A13" s="1" t="n"/>
      <c r="B13" s="17" t="inlineStr">
        <is>
          <t>Dashboard tiles linked</t>
        </is>
      </c>
      <c r="C13" s="18">
        <f>IFERROR(IF(AND(ISNUMBER('00_DASHBOARD'!$C$11),ISNUMBER('00_DASHBOARD'!$F$12),ISNUMBER('00_DASHBOARD'!$F$13)),"PASS","FAIL"),"FAIL")</f>
        <v/>
      </c>
      <c r="D13" s="103">
        <f>'00_DASHBOARD'!$D$16</f>
        <v/>
      </c>
      <c r="E13" s="1" t="n"/>
      <c r="F13" s="1" t="n"/>
      <c r="G13" s="1" t="n"/>
      <c r="H13" s="1" t="n"/>
      <c r="I13" s="1" t="n"/>
      <c r="J13" s="1" t="n"/>
      <c r="K13" s="1" t="n"/>
      <c r="L13" s="1" t="n"/>
    </row>
    <row r="14" ht="15" customHeight="1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</row>
    <row r="15" ht="15" customHeigh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</row>
    <row r="16" ht="15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</row>
    <row r="17" ht="15" customHeight="1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</row>
    <row r="18" ht="15" customHeight="1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</row>
    <row r="19" ht="15" customHeigh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</row>
    <row r="20" ht="18" customHeight="1">
      <c r="A20" s="1" t="n"/>
      <c r="B20" s="8" t="inlineStr">
        <is>
          <t>Overall</t>
        </is>
      </c>
      <c r="C20" s="9" t="n"/>
      <c r="D20" s="9" t="n"/>
      <c r="E20" s="9" t="n"/>
      <c r="F20" s="9" t="n"/>
      <c r="G20" s="1" t="n"/>
      <c r="H20" s="1" t="n"/>
      <c r="I20" s="1" t="n"/>
      <c r="J20" s="1" t="n"/>
      <c r="K20" s="1" t="n"/>
      <c r="L20" s="1" t="n"/>
    </row>
    <row r="21" ht="15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</row>
    <row r="22" ht="15" customHeight="1">
      <c r="A22" s="1" t="n"/>
      <c r="B22" s="17" t="inlineStr">
        <is>
          <t>Overall status</t>
        </is>
      </c>
      <c r="C22" s="66">
        <f>IF(COUNTIF($C$7:$C$13,"FAIL")=0,"PASS","FAIL")</f>
        <v/>
      </c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</row>
    <row r="23" ht="15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</row>
    <row r="24" ht="15" customHeight="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</row>
    <row r="25" ht="15" customHeight="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</row>
    <row r="26" ht="15" customHeight="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</row>
    <row r="27" ht="15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</row>
    <row r="28" ht="15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</row>
    <row r="29" ht="15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</row>
    <row r="30" ht="15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</row>
    <row r="31" ht="15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</row>
    <row r="32" ht="15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</row>
    <row r="33" ht="15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</row>
    <row r="34" ht="15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</row>
    <row r="35" ht="15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</row>
    <row r="36" ht="15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</row>
    <row r="37" ht="15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</row>
    <row r="38" ht="15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</row>
    <row r="39" ht="15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</row>
    <row r="40" ht="15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</row>
    <row r="41" ht="15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</row>
    <row r="42" ht="15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</row>
    <row r="43" ht="15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</row>
    <row r="44" ht="15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</row>
    <row r="45" ht="15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</row>
    <row r="46" ht="15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</row>
    <row r="47" ht="15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</row>
    <row r="48" ht="15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</row>
    <row r="49" ht="15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</row>
    <row r="50" ht="15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</row>
    <row r="51" ht="15" customHeigh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</row>
    <row r="52" ht="15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</row>
    <row r="53" ht="15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</row>
    <row r="54" ht="15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</row>
    <row r="55" ht="15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</row>
    <row r="56" ht="15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</row>
    <row r="57" ht="15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</row>
    <row r="58" ht="15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</row>
    <row r="59" ht="15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</row>
    <row r="60" ht="15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</row>
    <row r="61" ht="15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</row>
    <row r="62" ht="15" customHeight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</row>
    <row r="63" ht="15" customHeigh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</row>
    <row r="64" ht="15" customHeight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</row>
    <row r="65" ht="15" customHeight="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</row>
    <row r="66" ht="15" customHeight="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</row>
    <row r="67" ht="15" customHeight="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</row>
    <row r="68" ht="15" customHeight="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</row>
    <row r="69" ht="15" customHeight="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</row>
    <row r="70" ht="15" customHeight="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</row>
    <row r="71" ht="15" customHeight="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</row>
    <row r="72" ht="15" customHeight="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</row>
    <row r="73" ht="15" customHeight="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</row>
    <row r="74" ht="15" customHeight="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</row>
    <row r="75" ht="15" customHeight="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</row>
    <row r="76" ht="15" customHeight="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</row>
    <row r="77" ht="15" customHeight="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</row>
    <row r="78" ht="15" customHeight="1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</row>
    <row r="79" ht="15" customHeight="1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</row>
    <row r="80" ht="15" customHeight="1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</row>
    <row r="81" ht="15" customHeight="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</row>
    <row r="82" ht="15" customHeight="1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</row>
    <row r="83" ht="15" customHeight="1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</row>
    <row r="84" ht="15" customHeight="1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</row>
    <row r="85" ht="15" customHeight="1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</row>
    <row r="86" ht="15" customHeight="1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</row>
    <row r="87" ht="15" customHeight="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</row>
    <row r="88" ht="15" customHeight="1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</row>
    <row r="89" ht="15" customHeight="1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</row>
    <row r="90" ht="15" customHeight="1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</row>
    <row r="91" ht="15" customHeight="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</row>
    <row r="92" ht="15" customHeight="1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</row>
    <row r="93" ht="15" customHeight="1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</row>
    <row r="94" ht="15" customHeight="1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</row>
    <row r="95" ht="15" customHeight="1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</row>
    <row r="96" ht="15" customHeight="1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</row>
    <row r="97" ht="15" customHeight="1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</row>
    <row r="98" ht="15" customHeight="1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</row>
    <row r="99" ht="15" customHeight="1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</row>
    <row r="100" ht="15" customHeight="1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</row>
    <row r="101" ht="15" customHeight="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</row>
    <row r="102" ht="15" customHeight="1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</row>
    <row r="103" ht="15" customHeight="1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</row>
    <row r="104" ht="15" customHeight="1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</row>
    <row r="105" ht="15" customHeight="1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</row>
    <row r="106" ht="15" customHeight="1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</row>
    <row r="107" ht="15" customHeight="1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</row>
    <row r="108" ht="15" customHeight="1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</row>
    <row r="109" ht="15" customHeight="1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</row>
    <row r="110" ht="15" customHeight="1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</row>
    <row r="111" ht="15" customHeight="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</row>
    <row r="112" ht="15" customHeight="1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</row>
    <row r="113" ht="15" customHeight="1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</row>
    <row r="114" ht="15" customHeight="1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</row>
    <row r="115" ht="15" customHeight="1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</row>
    <row r="116" ht="15" customHeight="1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</row>
    <row r="117" ht="15" customHeight="1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</row>
    <row r="118" ht="15" customHeight="1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</row>
    <row r="119" ht="15" customHeight="1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</row>
    <row r="120" ht="15" customHeight="1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</row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pageMargins left="0.3" right="0.3" top="0.5" bottom="0.5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22" customWidth="1" min="3" max="3"/>
    <col width="70" customWidth="1" min="4" max="4"/>
    <col width="22" customWidth="1" min="5" max="5"/>
  </cols>
  <sheetData>
    <row r="1" ht="15" customHeight="1">
      <c r="A1" s="26" t="n"/>
      <c r="B1" s="27" t="inlineStr">
        <is>
          <t>LBO Model Builder (Training Simulation)</t>
        </is>
      </c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</row>
    <row r="2" ht="16" customHeight="1">
      <c r="A2" s="28" t="n"/>
      <c r="B2" s="104" t="inlineStr">
        <is>
          <t>CHANGE LOG</t>
        </is>
      </c>
      <c r="C2" s="158">
        <f>HYPERLINK("#'90_CHECKS'!B6",'90_CHECKS'!$C$22)</f>
        <v/>
      </c>
      <c r="D2" s="104" t="n"/>
      <c r="E2" s="28" t="n"/>
      <c r="F2" s="28" t="n"/>
      <c r="G2" s="28" t="n"/>
      <c r="H2" s="28" t="n"/>
      <c r="I2" s="28" t="n"/>
      <c r="J2" s="28" t="n"/>
      <c r="K2" s="28" t="n"/>
      <c r="L2" s="28" t="n"/>
      <c r="M2" s="28" t="n"/>
      <c r="N2" s="28" t="n"/>
    </row>
    <row r="3" ht="15" customHeight="1">
      <c r="A3" s="28" t="n"/>
      <c r="B3" s="118" t="inlineStr">
        <is>
          <t>Date</t>
        </is>
      </c>
      <c r="C3" s="118" t="inlineStr">
        <is>
          <t>Author</t>
        </is>
      </c>
      <c r="D3" s="115" t="inlineStr">
        <is>
          <t>Change</t>
        </is>
      </c>
      <c r="E3" s="28" t="n"/>
      <c r="F3" s="28" t="n"/>
      <c r="G3" s="28" t="n"/>
      <c r="H3" s="28" t="n"/>
      <c r="I3" s="28" t="n"/>
      <c r="J3" s="28" t="n"/>
      <c r="K3" s="28" t="n"/>
      <c r="L3" s="28" t="n"/>
      <c r="M3" s="28" t="n"/>
      <c r="N3" s="28" t="n"/>
    </row>
    <row r="4" ht="28" customHeight="1">
      <c r="A4" s="28" t="n"/>
      <c r="B4" s="159" t="inlineStr">
        <is>
          <t>2026-02-16</t>
        </is>
      </c>
      <c r="C4" s="159" t="inlineStr">
        <is>
          <t>Model update</t>
        </is>
      </c>
      <c r="D4" s="160" t="inlineStr">
        <is>
          <t>Added learning layer tabs 80-86 (map, formulas, interpretation, scenarios, drills, mistakes, special module).</t>
        </is>
      </c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</row>
    <row r="5" ht="28" customHeight="1">
      <c r="A5" s="28" t="n"/>
      <c r="B5" s="159" t="inlineStr">
        <is>
          <t>2026-02-16</t>
        </is>
      </c>
      <c r="C5" s="159" t="inlineStr">
        <is>
          <t>Model fix</t>
        </is>
      </c>
      <c r="D5" s="160" t="inlineStr">
        <is>
          <t>Added missing Sources-Uses tie line in 05_SOURCES_AND_USES!D44 to support 90_CHECKS Sources=Uses check (no output impact).</t>
        </is>
      </c>
      <c r="E5" s="28" t="n"/>
      <c r="F5" s="28" t="n"/>
      <c r="G5" s="28" t="n"/>
      <c r="H5" s="28" t="n"/>
      <c r="I5" s="28" t="n"/>
      <c r="J5" s="28" t="n"/>
      <c r="K5" s="28" t="n"/>
      <c r="L5" s="28" t="n"/>
      <c r="M5" s="28" t="n"/>
      <c r="N5" s="28" t="n"/>
    </row>
    <row r="6" ht="28" customHeight="1">
      <c r="A6" s="28" t="n"/>
      <c r="B6" s="159" t="inlineStr">
        <is>
          <t>2026-02-16</t>
        </is>
      </c>
      <c r="C6" s="161" t="inlineStr">
        <is>
          <t>Control add</t>
        </is>
      </c>
      <c r="D6" s="160" t="inlineStr">
        <is>
          <t>Added TRAINING_MODE toggle (01_CONTROL!G12) default OFF (no output impact).</t>
        </is>
      </c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</row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pageMargins left="0.3" right="0.3" top="0.5" bottom="0.5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2026-02-16T08:24:05Z</dcterms:created>
  <dcterms:modified xmlns:dcterms="http://purl.org/dc/terms/" xmlns:xsi="http://www.w3.org/2001/XMLSchema-instance" xsi:type="dcterms:W3CDTF">2026-02-16T12:44:02Z</dcterms:modified>
</cp:coreProperties>
</file>