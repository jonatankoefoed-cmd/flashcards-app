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DASHBOARD" sheetId="1" state="visible" r:id="rId1"/>
    <sheet xmlns:r="http://schemas.openxmlformats.org/officeDocument/2006/relationships" name="01_CONTROL" sheetId="2" state="visible" r:id="rId2"/>
    <sheet xmlns:r="http://schemas.openxmlformats.org/officeDocument/2006/relationships" name="02_COMPANY_INPUTS" sheetId="3" state="visible" r:id="rId3"/>
    <sheet xmlns:r="http://schemas.openxmlformats.org/officeDocument/2006/relationships" name="03_HISTORICALS" sheetId="4" state="visible" r:id="rId4"/>
    <sheet xmlns:r="http://schemas.openxmlformats.org/officeDocument/2006/relationships" name="04_DRIVERS_AND_FORECAST" sheetId="5" state="visible" r:id="rId5"/>
    <sheet xmlns:r="http://schemas.openxmlformats.org/officeDocument/2006/relationships" name="05_TRADING_COMPS" sheetId="6" state="visible" r:id="rId6"/>
    <sheet xmlns:r="http://schemas.openxmlformats.org/officeDocument/2006/relationships" name="06_DCF_WACC" sheetId="7" state="visible" r:id="rId7"/>
    <sheet xmlns:r="http://schemas.openxmlformats.org/officeDocument/2006/relationships" name="07_DCF_FCF_AND_VALUATION" sheetId="8" state="visible" r:id="rId8"/>
    <sheet xmlns:r="http://schemas.openxmlformats.org/officeDocument/2006/relationships" name="08_TRIANGULATION_RANGE" sheetId="9" state="visible" r:id="rId9"/>
    <sheet xmlns:r="http://schemas.openxmlformats.org/officeDocument/2006/relationships" name="09_SENSITIVITIES" sheetId="10" state="visible" r:id="rId10"/>
    <sheet xmlns:r="http://schemas.openxmlformats.org/officeDocument/2006/relationships" name="80_VAL_LEARN_MAP" sheetId="11" state="visible" r:id="rId11"/>
    <sheet xmlns:r="http://schemas.openxmlformats.org/officeDocument/2006/relationships" name="81_VAL_LEARN_FORMULAS" sheetId="12" state="visible" r:id="rId12"/>
    <sheet xmlns:r="http://schemas.openxmlformats.org/officeDocument/2006/relationships" name="82_VAL_LEARN_INTERPRETATION" sheetId="13" state="visible" r:id="rId13"/>
    <sheet xmlns:r="http://schemas.openxmlformats.org/officeDocument/2006/relationships" name="83_VAL_LEARN_SCENARIOS" sheetId="14" state="visible" r:id="rId14"/>
    <sheet xmlns:r="http://schemas.openxmlformats.org/officeDocument/2006/relationships" name="84_VAL_LEARN_DRILLS" sheetId="15" state="visible" r:id="rId15"/>
    <sheet xmlns:r="http://schemas.openxmlformats.org/officeDocument/2006/relationships" name="85_VAL_LEARN_MISTAKES" sheetId="16" state="visible" r:id="rId16"/>
    <sheet xmlns:r="http://schemas.openxmlformats.org/officeDocument/2006/relationships" name="86_VAL_SPECIAL_MODULE" sheetId="17" state="visible" r:id="rId17"/>
    <sheet xmlns:r="http://schemas.openxmlformats.org/officeDocument/2006/relationships" name="90_CHECKS" sheetId="18" state="visible" r:id="rId18"/>
    <sheet xmlns:r="http://schemas.openxmlformats.org/officeDocument/2006/relationships" name="99_APPENDIX_DATA" sheetId="19" state="visible" r:id="rId19"/>
  </sheets>
  <definedNames/>
</workbook>
</file>

<file path=xl/styles.xml><?xml version="1.0" encoding="utf-8"?>
<styleSheet xmlns="http://schemas.openxmlformats.org/spreadsheetml/2006/main">
  <numFmts count="4">
    <numFmt numFmtId="164" formatCode="yyyy-mm-dd"/>
    <numFmt numFmtId="165" formatCode="0.0000"/>
    <numFmt numFmtId="166" formatCode="0.0%"/>
    <numFmt numFmtId="167" formatCode="0.0x"/>
  </numFmts>
  <fonts count="18">
    <font>
      <name val="Calibri"/>
      <family val="2"/>
      <color theme="1"/>
      <sz val="11"/>
      <scheme val="minor"/>
    </font>
    <font>
      <name val="Calibri"/>
      <b val="1"/>
      <color rgb="00000000"/>
      <sz val="14"/>
    </font>
    <font>
      <name val="Calibri"/>
      <b val="1"/>
      <color rgb="00000000"/>
      <sz val="10"/>
    </font>
    <font>
      <name val="Calibri"/>
      <color rgb="001F4E79"/>
      <sz val="10"/>
    </font>
    <font>
      <name val="Calibri"/>
      <b val="1"/>
      <color rgb="001F1F1F"/>
      <sz val="10"/>
    </font>
    <font>
      <name val="Calibri"/>
      <color rgb="00000000"/>
      <sz val="10"/>
    </font>
    <font>
      <name val="Calibri"/>
      <color rgb="0000B050"/>
      <sz val="10"/>
    </font>
    <font>
      <name val="Calibri"/>
      <sz val="10"/>
    </font>
    <font>
      <name val="Calibri"/>
      <b val="1"/>
      <color rgb="001F2937"/>
      <sz val="14"/>
    </font>
    <font>
      <name val="Calibri"/>
      <color rgb="006B7280"/>
      <sz val="9"/>
    </font>
    <font>
      <name val="Calibri"/>
      <b val="1"/>
      <sz val="10"/>
    </font>
    <font>
      <name val="Calibri"/>
      <b val="1"/>
      <sz val="9"/>
    </font>
    <font>
      <name val="Calibri"/>
      <color rgb="001F1F1F"/>
      <sz val="10"/>
    </font>
    <font>
      <name val="Calibri"/>
      <b val="1"/>
      <color rgb="001F1F1F"/>
      <sz val="9"/>
    </font>
    <font>
      <name val="Calibri"/>
      <color rgb="000070C0"/>
      <sz val="10"/>
    </font>
    <font>
      <name val="Calibri"/>
      <b val="1"/>
      <color rgb="001F1F1F"/>
      <sz val="12"/>
    </font>
    <font>
      <name val="Calibri"/>
      <i val="1"/>
      <color rgb="007F7F7F"/>
      <sz val="9"/>
    </font>
    <font>
      <name val="Calibri"/>
      <color rgb="007030A0"/>
      <sz val="10"/>
      <u val="single"/>
    </font>
  </fonts>
  <fills count="5">
    <fill>
      <patternFill/>
    </fill>
    <fill>
      <patternFill patternType="gray125"/>
    </fill>
    <fill>
      <patternFill patternType="solid">
        <fgColor rgb="00D9E1F2"/>
      </patternFill>
    </fill>
    <fill>
      <patternFill patternType="solid">
        <fgColor rgb="00F2F2F2"/>
      </patternFill>
    </fill>
    <fill>
      <patternFill patternType="solid">
        <fgColor rgb="00FFFFFF"/>
      </patternFill>
    </fill>
  </fills>
  <borders count="3">
    <border>
      <left/>
      <right/>
      <top/>
      <bottom/>
      <diagonal/>
    </border>
    <border>
      <left style="thin">
        <color rgb="00D9D9D9"/>
      </left>
      <right style="thin">
        <color rgb="00D9D9D9"/>
      </right>
      <top style="thin">
        <color rgb="00D9D9D9"/>
      </top>
      <bottom style="thin">
        <color rgb="00D9D9D9"/>
      </bottom>
    </border>
    <border/>
  </borders>
  <cellStyleXfs count="1">
    <xf numFmtId="0" fontId="0" fillId="0" borderId="0"/>
  </cellStyleXfs>
  <cellXfs count="77">
    <xf numFmtId="0" fontId="0" fillId="0" borderId="0" pivotButton="0" quotePrefix="0" xfId="0"/>
    <xf numFmtId="0" fontId="7" fillId="0" borderId="2" applyAlignment="1" pivotButton="0" quotePrefix="0" xfId="0">
      <alignment horizontal="left" vertical="center"/>
    </xf>
    <xf numFmtId="0" fontId="8" fillId="0" borderId="2" applyAlignment="1" pivotButton="0" quotePrefix="0" xfId="0">
      <alignment horizontal="left" vertical="center"/>
    </xf>
    <xf numFmtId="0" fontId="9" fillId="0" borderId="2" applyAlignment="1" pivotButton="0" quotePrefix="0" xfId="0">
      <alignment horizontal="left" vertical="center"/>
    </xf>
    <xf numFmtId="164" fontId="7" fillId="0" borderId="2" applyAlignment="1" pivotButton="0" quotePrefix="0" xfId="0">
      <alignment horizontal="left" vertical="center"/>
    </xf>
    <xf numFmtId="0" fontId="4" fillId="3" borderId="1" applyAlignment="1" pivotButton="0" quotePrefix="0" xfId="0">
      <alignment horizontal="left" vertical="center"/>
    </xf>
    <xf numFmtId="0" fontId="7" fillId="3" borderId="1" applyAlignment="1" pivotButton="0" quotePrefix="0" xfId="0">
      <alignment horizontal="left" vertical="center"/>
    </xf>
    <xf numFmtId="0" fontId="2" fillId="0" borderId="2" applyAlignment="1" pivotButton="0" quotePrefix="0" xfId="0">
      <alignment horizontal="left" vertical="center"/>
    </xf>
    <xf numFmtId="2" fontId="6" fillId="4" borderId="1" applyAlignment="1" pivotButton="0" quotePrefix="0" xfId="0">
      <alignment horizontal="right" vertical="center"/>
    </xf>
    <xf numFmtId="10" fontId="6" fillId="4" borderId="1" applyAlignment="1" pivotButton="0" quotePrefix="0" xfId="0">
      <alignment horizontal="right" vertical="center"/>
    </xf>
    <xf numFmtId="49" fontId="6" fillId="4" borderId="1" applyAlignment="1" pivotButton="0" quotePrefix="0" xfId="0">
      <alignment horizontal="right" vertical="center"/>
    </xf>
    <xf numFmtId="49" fontId="5" fillId="4" borderId="1" applyAlignment="1" pivotButton="0" quotePrefix="0" xfId="0">
      <alignment horizontal="right" vertical="center"/>
    </xf>
    <xf numFmtId="1" fontId="5" fillId="4" borderId="1" applyAlignment="1" pivotButton="0" quotePrefix="0" xfId="0">
      <alignment horizontal="right" vertical="center"/>
    </xf>
    <xf numFmtId="49" fontId="5" fillId="4" borderId="1"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left" vertical="center"/>
    </xf>
    <xf numFmtId="164" fontId="3" fillId="2" borderId="1" applyAlignment="1" pivotButton="0" quotePrefix="0" xfId="0">
      <alignment horizontal="left" vertical="center"/>
    </xf>
    <xf numFmtId="0" fontId="0" fillId="3" borderId="1" pivotButton="0" quotePrefix="0" xfId="0"/>
    <xf numFmtId="0" fontId="2" fillId="3" borderId="1" applyAlignment="1" pivotButton="0" quotePrefix="0" xfId="0">
      <alignment horizontal="left" vertical="center"/>
    </xf>
    <xf numFmtId="0" fontId="0" fillId="3" borderId="1" applyAlignment="1" pivotButton="0" quotePrefix="0" xfId="0">
      <alignment horizontal="left" vertical="center"/>
    </xf>
    <xf numFmtId="0" fontId="5" fillId="0" borderId="0" applyAlignment="1" pivotButton="0" quotePrefix="0" xfId="0">
      <alignment horizontal="left" vertical="center"/>
    </xf>
    <xf numFmtId="1" fontId="3" fillId="2" borderId="1" applyAlignment="1" pivotButton="0" quotePrefix="0" xfId="0">
      <alignment horizontal="left" vertical="center"/>
    </xf>
    <xf numFmtId="10" fontId="3" fillId="2" borderId="1" applyAlignment="1" pivotButton="0" quotePrefix="0" xfId="0">
      <alignment horizontal="left" vertical="center"/>
    </xf>
    <xf numFmtId="2" fontId="3" fillId="2" borderId="1" applyAlignment="1" pivotButton="0" quotePrefix="0" xfId="0">
      <alignment horizontal="left" vertical="center"/>
    </xf>
    <xf numFmtId="10" fontId="5" fillId="4" borderId="1" applyAlignment="1" pivotButton="0" quotePrefix="0" xfId="0">
      <alignment horizontal="right" vertical="center"/>
    </xf>
    <xf numFmtId="0" fontId="2" fillId="3" borderId="1" applyAlignment="1" pivotButton="0" quotePrefix="0" xfId="0">
      <alignment horizontal="center" vertical="center"/>
    </xf>
    <xf numFmtId="0" fontId="2" fillId="0" borderId="1" applyAlignment="1" pivotButton="0" quotePrefix="0" xfId="0">
      <alignment horizontal="center" vertical="center"/>
    </xf>
    <xf numFmtId="1" fontId="5" fillId="0" borderId="1" applyAlignment="1" pivotButton="0" quotePrefix="0" xfId="0">
      <alignment horizontal="center" vertical="center"/>
    </xf>
    <xf numFmtId="0" fontId="4" fillId="0" borderId="0" applyAlignment="1" pivotButton="0" quotePrefix="0" xfId="0">
      <alignment horizontal="left" vertical="center"/>
    </xf>
    <xf numFmtId="0" fontId="2" fillId="3" borderId="1" pivotButton="0" quotePrefix="0" xfId="0"/>
    <xf numFmtId="0" fontId="2" fillId="0" borderId="1" applyAlignment="1" pivotButton="0" quotePrefix="0" xfId="0">
      <alignment horizontal="left" vertical="center"/>
    </xf>
    <xf numFmtId="0" fontId="5" fillId="0" borderId="1" applyAlignment="1" pivotButton="0" quotePrefix="0" xfId="0">
      <alignment horizontal="left" vertical="center"/>
    </xf>
    <xf numFmtId="0" fontId="0" fillId="0" borderId="1" pivotButton="0" quotePrefix="0" xfId="0"/>
    <xf numFmtId="10" fontId="3" fillId="2" borderId="1" applyAlignment="1" pivotButton="0" quotePrefix="0" xfId="0">
      <alignment horizontal="right" vertical="center"/>
    </xf>
    <xf numFmtId="0" fontId="0" fillId="0" borderId="0" applyAlignment="1" pivotButton="0" quotePrefix="0" xfId="0">
      <alignment horizontal="left" vertical="center"/>
    </xf>
    <xf numFmtId="0" fontId="5" fillId="0" borderId="0" pivotButton="0" quotePrefix="0" xfId="0"/>
    <xf numFmtId="2" fontId="3" fillId="2" borderId="1" applyAlignment="1" pivotButton="0" quotePrefix="0" xfId="0">
      <alignment horizontal="right" vertical="center"/>
    </xf>
    <xf numFmtId="0" fontId="2" fillId="0" borderId="0" pivotButton="0" quotePrefix="0" xfId="0"/>
    <xf numFmtId="165" fontId="6" fillId="4" borderId="1" applyAlignment="1" pivotButton="0" quotePrefix="0" xfId="0">
      <alignment horizontal="right" vertical="center"/>
    </xf>
    <xf numFmtId="0" fontId="6" fillId="4" borderId="1" applyAlignment="1" pivotButton="0" quotePrefix="0" xfId="0">
      <alignment horizontal="right" vertical="center"/>
    </xf>
    <xf numFmtId="0" fontId="6" fillId="4" borderId="1" pivotButton="0" quotePrefix="0" xfId="0"/>
    <xf numFmtId="0" fontId="2" fillId="0" borderId="1" pivotButton="0" quotePrefix="0" xfId="0"/>
    <xf numFmtId="2" fontId="6" fillId="4" borderId="1" pivotButton="0" quotePrefix="0" xfId="0"/>
    <xf numFmtId="10" fontId="2" fillId="3" borderId="1" applyAlignment="1" pivotButton="0" quotePrefix="0" xfId="0">
      <alignment horizontal="center" vertical="center"/>
    </xf>
    <xf numFmtId="2" fontId="2" fillId="3" borderId="1" applyAlignment="1" pivotButton="0" quotePrefix="0" xfId="0">
      <alignment horizontal="center" vertical="center"/>
    </xf>
    <xf numFmtId="0" fontId="6" fillId="4" borderId="1" applyAlignment="1" pivotButton="0" quotePrefix="0" xfId="0">
      <alignment horizontal="left" vertical="center"/>
    </xf>
    <xf numFmtId="2" fontId="6" fillId="4" borderId="1" applyAlignment="1" pivotButton="0" quotePrefix="0" xfId="0">
      <alignment horizontal="left" vertical="center"/>
    </xf>
    <xf numFmtId="1" fontId="6" fillId="4" borderId="1" pivotButton="0" quotePrefix="0" xfId="0"/>
    <xf numFmtId="0" fontId="0" fillId="0" borderId="1" applyAlignment="1" pivotButton="0" quotePrefix="0" xfId="0">
      <alignment horizontal="center" vertical="center"/>
    </xf>
    <xf numFmtId="0" fontId="4" fillId="3" borderId="1" applyAlignment="1" pivotButton="0" quotePrefix="0" xfId="0">
      <alignment horizontal="center" vertical="center"/>
    </xf>
    <xf numFmtId="0" fontId="7" fillId="0" borderId="1" applyAlignment="1" pivotButton="0" quotePrefix="0" xfId="0">
      <alignment horizontal="left" vertical="center"/>
    </xf>
    <xf numFmtId="2" fontId="7" fillId="0" borderId="1" applyAlignment="1" pivotButton="0" quotePrefix="0" xfId="0">
      <alignment horizontal="right" vertical="center"/>
    </xf>
    <xf numFmtId="0" fontId="10" fillId="0" borderId="2" applyAlignment="1" pivotButton="0" quotePrefix="0" xfId="0">
      <alignment horizontal="left" vertical="center"/>
    </xf>
    <xf numFmtId="0" fontId="12" fillId="3" borderId="1" applyAlignment="1" pivotButton="0" quotePrefix="0" xfId="0">
      <alignment horizontal="left" vertical="center"/>
    </xf>
    <xf numFmtId="10" fontId="13" fillId="3" borderId="1" applyAlignment="1" pivotButton="0" quotePrefix="0" xfId="0">
      <alignment horizontal="center" vertical="center"/>
    </xf>
    <xf numFmtId="164" fontId="14" fillId="2" borderId="1" applyAlignment="1" pivotButton="0" quotePrefix="0" xfId="0">
      <alignment horizontal="left" vertical="center"/>
    </xf>
    <xf numFmtId="0" fontId="14" fillId="2" borderId="1" applyAlignment="1" pivotButton="0" quotePrefix="0" xfId="0">
      <alignment horizontal="left" vertical="center"/>
    </xf>
    <xf numFmtId="1" fontId="14" fillId="2" borderId="1" applyAlignment="1" pivotButton="0" quotePrefix="0" xfId="0">
      <alignment horizontal="left" vertical="center"/>
    </xf>
    <xf numFmtId="10" fontId="14" fillId="2" borderId="1" applyAlignment="1" pivotButton="0" quotePrefix="0" xfId="0">
      <alignment horizontal="left" vertical="center"/>
    </xf>
    <xf numFmtId="2" fontId="14" fillId="2" borderId="1" applyAlignment="1" pivotButton="0" quotePrefix="0" xfId="0">
      <alignment horizontal="left" vertical="center"/>
    </xf>
    <xf numFmtId="0" fontId="4" fillId="3" borderId="1" pivotButton="0" quotePrefix="0" xfId="0"/>
    <xf numFmtId="10" fontId="14" fillId="2" borderId="1" applyAlignment="1" pivotButton="0" quotePrefix="0" xfId="0">
      <alignment horizontal="right" vertical="center"/>
    </xf>
    <xf numFmtId="10" fontId="4" fillId="3" borderId="1" applyAlignment="1" pivotButton="0" quotePrefix="0" xfId="0">
      <alignment horizontal="center" vertical="center"/>
    </xf>
    <xf numFmtId="2" fontId="4" fillId="3" borderId="1" applyAlignment="1" pivotButton="0" quotePrefix="0" xfId="0">
      <alignment horizontal="center" vertical="center"/>
    </xf>
    <xf numFmtId="0" fontId="10" fillId="3" borderId="1" applyAlignment="1" pivotButton="0" quotePrefix="0" xfId="0">
      <alignment horizontal="center" vertical="center"/>
    </xf>
    <xf numFmtId="0" fontId="15" fillId="3" borderId="1" applyAlignment="1" pivotButton="0" quotePrefix="0" xfId="0">
      <alignment horizontal="left" vertical="center" wrapText="1"/>
    </xf>
    <xf numFmtId="167" fontId="16" fillId="4" borderId="2" applyAlignment="1" pivotButton="0" quotePrefix="0" xfId="0">
      <alignment vertical="top" wrapText="1"/>
    </xf>
    <xf numFmtId="167" fontId="14" fillId="2" borderId="2" applyAlignment="1" pivotButton="0" quotePrefix="0" xfId="0">
      <alignment horizontal="left" vertical="center"/>
    </xf>
    <xf numFmtId="0" fontId="0" fillId="0" borderId="2" pivotButton="0" quotePrefix="0" xfId="0"/>
    <xf numFmtId="0" fontId="16" fillId="0" borderId="0" applyAlignment="1" pivotButton="0" quotePrefix="0" xfId="0">
      <alignment horizontal="left" vertical="center"/>
    </xf>
    <xf numFmtId="0" fontId="16" fillId="0" borderId="0" applyAlignment="1" pivotButton="0" quotePrefix="0" xfId="0">
      <alignment wrapText="1"/>
    </xf>
    <xf numFmtId="0" fontId="2" fillId="0" borderId="2" applyAlignment="1" pivotButton="0" quotePrefix="0" xfId="0">
      <alignment vertical="top" wrapText="1"/>
    </xf>
    <xf numFmtId="0" fontId="17" fillId="0" borderId="2" applyAlignment="1" pivotButton="0" quotePrefix="0" xfId="0">
      <alignment vertical="top" wrapText="1"/>
    </xf>
    <xf numFmtId="0" fontId="5" fillId="0" borderId="2" applyAlignment="1" pivotButton="0" quotePrefix="0" xfId="0">
      <alignment vertical="top" wrapText="1"/>
    </xf>
    <xf numFmtId="0" fontId="0" fillId="0" borderId="2" applyAlignment="1" pivotButton="0" quotePrefix="0" xfId="0">
      <alignment vertical="top" wrapText="1"/>
    </xf>
    <xf numFmtId="0"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Valuation range (Implied price)</a:t>
            </a:r>
          </a:p>
        </rich>
      </tx>
      <overlay val="0"/>
      <txPr>
        <a:bodyPr xmlns:a="http://schemas.openxmlformats.org/drawingml/2006/main" rot="0" vertOverflow="ellipsis" vert="horz" wrap="square" anchor="ctr" anchorCtr="1"/>
        <a:lstStyle xmlns:a="http://schemas.openxmlformats.org/drawingml/2006/main"/>
        <a:p xmlns:a="http://schemas.openxmlformats.org/drawingml/2006/main">
          <a:pPr>
            <a:defRPr/>
          </a:pPr>
          <a:r>
            <a:t/>
          </a:r>
        </a:p>
      </txPr>
    </title>
    <plotArea>
      <layout/>
      <barChart>
        <barDir val="bar"/>
        <grouping val="stacked"/>
        <ser>
          <idx val="0"/>
          <order val="0"/>
          <tx>
            <strRef>
              <f>'00_DASHBOARD'!I10</f>
              <strCache>
                <ptCount val="1"/>
                <pt idx="0">
                  <v>None</v>
                </pt>
              </strCache>
            </strRef>
          </tx>
          <spPr>
            <a:ln xmlns:a="http://schemas.openxmlformats.org/drawingml/2006/main">
              <a:noFill/>
              <a:prstDash val="solid"/>
            </a:ln>
          </spPr>
          <cat>
            <strRef>
              <f>'00_DASHBOARD'!$H$11:$H$13</f>
              <strCache>
                <ptCount val="0"/>
              </strCache>
            </strRef>
          </cat>
          <val>
            <numRef>
              <f>'00_DASHBOARD'!$I$11:$I$13</f>
              <numCache>
                <ptCount val="0"/>
              </numCache>
            </numRef>
          </val>
        </ser>
        <ser>
          <idx val="1"/>
          <order val="1"/>
          <tx>
            <strRef>
              <f>'00_DASHBOARD'!J10</f>
              <strCache>
                <ptCount val="1"/>
                <pt idx="0">
                  <v>None</v>
                </pt>
              </strCache>
            </strRef>
          </tx>
          <spPr>
            <a:ln xmlns:a="http://schemas.openxmlformats.org/drawingml/2006/main">
              <a:prstDash val="solid"/>
            </a:ln>
          </spPr>
          <cat>
            <strRef>
              <f>'00_DASHBOARD'!$H$11:$H$13</f>
              <strCache>
                <ptCount val="0"/>
              </strCache>
            </strRef>
          </cat>
          <val>
            <numRef>
              <f>'00_DASHBOARD'!$J$11:$J$13</f>
              <numCache>
                <ptCount val="0"/>
              </numCache>
            </numRef>
          </val>
        </ser>
        <dLbls>
          <txPr>
            <a:bodyPr xmlns:a="http://schemas.openxmlformats.org/drawingml/2006/main" anchor="ctr" anchorCtr="1"/>
            <a:lstStyle xmlns:a="http://schemas.openxmlformats.org/drawingml/2006/main"/>
            <a:p xmlns:a="http://schemas.openxmlformats.org/drawingml/2006/main">
              <a:pPr>
                <a:defRPr/>
              </a:pPr>
              <a:r>
                <a:t/>
              </a:r>
            </a:p>
          </txPr>
          <showLegendKey val="0"/>
          <showVal val="0"/>
          <showCatName val="0"/>
          <showSerName val="0"/>
          <showPercent val="0"/>
          <showBubbleSize val="0"/>
        </dLbls>
        <gapWidth val="150"/>
        <overlap val="100"/>
        <axId val="48650112"/>
        <axId val="48672768"/>
      </barChart>
      <catAx>
        <axId val="48650112"/>
        <scaling>
          <orientation val="minMax"/>
        </scaling>
        <delete val="0"/>
        <axPos val="b"/>
        <numFmt formatCode="" sourceLinked="0"/>
        <majorTickMark val="none"/>
        <minorTickMark val="none"/>
        <tickLblPos val="nextTo"/>
        <crossAx val="48672768"/>
        <crosses val="autoZero"/>
        <lblAlgn val="ctr"/>
        <lblOffset val="100"/>
        <noMultiLvlLbl val="0"/>
      </catAx>
      <valAx>
        <axId val="48672768"/>
        <scaling>
          <orientation val="minMax"/>
        </scaling>
        <delete val="0"/>
        <axPos val="l"/>
        <numFmt formatCode="" sourceLinked="0"/>
        <majorTickMark val="none"/>
        <minorTickMark val="none"/>
        <tickLblPos val="nextTo"/>
        <crossAx val="48650112"/>
        <crosses val="autoZero"/>
        <crossBetween val="between"/>
      </valAx>
    </plotArea>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Combined implied price by scenario</a:t>
            </a:r>
          </a:p>
        </rich>
      </tx>
      <overlay val="0"/>
      <txPr>
        <a:bodyPr xmlns:a="http://schemas.openxmlformats.org/drawingml/2006/main" rot="0" vertOverflow="ellipsis" vert="horz" wrap="square" anchor="ctr" anchorCtr="1"/>
        <a:lstStyle xmlns:a="http://schemas.openxmlformats.org/drawingml/2006/main"/>
        <a:p xmlns:a="http://schemas.openxmlformats.org/drawingml/2006/main">
          <a:pPr>
            <a:defRPr/>
          </a:pPr>
          <a:r>
            <a:t/>
          </a:r>
        </a:p>
      </txPr>
    </title>
    <plotArea>
      <layout/>
      <lineChart>
        <grouping val="standard"/>
        <varyColors val="0"/>
        <ser>
          <idx val="0"/>
          <order val="0"/>
          <tx>
            <strRef>
              <f>'00_DASHBOARD'!I32</f>
              <strCache>
                <ptCount val="1"/>
                <pt idx="0">
                  <v>None</v>
                </pt>
              </strCache>
            </strRef>
          </tx>
          <spPr>
            <a:ln xmlns:a="http://schemas.openxmlformats.org/drawingml/2006/main">
              <a:prstDash val="solid"/>
            </a:ln>
          </spPr>
          <marker>
            <symbol val="none"/>
            <spPr>
              <a:ln xmlns:a="http://schemas.openxmlformats.org/drawingml/2006/main">
                <a:prstDash val="solid"/>
              </a:ln>
            </spPr>
          </marker>
          <cat>
            <strRef>
              <f>'00_DASHBOARD'!$H$33:$H$35</f>
              <strCache>
                <ptCount val="0"/>
              </strCache>
            </strRef>
          </cat>
          <val>
            <numRef>
              <f>'00_DASHBOARD'!$I$33:$I$35</f>
              <numCache>
                <ptCount val="0"/>
              </numCache>
            </numRef>
          </val>
          <smooth val="0"/>
        </ser>
        <axId val="48650112"/>
        <axId val="48672768"/>
      </lineChart>
      <catAx>
        <axId val="48650112"/>
        <scaling>
          <orientation val="minMax"/>
        </scaling>
        <delete val="0"/>
        <axPos val="b"/>
        <numFmt formatCode="" sourceLinked="0"/>
        <majorTickMark val="none"/>
        <minorTickMark val="none"/>
        <tickLblPos val="nextTo"/>
        <crossAx val="48672768"/>
        <crosses val="autoZero"/>
        <lblAlgn val="ctr"/>
        <lblOffset val="100"/>
        <noMultiLvlLbl val="0"/>
      </catAx>
      <valAx>
        <axId val="48672768"/>
        <scaling>
          <orientation val="minMax"/>
        </scaling>
        <delete val="0"/>
        <axPos val="l"/>
        <numFmt formatCode="" sourceLinked="0"/>
        <majorTickMark val="none"/>
        <minorTickMark val="none"/>
        <tickLblPos val="nextTo"/>
        <crossAx val="48650112"/>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7</col>
      <colOff>0</colOff>
      <row>14</row>
      <rowOff>0</rowOff>
    </from>
    <to>
      <col>2</col>
      <colOff>0</colOff>
      <row>10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35</row>
      <rowOff>0</rowOff>
    </from>
    <to>
      <col>2</col>
      <colOff>0</colOff>
      <row>10</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hyperlink" Target="#08_TRIANGULATION_RANGE!F47" TargetMode="External" Id="rId1"/><Relationship Type="http://schemas.openxmlformats.org/officeDocument/2006/relationships/hyperlink" Target="#08_TRIANGULATION_RANGE!F48" TargetMode="External" Id="rId2"/><Relationship Type="http://schemas.openxmlformats.org/officeDocument/2006/relationships/hyperlink" Target="#08_TRIANGULATION_RANGE!F49" TargetMode="External" Id="rId3"/><Relationship Type="http://schemas.openxmlformats.org/officeDocument/2006/relationships/hyperlink" Target="#08_TRIANGULATION_RANGE!F50" TargetMode="External" Id="rId4"/><Relationship Type="http://schemas.openxmlformats.org/officeDocument/2006/relationships/hyperlink" Target="#08_TRIANGULATION_RANGE!F51" TargetMode="External" Id="rId5"/><Relationship Type="http://schemas.openxmlformats.org/officeDocument/2006/relationships/hyperlink" Target="#08_TRIANGULATION_RANGE!F72" TargetMode="External" Id="rId6"/><Relationship Type="http://schemas.openxmlformats.org/officeDocument/2006/relationships/hyperlink" Target="#05_TRADING_COMPS!F40" TargetMode="External" Id="rId7"/><Relationship Type="http://schemas.openxmlformats.org/officeDocument/2006/relationships/hyperlink" Target="#05_TRADING_COMPS!G40" TargetMode="External" Id="rId8"/><Relationship Type="http://schemas.openxmlformats.org/officeDocument/2006/relationships/hyperlink" Target="#05_TRADING_COMPS!H40" TargetMode="External" Id="rId9"/><Relationship Type="http://schemas.openxmlformats.org/officeDocument/2006/relationships/hyperlink" Target="#08_TRIANGULATION_RANGE!F58" TargetMode="External" Id="rId10"/><Relationship Type="http://schemas.openxmlformats.org/officeDocument/2006/relationships/hyperlink" Target="#08_TRIANGULATION_RANGE!F14" TargetMode="External" Id="rId11"/><Relationship Type="http://schemas.openxmlformats.org/officeDocument/2006/relationships/hyperlink" Target="#08_TRIANGULATION_RANGE!F66" TargetMode="External" Id="rId12"/><Relationship Type="http://schemas.openxmlformats.org/officeDocument/2006/relationships/hyperlink" Target="#08_TRIANGULATION_RANGE!F67" TargetMode="External" Id="rId13"/><Relationship Type="http://schemas.openxmlformats.org/officeDocument/2006/relationships/hyperlink" Target="#08_TRIANGULATION_RANGE!F21" TargetMode="External" Id="rId14"/><Relationship Type="http://schemas.openxmlformats.org/officeDocument/2006/relationships/hyperlink" Target="#08_TRIANGULATION_RANGE!F22" TargetMode="External" Id="rId15"/><Relationship Type="http://schemas.openxmlformats.org/officeDocument/2006/relationships/hyperlink" Target="#08_TRIANGULATION_RANGE!F23" TargetMode="External" Id="rId16"/><Relationship Type="http://schemas.openxmlformats.org/officeDocument/2006/relationships/hyperlink" Target="#08_TRIANGULATION_RANGE!F61" TargetMode="External" Id="rId17"/><Relationship Type="http://schemas.openxmlformats.org/officeDocument/2006/relationships/hyperlink" Target="#08_TRIANGULATION_RANGE!F62" TargetMode="External" Id="rId18"/><Relationship Type="http://schemas.openxmlformats.org/officeDocument/2006/relationships/hyperlink" Target="#08_TRIANGULATION_RANGE!F53" TargetMode="External" Id="rId19"/><Relationship Type="http://schemas.openxmlformats.org/officeDocument/2006/relationships/hyperlink" Target="#07_DCF_FCF_AND_VALUATION!F56" TargetMode="External" Id="rId20"/><Relationship Type="http://schemas.openxmlformats.org/officeDocument/2006/relationships/hyperlink" Target="#07_DCF_FCF_AND_VALUATION!F57" TargetMode="External" Id="rId21"/><Relationship Type="http://schemas.openxmlformats.org/officeDocument/2006/relationships/hyperlink" Target="#86_VAL_SPECIAL_MODULE!D53" TargetMode="External" Id="rId22"/><Relationship Type="http://schemas.openxmlformats.org/officeDocument/2006/relationships/hyperlink" Target="#86_VAL_SPECIAL_MODULE!D54" TargetMode="External" Id="rId23"/><Relationship Type="http://schemas.openxmlformats.org/officeDocument/2006/relationships/hyperlink" Target="#86_VAL_SPECIAL_MODULE!D55" TargetMode="External" Id="rId24"/><Relationship Type="http://schemas.openxmlformats.org/officeDocument/2006/relationships/hyperlink" Target="#08_TRIANGULATION_RANGE!F75" TargetMode="External" Id="rId25"/><Relationship Type="http://schemas.openxmlformats.org/officeDocument/2006/relationships/hyperlink" Target="#01_CONTROL!G43" TargetMode="External" Id="rId26"/><Relationship Type="http://schemas.openxmlformats.org/officeDocument/2006/relationships/hyperlink" Target="#09_SENSITIVITIES!G16" TargetMode="External" Id="rId27"/><Relationship Type="http://schemas.openxmlformats.org/officeDocument/2006/relationships/hyperlink" Target="#90_CHECKS!F3" TargetMode="External" Id="rId28"/><Relationship Type="http://schemas.openxmlformats.org/officeDocument/2006/relationships/hyperlink" Target="#08_TRIANGULATION_RANGE!F70" TargetMode="External" Id="rId29"/><Relationship Type="http://schemas.openxmlformats.org/officeDocument/2006/relationships/hyperlink" Target="#08_TRIANGULATION_RANGE!F73" TargetMode="External" Id="rId30"/></Relationships>
</file>

<file path=xl/worksheets/_rels/sheet12.xml.rels><Relationships xmlns="http://schemas.openxmlformats.org/package/2006/relationships"><Relationship Type="http://schemas.openxmlformats.org/officeDocument/2006/relationships/hyperlink" Target="#08_TRIANGULATION_RANGE!F49" TargetMode="External" Id="rId1"/><Relationship Type="http://schemas.openxmlformats.org/officeDocument/2006/relationships/hyperlink" Target="#02_COMPANY_INPUTS!F26" TargetMode="External" Id="rId2"/><Relationship Type="http://schemas.openxmlformats.org/officeDocument/2006/relationships/hyperlink" Target="#08_TRIANGULATION_RANGE!F51" TargetMode="External" Id="rId3"/><Relationship Type="http://schemas.openxmlformats.org/officeDocument/2006/relationships/hyperlink" Target="#05_TRADING_COMPS!F28" TargetMode="External" Id="rId4"/><Relationship Type="http://schemas.openxmlformats.org/officeDocument/2006/relationships/hyperlink" Target="#05_TRADING_COMPS!G28" TargetMode="External" Id="rId5"/><Relationship Type="http://schemas.openxmlformats.org/officeDocument/2006/relationships/hyperlink" Target="#05_TRADING_COMPS!H28" TargetMode="External" Id="rId6"/><Relationship Type="http://schemas.openxmlformats.org/officeDocument/2006/relationships/hyperlink" Target="#05_TRADING_COMPS!F32" TargetMode="External" Id="rId7"/><Relationship Type="http://schemas.openxmlformats.org/officeDocument/2006/relationships/hyperlink" Target="#05_TRADING_COMPS!F40" TargetMode="External" Id="rId8"/><Relationship Type="http://schemas.openxmlformats.org/officeDocument/2006/relationships/hyperlink" Target="#05_TRADING_COMPS!G40" TargetMode="External" Id="rId9"/><Relationship Type="http://schemas.openxmlformats.org/officeDocument/2006/relationships/hyperlink" Target="#05_TRADING_COMPS!H40" TargetMode="External" Id="rId10"/><Relationship Type="http://schemas.openxmlformats.org/officeDocument/2006/relationships/hyperlink" Target="#05_TRADING_COMPS!G43" TargetMode="External" Id="rId11"/><Relationship Type="http://schemas.openxmlformats.org/officeDocument/2006/relationships/hyperlink" Target="#08_TRIANGULATION_RANGE!F14" TargetMode="External" Id="rId12"/><Relationship Type="http://schemas.openxmlformats.org/officeDocument/2006/relationships/hyperlink" Target="#07_DCF_FCF_AND_VALUATION!F12" TargetMode="External" Id="rId13"/><Relationship Type="http://schemas.openxmlformats.org/officeDocument/2006/relationships/hyperlink" Target="#07_DCF_FCF_AND_VALUATION!F30" TargetMode="External" Id="rId14"/><Relationship Type="http://schemas.openxmlformats.org/officeDocument/2006/relationships/hyperlink" Target="#07_DCF_FCF_AND_VALUATION!F34" TargetMode="External" Id="rId15"/><Relationship Type="http://schemas.openxmlformats.org/officeDocument/2006/relationships/hyperlink" Target="#07_DCF_FCF_AND_VALUATION!F35" TargetMode="External" Id="rId16"/><Relationship Type="http://schemas.openxmlformats.org/officeDocument/2006/relationships/hyperlink" Target="#07_DCF_FCF_AND_VALUATION!F36" TargetMode="External" Id="rId17"/><Relationship Type="http://schemas.openxmlformats.org/officeDocument/2006/relationships/hyperlink" Target="#07_DCF_FCF_AND_VALUATION!F37" TargetMode="External" Id="rId18"/><Relationship Type="http://schemas.openxmlformats.org/officeDocument/2006/relationships/hyperlink" Target="#07_DCF_FCF_AND_VALUATION!F38" TargetMode="External" Id="rId19"/><Relationship Type="http://schemas.openxmlformats.org/officeDocument/2006/relationships/hyperlink" Target="#01_CONTROL!F34" TargetMode="External" Id="rId20"/><Relationship Type="http://schemas.openxmlformats.org/officeDocument/2006/relationships/hyperlink" Target="#01_CONTROL!F35" TargetMode="External" Id="rId21"/><Relationship Type="http://schemas.openxmlformats.org/officeDocument/2006/relationships/hyperlink" Target="#01_CONTROL!F36" TargetMode="External" Id="rId22"/><Relationship Type="http://schemas.openxmlformats.org/officeDocument/2006/relationships/hyperlink" Target="#08_TRIANGULATION_RANGE!F53" TargetMode="External" Id="rId23"/><Relationship Type="http://schemas.openxmlformats.org/officeDocument/2006/relationships/hyperlink" Target="#08_TRIANGULATION_RANGE!F61" TargetMode="External" Id="rId24"/><Relationship Type="http://schemas.openxmlformats.org/officeDocument/2006/relationships/hyperlink" Target="#08_TRIANGULATION_RANGE!F63" TargetMode="External" Id="rId25"/><Relationship Type="http://schemas.openxmlformats.org/officeDocument/2006/relationships/hyperlink" Target="#08_TRIANGULATION_RANGE!F64" TargetMode="External" Id="rId26"/><Relationship Type="http://schemas.openxmlformats.org/officeDocument/2006/relationships/hyperlink" Target="#86_VAL_SPECIAL_MODULE!D53" TargetMode="External" Id="rId27"/><Relationship Type="http://schemas.openxmlformats.org/officeDocument/2006/relationships/hyperlink" Target="#86_VAL_SPECIAL_MODULE!D54" TargetMode="External" Id="rId28"/><Relationship Type="http://schemas.openxmlformats.org/officeDocument/2006/relationships/hyperlink" Target="#86_VAL_SPECIAL_MODULE!D55" TargetMode="External" Id="rId29"/><Relationship Type="http://schemas.openxmlformats.org/officeDocument/2006/relationships/hyperlink" Target="#09_SENSITIVITIES!H18" TargetMode="External" Id="rId30"/><Relationship Type="http://schemas.openxmlformats.org/officeDocument/2006/relationships/hyperlink" Target="#01_CONTROL!G43" TargetMode="External" Id="rId31"/><Relationship Type="http://schemas.openxmlformats.org/officeDocument/2006/relationships/hyperlink" Target="#01_CONTROL!F9" TargetMode="External" Id="rId32"/><Relationship Type="http://schemas.openxmlformats.org/officeDocument/2006/relationships/hyperlink" Target="#01_CONTROL!F79" TargetMode="External" Id="rId33"/><Relationship Type="http://schemas.openxmlformats.org/officeDocument/2006/relationships/hyperlink" Target="#01_CONTROL!F80" TargetMode="External" Id="rId34"/><Relationship Type="http://schemas.openxmlformats.org/officeDocument/2006/relationships/hyperlink" Target="#90_CHECKS!F3" TargetMode="External" Id="rId35"/></Relationships>
</file>

<file path=xl/worksheets/_rels/sheet17.xml.rels><Relationships xmlns="http://schemas.openxmlformats.org/package/2006/relationships"><Relationship Type="http://schemas.openxmlformats.org/officeDocument/2006/relationships/hyperlink" Target="#01_CONTROL!F25" TargetMode="External" Id="rId1"/><Relationship Type="http://schemas.openxmlformats.org/officeDocument/2006/relationships/hyperlink" Target="#01_CONTROL!F26" TargetMode="External" Id="rId2"/><Relationship Type="http://schemas.openxmlformats.org/officeDocument/2006/relationships/hyperlink" Target="#01_CONTROL!F27" TargetMode="External" Id="rId3"/><Relationship Type="http://schemas.openxmlformats.org/officeDocument/2006/relationships/hyperlink" Target="#01_CONTROL!F28" TargetMode="External" Id="rId4"/><Relationship Type="http://schemas.openxmlformats.org/officeDocument/2006/relationships/hyperlink" Target="#01_CONTROL!F29" TargetMode="External" Id="rId5"/><Relationship Type="http://schemas.openxmlformats.org/officeDocument/2006/relationships/hyperlink" Target="#01_CONTROL!F24" TargetMode="External" Id="rId6"/><Relationship Type="http://schemas.openxmlformats.org/officeDocument/2006/relationships/hyperlink" Target="#01_CONTROL!F30" TargetMode="External" Id="rId7"/><Relationship Type="http://schemas.openxmlformats.org/officeDocument/2006/relationships/hyperlink" Target="#01_CONTROL!F31" TargetMode="External" Id="rId8"/><Relationship Type="http://schemas.openxmlformats.org/officeDocument/2006/relationships/hyperlink" Target="#01_CONTROL!F34" TargetMode="External" Id="rId9"/><Relationship Type="http://schemas.openxmlformats.org/officeDocument/2006/relationships/hyperlink" Target="#01_CONTROL!F35" TargetMode="External" Id="rId10"/><Relationship Type="http://schemas.openxmlformats.org/officeDocument/2006/relationships/hyperlink" Target="#01_CONTROL!F36" TargetMode="External" Id="rId11"/></Relationships>
</file>

<file path=xl/worksheets/sheet1.xml><?xml version="1.0" encoding="utf-8"?>
<worksheet xmlns="http://schemas.openxmlformats.org/spreadsheetml/2006/main">
  <sheetPr>
    <outlinePr summaryBelow="1" summaryRight="1"/>
    <pageSetUpPr/>
  </sheetPr>
  <dimension ref="A1:T119"/>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c r="A1" s="1" t="n"/>
      <c r="B1" s="1" t="n"/>
      <c r="C1" s="1" t="n"/>
      <c r="D1" s="1" t="n"/>
      <c r="E1" s="1" t="n"/>
      <c r="F1" s="1" t="n"/>
      <c r="G1" s="1" t="n"/>
      <c r="H1" s="1" t="n"/>
      <c r="I1" s="1" t="n"/>
      <c r="J1" s="1" t="n"/>
      <c r="K1" s="1" t="n"/>
      <c r="L1" s="1" t="n"/>
      <c r="M1" s="1" t="n"/>
      <c r="N1" s="1" t="n"/>
      <c r="O1" s="1" t="n"/>
      <c r="P1" s="1" t="n"/>
      <c r="Q1" s="1" t="n"/>
      <c r="R1" s="1" t="n"/>
      <c r="S1" s="1" t="n"/>
    </row>
    <row r="2" ht="18" customHeight="1">
      <c r="A2" s="1" t="n"/>
      <c r="B2" s="2" t="inlineStr">
        <is>
          <t>VALUATION DASHBOARD</t>
        </is>
      </c>
      <c r="C2" s="1" t="n"/>
      <c r="D2" s="1" t="n"/>
      <c r="E2" s="1" t="n"/>
      <c r="F2" s="1" t="n"/>
      <c r="G2" s="1" t="n"/>
      <c r="H2" s="1" t="n"/>
      <c r="I2" s="1" t="n"/>
      <c r="J2" s="1" t="n"/>
      <c r="K2" s="1" t="n"/>
      <c r="L2" s="1" t="n"/>
      <c r="M2" s="1" t="n"/>
      <c r="N2" s="1" t="n"/>
      <c r="O2" s="1" t="n"/>
      <c r="P2" s="1" t="n"/>
      <c r="Q2" s="1" t="n"/>
      <c r="R2" s="1" t="n"/>
      <c r="S2" s="1" t="n"/>
    </row>
    <row r="3" ht="18" customHeight="1">
      <c r="A3" s="1" t="n"/>
      <c r="B3" s="3" t="inlineStr">
        <is>
          <t>All tiles link to output cells in 08_TRIANGULATION_RANGE (or 90_CHECKS for status).</t>
        </is>
      </c>
      <c r="C3" s="1" t="n"/>
      <c r="D3" s="1" t="n"/>
      <c r="E3" s="1" t="n"/>
      <c r="F3" s="1" t="n"/>
      <c r="G3" s="1" t="n"/>
      <c r="H3" s="1" t="n"/>
      <c r="I3" s="1" t="n"/>
      <c r="J3" s="1" t="n"/>
      <c r="K3" s="1" t="n"/>
      <c r="L3" s="1" t="n"/>
      <c r="M3" s="1" t="n"/>
      <c r="N3" s="1" t="n"/>
      <c r="O3" s="1" t="n"/>
      <c r="P3" s="1" t="n"/>
      <c r="Q3" s="1" t="n"/>
      <c r="R3" s="1" t="n"/>
      <c r="S3" s="1" t="n"/>
    </row>
    <row r="4" ht="18" customHeight="1">
      <c r="A4" s="1" t="n"/>
      <c r="B4" s="1" t="n"/>
      <c r="C4" s="1" t="n"/>
      <c r="D4" s="1" t="n"/>
      <c r="E4" s="1" t="n"/>
      <c r="F4" s="1" t="n"/>
      <c r="G4" s="1" t="n"/>
      <c r="H4" s="1" t="n"/>
      <c r="I4" s="1" t="n"/>
      <c r="J4" s="1" t="n"/>
      <c r="K4" s="1" t="n"/>
      <c r="L4" s="1" t="n"/>
      <c r="M4" s="1" t="n"/>
      <c r="N4" s="1" t="n"/>
      <c r="O4" s="1" t="n"/>
      <c r="P4" s="1" t="n"/>
      <c r="Q4" s="1" t="n"/>
      <c r="R4" s="1" t="n"/>
      <c r="S4" s="1" t="n"/>
    </row>
    <row r="5" ht="18" customHeight="1">
      <c r="A5" s="1" t="n"/>
      <c r="B5" s="1" t="n"/>
      <c r="C5" s="1" t="n"/>
      <c r="D5" s="1" t="n"/>
      <c r="E5" s="1" t="n"/>
      <c r="F5" s="1" t="n"/>
      <c r="G5" s="1" t="n"/>
      <c r="H5" s="1" t="n"/>
      <c r="I5" s="1" t="n"/>
      <c r="J5" s="1" t="n"/>
      <c r="K5" s="1" t="n"/>
      <c r="L5" s="1" t="n"/>
      <c r="M5" s="1" t="n"/>
      <c r="N5" s="1" t="n"/>
      <c r="O5" s="1" t="n"/>
      <c r="P5" s="1" t="n"/>
      <c r="Q5" s="1" t="n"/>
      <c r="R5" s="1" t="n"/>
      <c r="S5" s="1" t="n"/>
    </row>
    <row r="6" ht="18" customHeight="1">
      <c r="A6" s="1" t="n"/>
      <c r="B6" s="1" t="n"/>
      <c r="C6" s="1" t="n"/>
      <c r="D6" s="1" t="n"/>
      <c r="E6" s="1" t="n"/>
      <c r="F6" s="4" t="n"/>
      <c r="G6" s="1" t="n"/>
      <c r="H6" s="1" t="n"/>
      <c r="I6" s="1" t="n"/>
      <c r="J6" s="1" t="n"/>
      <c r="K6" s="1" t="n"/>
      <c r="L6" s="1" t="n"/>
      <c r="M6" s="1" t="n"/>
      <c r="N6" s="1" t="n"/>
      <c r="O6" s="1" t="n"/>
      <c r="P6" s="1" t="n"/>
      <c r="Q6" s="1" t="n"/>
      <c r="R6" s="1" t="n"/>
      <c r="S6" s="1" t="n"/>
    </row>
    <row r="7" ht="18" customHeight="1">
      <c r="A7" s="1" t="n"/>
      <c r="B7" s="1" t="n"/>
      <c r="C7" s="1" t="n"/>
      <c r="D7" s="1" t="n"/>
      <c r="E7" s="1" t="n"/>
      <c r="F7" s="1" t="n"/>
      <c r="G7" s="1" t="n"/>
      <c r="H7" s="1" t="n"/>
      <c r="I7" s="1" t="n"/>
      <c r="J7" s="1" t="n"/>
      <c r="K7" s="1" t="n"/>
      <c r="L7" s="1" t="n"/>
      <c r="M7" s="1" t="n"/>
      <c r="N7" s="1" t="n"/>
      <c r="O7" s="1" t="n"/>
      <c r="P7" s="1" t="n"/>
      <c r="Q7" s="1" t="n"/>
      <c r="R7" s="1" t="n"/>
      <c r="S7" s="1" t="n"/>
    </row>
    <row r="8" ht="16" customHeight="1">
      <c r="A8" s="1" t="n"/>
      <c r="B8" s="1" t="n"/>
      <c r="C8" s="1" t="n"/>
      <c r="D8" s="1" t="n"/>
      <c r="E8" s="1" t="n"/>
      <c r="F8" s="1" t="n"/>
      <c r="G8" s="1" t="n"/>
      <c r="H8" s="1" t="n"/>
      <c r="I8" s="1" t="n"/>
      <c r="J8" s="1" t="n"/>
      <c r="K8" s="1" t="n"/>
      <c r="L8" s="1" t="n"/>
      <c r="M8" s="1" t="n"/>
      <c r="N8" s="1" t="n"/>
      <c r="O8" s="1" t="n"/>
      <c r="P8" s="1" t="n"/>
      <c r="Q8" s="1" t="n"/>
      <c r="R8" s="1" t="n"/>
      <c r="S8" s="1" t="n"/>
    </row>
    <row r="9" ht="20" customHeight="1">
      <c r="A9" s="1" t="n"/>
      <c r="B9" s="66" t="inlineStr">
        <is>
          <t>BASE CASE OUTPUTS</t>
        </is>
      </c>
      <c r="C9" s="6" t="n"/>
      <c r="D9" s="6" t="n"/>
      <c r="E9" s="6" t="n"/>
      <c r="F9" s="1" t="n"/>
      <c r="G9" s="1" t="n"/>
      <c r="H9" s="1" t="n"/>
      <c r="I9" s="1" t="n"/>
      <c r="J9" s="1" t="n"/>
      <c r="K9" s="1" t="n"/>
      <c r="L9" s="1" t="n"/>
      <c r="M9" s="1" t="n"/>
      <c r="N9" s="1" t="n"/>
      <c r="O9" s="1" t="n"/>
      <c r="P9" s="1" t="n"/>
      <c r="Q9" s="1" t="n"/>
      <c r="R9" s="1" t="n"/>
      <c r="S9" s="1" t="n"/>
    </row>
    <row r="10" ht="16" customHeight="1">
      <c r="A10" s="1" t="n"/>
      <c r="B10" s="7" t="inlineStr">
        <is>
          <t>Current share price</t>
        </is>
      </c>
      <c r="C10" s="1" t="inlineStr">
        <is>
          <t>CCY</t>
        </is>
      </c>
      <c r="D10" s="1" t="n"/>
      <c r="E10" s="1" t="n"/>
      <c r="F10" s="67">
        <f>'08_TRIANGULATION_RANGE'!$F$47</f>
        <v/>
      </c>
      <c r="G10" s="1" t="n"/>
      <c r="H10" s="50" t="inlineStr">
        <is>
          <t>Method</t>
        </is>
      </c>
      <c r="I10" s="50" t="inlineStr">
        <is>
          <t>Low</t>
        </is>
      </c>
      <c r="J10" s="50" t="inlineStr">
        <is>
          <t>Range</t>
        </is>
      </c>
      <c r="K10" s="1" t="n"/>
      <c r="L10" s="1" t="n"/>
      <c r="M10" s="1" t="n"/>
      <c r="N10" s="1" t="n"/>
      <c r="O10" s="1" t="n"/>
      <c r="P10" s="1" t="n"/>
      <c r="Q10" s="1" t="n"/>
      <c r="R10" s="1" t="n"/>
      <c r="S10" s="1" t="n"/>
    </row>
    <row r="11" ht="16" customHeight="1">
      <c r="A11" s="1" t="n"/>
      <c r="B11" s="7" t="inlineStr">
        <is>
          <t>Shares outstanding (mm)</t>
        </is>
      </c>
      <c r="C11" s="1" t="inlineStr">
        <is>
          <t>mm</t>
        </is>
      </c>
      <c r="D11" s="1" t="n"/>
      <c r="E11" s="1" t="n"/>
      <c r="F11" s="8">
        <f>'08_TRIANGULATION_RANGE'!$F$48</f>
        <v/>
      </c>
      <c r="G11" s="1" t="n"/>
      <c r="H11" s="51" t="inlineStr">
        <is>
          <t>Comps</t>
        </is>
      </c>
      <c r="I11" s="52">
        <f>'08_TRIANGULATION_RANGE'!$F$16</f>
        <v/>
      </c>
      <c r="J11" s="52">
        <f>IFERROR('08_TRIANGULATION_RANGE'!$F$18-'08_TRIANGULATION_RANGE'!$F$16,"")</f>
        <v/>
      </c>
      <c r="K11" s="1" t="n"/>
      <c r="L11" s="1" t="n"/>
      <c r="M11" s="1" t="n"/>
      <c r="N11" s="1" t="n"/>
      <c r="O11" s="1" t="n"/>
      <c r="P11" s="1" t="n"/>
      <c r="Q11" s="1" t="n"/>
      <c r="R11" s="1" t="n"/>
      <c r="S11" s="1" t="n"/>
    </row>
    <row r="12" ht="16" customHeight="1">
      <c r="A12" s="1" t="n"/>
      <c r="B12" s="7" t="inlineStr">
        <is>
          <t>Market cap</t>
        </is>
      </c>
      <c r="C12" s="1" t="inlineStr">
        <is>
          <t>m</t>
        </is>
      </c>
      <c r="D12" s="1" t="n"/>
      <c r="E12" s="1" t="n"/>
      <c r="F12" s="8">
        <f>'08_TRIANGULATION_RANGE'!$F$49</f>
        <v/>
      </c>
      <c r="G12" s="1" t="n"/>
      <c r="H12" s="51" t="inlineStr">
        <is>
          <t>DCF</t>
        </is>
      </c>
      <c r="I12" s="52">
        <f>'08_TRIANGULATION_RANGE'!$F$26</f>
        <v/>
      </c>
      <c r="J12" s="52">
        <f>IFERROR('08_TRIANGULATION_RANGE'!$F$28-'08_TRIANGULATION_RANGE'!$F$26,"")</f>
        <v/>
      </c>
      <c r="K12" s="1" t="n"/>
      <c r="L12" s="1" t="n"/>
      <c r="M12" s="1" t="n"/>
      <c r="N12" s="1" t="n"/>
      <c r="O12" s="1" t="n"/>
      <c r="P12" s="1" t="n"/>
      <c r="Q12" s="1" t="n"/>
      <c r="R12" s="1" t="n"/>
      <c r="S12" s="1" t="n"/>
    </row>
    <row r="13" ht="16" customHeight="1">
      <c r="A13" s="1" t="n"/>
      <c r="B13" s="7" t="inlineStr">
        <is>
          <t>Net debt</t>
        </is>
      </c>
      <c r="C13" s="1" t="inlineStr">
        <is>
          <t>m</t>
        </is>
      </c>
      <c r="D13" s="1" t="n"/>
      <c r="E13" s="1" t="n"/>
      <c r="F13" s="8">
        <f>'08_TRIANGULATION_RANGE'!$F$50</f>
        <v/>
      </c>
      <c r="G13" s="1" t="n"/>
      <c r="H13" s="51" t="inlineStr">
        <is>
          <t>Combined</t>
        </is>
      </c>
      <c r="I13" s="52">
        <f>'08_TRIANGULATION_RANGE'!$F$34</f>
        <v/>
      </c>
      <c r="J13" s="52">
        <f>IFERROR('08_TRIANGULATION_RANGE'!$F$36-'08_TRIANGULATION_RANGE'!$F$34,"")</f>
        <v/>
      </c>
      <c r="K13" s="1" t="n"/>
      <c r="L13" s="1" t="n"/>
      <c r="M13" s="1" t="n"/>
      <c r="N13" s="1" t="n"/>
      <c r="O13" s="1" t="n"/>
      <c r="P13" s="1" t="n"/>
      <c r="Q13" s="1" t="n"/>
      <c r="R13" s="1" t="n"/>
      <c r="S13" s="1" t="n"/>
    </row>
    <row r="14" ht="16" customHeight="1">
      <c r="A14" s="1" t="n"/>
      <c r="B14" s="7" t="inlineStr">
        <is>
          <t>Enterprise value</t>
        </is>
      </c>
      <c r="C14" s="1" t="inlineStr">
        <is>
          <t>m</t>
        </is>
      </c>
      <c r="D14" s="1" t="n"/>
      <c r="E14" s="1" t="n"/>
      <c r="F14" s="8">
        <f>'08_TRIANGULATION_RANGE'!$F$51</f>
        <v/>
      </c>
      <c r="G14" s="1" t="n"/>
      <c r="H14" s="1" t="n"/>
      <c r="I14" s="1" t="n"/>
      <c r="J14" s="1" t="n"/>
      <c r="K14" s="1" t="n"/>
      <c r="L14" s="1" t="n"/>
      <c r="M14" s="1" t="n"/>
      <c r="N14" s="1" t="n"/>
      <c r="O14" s="1" t="n"/>
      <c r="P14" s="1" t="n"/>
      <c r="Q14" s="1" t="n"/>
      <c r="R14" s="1" t="n"/>
      <c r="S14" s="1" t="n"/>
    </row>
    <row r="15" ht="16" customHeight="1">
      <c r="A15" s="1" t="n"/>
      <c r="B15" s="7" t="inlineStr">
        <is>
          <t>Equity value (Base)</t>
        </is>
      </c>
      <c r="C15" s="1" t="inlineStr">
        <is>
          <t>m</t>
        </is>
      </c>
      <c r="D15" s="1" t="n"/>
      <c r="E15" s="1" t="n"/>
      <c r="F15" s="8">
        <f>'08_TRIANGULATION_RANGE'!$F$64</f>
        <v/>
      </c>
      <c r="G15" s="1" t="n"/>
      <c r="H15" s="1" t="n"/>
      <c r="I15" s="1" t="n"/>
      <c r="J15" s="1" t="n"/>
      <c r="K15" s="1" t="n"/>
      <c r="L15" s="1" t="n"/>
      <c r="M15" s="1" t="n"/>
      <c r="N15" s="1" t="n"/>
      <c r="O15" s="1" t="n"/>
      <c r="P15" s="1" t="n"/>
      <c r="Q15" s="1" t="n"/>
      <c r="R15" s="1" t="n"/>
      <c r="S15" s="1" t="n"/>
    </row>
    <row r="16" ht="16" customHeight="1">
      <c r="A16" s="1" t="n"/>
      <c r="B16" s="7" t="inlineStr">
        <is>
          <t>Implied price per share (Base)</t>
        </is>
      </c>
      <c r="C16" s="1" t="inlineStr">
        <is>
          <t>CCY</t>
        </is>
      </c>
      <c r="D16" s="1" t="n"/>
      <c r="E16" s="1" t="n"/>
      <c r="F16" s="8">
        <f>'08_TRIANGULATION_RANGE'!$F$52</f>
        <v/>
      </c>
      <c r="G16" s="1" t="n"/>
      <c r="H16" s="1" t="n"/>
      <c r="I16" s="1" t="n"/>
      <c r="J16" s="1" t="n"/>
      <c r="K16" s="1" t="n"/>
      <c r="L16" s="1" t="n"/>
      <c r="M16" s="1" t="n"/>
      <c r="N16" s="1" t="n"/>
      <c r="O16" s="1" t="n"/>
      <c r="P16" s="1" t="n"/>
      <c r="Q16" s="1" t="n"/>
      <c r="R16" s="1" t="n"/>
      <c r="S16" s="1" t="n"/>
    </row>
    <row r="17" ht="16" customHeight="1">
      <c r="A17" s="1" t="n"/>
      <c r="B17" s="7" t="inlineStr">
        <is>
          <t>Upside vs current</t>
        </is>
      </c>
      <c r="C17" s="1" t="inlineStr">
        <is>
          <t>%</t>
        </is>
      </c>
      <c r="D17" s="1" t="n"/>
      <c r="E17" s="1" t="n"/>
      <c r="F17" s="9">
        <f>'08_TRIANGULATION_RANGE'!$F$53</f>
        <v/>
      </c>
      <c r="G17" s="1" t="n"/>
      <c r="H17" s="1" t="n"/>
      <c r="I17" s="1" t="n"/>
      <c r="J17" s="1" t="n"/>
      <c r="K17" s="1" t="n"/>
      <c r="L17" s="1" t="n"/>
      <c r="M17" s="1" t="n"/>
      <c r="N17" s="1" t="n"/>
      <c r="O17" s="1" t="n"/>
      <c r="P17" s="1" t="n"/>
      <c r="Q17" s="1" t="n"/>
      <c r="R17" s="1" t="n"/>
      <c r="S17" s="1" t="n"/>
    </row>
    <row r="18" ht="16" customHeight="1">
      <c r="A18" s="1" t="n"/>
      <c r="B18" s="7" t="inlineStr">
        <is>
          <t>Downside vs current (Downside)</t>
        </is>
      </c>
      <c r="C18" s="1" t="inlineStr">
        <is>
          <t>%</t>
        </is>
      </c>
      <c r="D18" s="1" t="n"/>
      <c r="E18" s="1" t="n"/>
      <c r="F18" s="9">
        <f>'08_TRIANGULATION_RANGE'!$F$54</f>
        <v/>
      </c>
      <c r="G18" s="1" t="n"/>
      <c r="H18" s="1" t="n"/>
      <c r="I18" s="1" t="n"/>
      <c r="J18" s="1" t="n"/>
      <c r="K18" s="1" t="n"/>
      <c r="L18" s="1" t="n"/>
      <c r="M18" s="1" t="n"/>
      <c r="N18" s="1" t="n"/>
      <c r="O18" s="1" t="n"/>
      <c r="P18" s="1" t="n"/>
      <c r="Q18" s="1" t="n"/>
      <c r="R18" s="1" t="n"/>
      <c r="S18" s="1" t="n"/>
    </row>
    <row r="19" ht="16" customHeight="1">
      <c r="A19" s="1" t="n"/>
      <c r="B19" s="7" t="inlineStr">
        <is>
          <t>Trading comps multiple used (EV/EBITDA)</t>
        </is>
      </c>
      <c r="C19" s="1" t="inlineStr">
        <is>
          <t>x</t>
        </is>
      </c>
      <c r="D19" s="1" t="n"/>
      <c r="E19" s="1" t="n"/>
      <c r="F19" s="67">
        <f>08_TRIANGULATION_RANGE!F72</f>
        <v/>
      </c>
      <c r="G19" s="1" t="n"/>
      <c r="H19" s="1" t="n"/>
      <c r="I19" s="1" t="n"/>
      <c r="J19" s="1" t="n"/>
      <c r="K19" s="1" t="n"/>
      <c r="L19" s="1" t="n"/>
      <c r="M19" s="1" t="n"/>
      <c r="N19" s="1" t="n"/>
      <c r="O19" s="1" t="n"/>
      <c r="P19" s="1" t="n"/>
      <c r="Q19" s="1" t="n"/>
      <c r="R19" s="1" t="n"/>
      <c r="S19" s="1" t="n"/>
    </row>
    <row r="20" ht="16" customHeight="1">
      <c r="A20" s="1" t="n"/>
      <c r="B20" s="7" t="inlineStr">
        <is>
          <t>DCF status (ON/OFF)</t>
        </is>
      </c>
      <c r="C20" s="1" t="inlineStr"/>
      <c r="D20" s="1" t="n"/>
      <c r="E20" s="1" t="n"/>
      <c r="F20" s="67">
        <f>08_TRIANGULATION_RANGE!F66</f>
        <v/>
      </c>
      <c r="G20" s="1" t="n"/>
      <c r="H20" s="1" t="n"/>
      <c r="I20" s="1" t="n"/>
      <c r="J20" s="1" t="n"/>
      <c r="K20" s="1" t="n"/>
      <c r="L20" s="1" t="n"/>
      <c r="M20" s="1" t="n"/>
      <c r="N20" s="1" t="n"/>
      <c r="O20" s="1" t="n"/>
      <c r="P20" s="1" t="n"/>
      <c r="Q20" s="1" t="n"/>
      <c r="R20" s="1" t="n"/>
      <c r="S20" s="1" t="n"/>
    </row>
    <row r="21" ht="16" customHeight="1">
      <c r="A21" s="1" t="n"/>
      <c r="B21" s="7" t="inlineStr">
        <is>
          <t>WACC (Base)</t>
        </is>
      </c>
      <c r="C21" s="1" t="inlineStr">
        <is>
          <t>%</t>
        </is>
      </c>
      <c r="D21" s="1" t="n"/>
      <c r="E21" s="1" t="n"/>
      <c r="F21" s="67">
        <f>08_TRIANGULATION_RANGE!F67</f>
        <v/>
      </c>
      <c r="G21" s="1" t="n"/>
      <c r="H21" s="1" t="n"/>
      <c r="I21" s="1" t="n"/>
      <c r="J21" s="1" t="n"/>
      <c r="K21" s="1" t="n"/>
      <c r="L21" s="1" t="n"/>
      <c r="M21" s="1" t="n"/>
      <c r="N21" s="1" t="n"/>
      <c r="O21" s="1" t="n"/>
      <c r="P21" s="1" t="n"/>
      <c r="Q21" s="1" t="n"/>
      <c r="R21" s="1" t="n"/>
      <c r="S21" s="1" t="n"/>
    </row>
    <row r="22" ht="16" customHeight="1">
      <c r="A22" s="1" t="n"/>
      <c r="B22" s="7" t="inlineStr">
        <is>
          <t>Terminal method</t>
        </is>
      </c>
      <c r="C22" s="1" t="inlineStr"/>
      <c r="D22" s="1" t="n"/>
      <c r="E22" s="1" t="n"/>
      <c r="F22" s="67">
        <f>08_TRIANGULATION_RANGE!F70</f>
        <v/>
      </c>
      <c r="G22" s="1" t="n"/>
      <c r="H22" s="1" t="n"/>
      <c r="I22" s="1" t="n"/>
      <c r="J22" s="1" t="n"/>
      <c r="K22" s="1" t="n"/>
      <c r="L22" s="1" t="n"/>
      <c r="M22" s="1" t="n"/>
      <c r="N22" s="1" t="n"/>
      <c r="O22" s="1" t="n"/>
      <c r="P22" s="1" t="n"/>
      <c r="Q22" s="1" t="n"/>
      <c r="R22" s="1" t="n"/>
      <c r="S22" s="1" t="n"/>
    </row>
    <row r="23" ht="16" customHeight="1">
      <c r="A23" s="1" t="n"/>
      <c r="B23" s="7" t="inlineStr">
        <is>
          <t>Mid-year convention</t>
        </is>
      </c>
      <c r="C23" s="1" t="inlineStr"/>
      <c r="D23" s="1" t="n"/>
      <c r="E23" s="1" t="n"/>
      <c r="F23" s="67">
        <f>08_TRIANGULATION_RANGE!F71</f>
        <v/>
      </c>
      <c r="G23" s="1" t="n"/>
      <c r="H23" s="1" t="n"/>
      <c r="I23" s="1" t="n"/>
      <c r="J23" s="1" t="n"/>
      <c r="K23" s="1" t="n"/>
      <c r="L23" s="1" t="n"/>
      <c r="M23" s="1" t="n"/>
      <c r="N23" s="1" t="n"/>
      <c r="O23" s="1" t="n"/>
      <c r="P23" s="1" t="n"/>
      <c r="Q23" s="1" t="n"/>
      <c r="R23" s="1" t="n"/>
      <c r="S23" s="1" t="n"/>
    </row>
    <row r="24" ht="16" customHeight="1">
      <c r="A24" s="1" t="n"/>
      <c r="B24" s="1" t="n"/>
      <c r="C24" s="1" t="n"/>
      <c r="D24" s="1" t="n"/>
      <c r="E24" s="1" t="n"/>
      <c r="F24" s="1" t="n"/>
      <c r="G24" s="1" t="n"/>
      <c r="H24" s="1" t="n"/>
      <c r="I24" s="1" t="n"/>
      <c r="J24" s="1" t="n"/>
      <c r="K24" s="1" t="n"/>
      <c r="L24" s="1" t="n"/>
      <c r="M24" s="1" t="n"/>
      <c r="N24" s="1" t="n"/>
      <c r="O24" s="1" t="n"/>
      <c r="P24" s="1" t="n"/>
      <c r="Q24" s="1" t="n"/>
      <c r="R24" s="1" t="n"/>
      <c r="S24" s="1" t="n"/>
    </row>
    <row r="25" ht="16" customHeight="1">
      <c r="A25" s="1" t="n"/>
      <c r="B25" s="1" t="n"/>
      <c r="C25" s="1" t="n"/>
      <c r="D25" s="1" t="n"/>
      <c r="E25" s="1" t="n"/>
      <c r="F25" s="1" t="n"/>
      <c r="G25" s="1" t="n"/>
      <c r="H25" s="1" t="n"/>
      <c r="I25" s="1" t="n"/>
      <c r="J25" s="1" t="n"/>
      <c r="K25" s="1" t="n"/>
      <c r="L25" s="1" t="n"/>
      <c r="M25" s="1" t="n"/>
      <c r="N25" s="1" t="n"/>
      <c r="O25" s="1" t="n"/>
      <c r="P25" s="1" t="n"/>
      <c r="Q25" s="1" t="n"/>
      <c r="R25" s="1" t="n"/>
      <c r="S25" s="1" t="n"/>
    </row>
    <row r="26" ht="20" customHeight="1">
      <c r="A26" s="1" t="n"/>
      <c r="B26" s="5" t="inlineStr">
        <is>
          <t>RANGE OUTPUTS</t>
        </is>
      </c>
      <c r="C26" s="6" t="n"/>
      <c r="D26" s="6" t="n"/>
      <c r="E26" s="6" t="n"/>
      <c r="F26" s="1" t="n"/>
      <c r="G26" s="1" t="n"/>
      <c r="H26" s="1" t="n"/>
      <c r="I26" s="1" t="n"/>
      <c r="J26" s="1" t="n"/>
      <c r="K26" s="1" t="n"/>
      <c r="L26" s="1" t="n"/>
      <c r="M26" s="1" t="n"/>
      <c r="N26" s="1" t="n"/>
      <c r="O26" s="1" t="n"/>
      <c r="P26" s="1" t="n"/>
      <c r="Q26" s="1" t="n"/>
      <c r="R26" s="1" t="n"/>
      <c r="S26" s="1" t="n"/>
    </row>
    <row r="27" ht="16" customHeight="1">
      <c r="A27" s="1" t="n"/>
      <c r="B27" s="7" t="inlineStr">
        <is>
          <t>Comps equity value P25</t>
        </is>
      </c>
      <c r="C27" s="1" t="inlineStr">
        <is>
          <t>m</t>
        </is>
      </c>
      <c r="D27" s="1" t="n"/>
      <c r="E27" s="1" t="n"/>
      <c r="F27" s="8">
        <f>'08_TRIANGULATION_RANGE'!$F$55</f>
        <v/>
      </c>
      <c r="G27" s="1" t="n"/>
      <c r="H27" s="1" t="n"/>
      <c r="I27" s="1" t="n"/>
      <c r="J27" s="1" t="n"/>
      <c r="K27" s="1" t="n"/>
      <c r="L27" s="1" t="n"/>
      <c r="M27" s="1" t="n"/>
      <c r="N27" s="1" t="n"/>
      <c r="O27" s="1" t="n"/>
      <c r="P27" s="1" t="n"/>
      <c r="Q27" s="1" t="n"/>
      <c r="R27" s="1" t="n"/>
      <c r="S27" s="1" t="n"/>
    </row>
    <row r="28" ht="16" customHeight="1">
      <c r="A28" s="1" t="n"/>
      <c r="B28" s="7" t="inlineStr">
        <is>
          <t>Comps equity value Median</t>
        </is>
      </c>
      <c r="C28" s="1" t="inlineStr">
        <is>
          <t>m</t>
        </is>
      </c>
      <c r="D28" s="1" t="n"/>
      <c r="E28" s="1" t="n"/>
      <c r="F28" s="8">
        <f>'08_TRIANGULATION_RANGE'!$F$56</f>
        <v/>
      </c>
      <c r="G28" s="1" t="n"/>
      <c r="H28" s="1" t="n"/>
      <c r="I28" s="1" t="n"/>
      <c r="J28" s="1" t="n"/>
      <c r="K28" s="1" t="n"/>
      <c r="L28" s="1" t="n"/>
      <c r="M28" s="1" t="n"/>
      <c r="N28" s="1" t="n"/>
      <c r="O28" s="1" t="n"/>
      <c r="P28" s="1" t="n"/>
      <c r="Q28" s="1" t="n"/>
      <c r="R28" s="1" t="n"/>
      <c r="S28" s="1" t="n"/>
    </row>
    <row r="29" ht="16" customHeight="1">
      <c r="A29" s="1" t="n"/>
      <c r="B29" s="7" t="inlineStr">
        <is>
          <t>Comps equity value P75</t>
        </is>
      </c>
      <c r="C29" s="1" t="inlineStr">
        <is>
          <t>m</t>
        </is>
      </c>
      <c r="D29" s="1" t="n"/>
      <c r="E29" s="1" t="n"/>
      <c r="F29" s="8">
        <f>'08_TRIANGULATION_RANGE'!$F$57</f>
        <v/>
      </c>
      <c r="G29" s="1" t="n"/>
      <c r="H29" s="1" t="n"/>
      <c r="I29" s="1" t="n"/>
      <c r="J29" s="1" t="n"/>
      <c r="K29" s="1" t="n"/>
      <c r="L29" s="1" t="n"/>
      <c r="M29" s="1" t="n"/>
      <c r="N29" s="1" t="n"/>
      <c r="O29" s="1" t="n"/>
      <c r="P29" s="1" t="n"/>
      <c r="Q29" s="1" t="n"/>
      <c r="R29" s="1" t="n"/>
      <c r="S29" s="1" t="n"/>
    </row>
    <row r="30" ht="16" customHeight="1">
      <c r="A30" s="1" t="n"/>
      <c r="B30" s="1" t="n"/>
      <c r="C30" s="1" t="n"/>
      <c r="D30" s="1" t="n"/>
      <c r="E30" s="1" t="n"/>
      <c r="F30" s="1" t="n"/>
      <c r="G30" s="1" t="n"/>
      <c r="H30" s="1" t="n"/>
      <c r="I30" s="1" t="n"/>
      <c r="J30" s="1" t="n"/>
      <c r="K30" s="1" t="n"/>
      <c r="L30" s="1" t="n"/>
      <c r="M30" s="1" t="n"/>
      <c r="N30" s="1" t="n"/>
      <c r="O30" s="1" t="n"/>
      <c r="P30" s="1" t="n"/>
      <c r="Q30" s="1" t="n"/>
      <c r="R30" s="1" t="n"/>
      <c r="S30" s="1" t="n"/>
    </row>
    <row r="31" ht="16" customHeight="1">
      <c r="A31" s="1" t="n"/>
      <c r="B31" s="7" t="inlineStr">
        <is>
          <t>DCF equity value Downside</t>
        </is>
      </c>
      <c r="C31" s="1" t="inlineStr">
        <is>
          <t>m</t>
        </is>
      </c>
      <c r="D31" s="1" t="n"/>
      <c r="E31" s="1" t="n"/>
      <c r="F31" s="8">
        <f>'08_TRIANGULATION_RANGE'!$F$58</f>
        <v/>
      </c>
      <c r="G31" s="1" t="n"/>
      <c r="H31" s="1" t="n"/>
      <c r="I31" s="1" t="n"/>
      <c r="J31" s="1" t="n"/>
      <c r="K31" s="1" t="n"/>
      <c r="L31" s="1" t="n"/>
      <c r="M31" s="1" t="n"/>
      <c r="N31" s="1" t="n"/>
      <c r="O31" s="1" t="n"/>
      <c r="P31" s="1" t="n"/>
      <c r="Q31" s="1" t="n"/>
      <c r="R31" s="1" t="n"/>
      <c r="S31" s="1" t="n"/>
    </row>
    <row r="32" ht="16" customHeight="1">
      <c r="A32" s="1" t="n"/>
      <c r="B32" s="7" t="inlineStr">
        <is>
          <t>DCF equity value Base</t>
        </is>
      </c>
      <c r="C32" s="1" t="inlineStr">
        <is>
          <t>m</t>
        </is>
      </c>
      <c r="D32" s="1" t="n"/>
      <c r="E32" s="1" t="n"/>
      <c r="F32" s="8">
        <f>'08_TRIANGULATION_RANGE'!$F$59</f>
        <v/>
      </c>
      <c r="G32" s="1" t="n"/>
      <c r="H32" s="65" t="inlineStr">
        <is>
          <t>Scenario</t>
        </is>
      </c>
      <c r="I32" s="65" t="inlineStr">
        <is>
          <t>Combined implied price</t>
        </is>
      </c>
      <c r="J32" s="1" t="n"/>
      <c r="K32" s="1" t="n"/>
      <c r="L32" s="1" t="n"/>
      <c r="M32" s="1" t="n"/>
      <c r="N32" s="1" t="n"/>
      <c r="O32" s="1" t="n"/>
      <c r="P32" s="1" t="n"/>
      <c r="Q32" s="1" t="n"/>
      <c r="R32" s="1" t="n"/>
      <c r="S32" s="1" t="n"/>
    </row>
    <row r="33" ht="16" customHeight="1">
      <c r="A33" s="1" t="n"/>
      <c r="B33" s="7" t="inlineStr">
        <is>
          <t>DCF equity value Upside</t>
        </is>
      </c>
      <c r="C33" s="1" t="inlineStr">
        <is>
          <t>m</t>
        </is>
      </c>
      <c r="D33" s="1" t="n"/>
      <c r="E33" s="1" t="n"/>
      <c r="F33" s="8">
        <f>'08_TRIANGULATION_RANGE'!$F$60</f>
        <v/>
      </c>
      <c r="G33" s="1" t="n"/>
      <c r="H33" s="51" t="inlineStr">
        <is>
          <t>Downside</t>
        </is>
      </c>
      <c r="I33" s="52">
        <f>='08_TRIANGULATION_RANGE'!$F$61</f>
        <v/>
      </c>
      <c r="J33" s="1" t="n"/>
      <c r="K33" s="1" t="n"/>
      <c r="L33" s="1" t="n"/>
      <c r="M33" s="1" t="n"/>
      <c r="N33" s="1" t="n"/>
      <c r="O33" s="1" t="n"/>
      <c r="P33" s="1" t="n"/>
      <c r="Q33" s="1" t="n"/>
      <c r="R33" s="1" t="n"/>
      <c r="S33" s="1" t="n"/>
    </row>
    <row r="34" ht="16" customHeight="1">
      <c r="A34" s="1" t="n"/>
      <c r="B34" s="1" t="n"/>
      <c r="C34" s="1" t="n"/>
      <c r="D34" s="1" t="n"/>
      <c r="E34" s="1" t="n"/>
      <c r="F34" s="1" t="n"/>
      <c r="G34" s="1" t="n"/>
      <c r="H34" s="51" t="inlineStr">
        <is>
          <t>Base</t>
        </is>
      </c>
      <c r="I34" s="52">
        <f>='08_TRIANGULATION_RANGE'!$F$62</f>
        <v/>
      </c>
      <c r="J34" s="1" t="n"/>
      <c r="K34" s="1" t="n"/>
      <c r="L34" s="1" t="n"/>
      <c r="M34" s="1" t="n"/>
      <c r="N34" s="1" t="n"/>
      <c r="O34" s="1" t="n"/>
      <c r="P34" s="1" t="n"/>
      <c r="Q34" s="1" t="n"/>
      <c r="R34" s="1" t="n"/>
      <c r="S34" s="1" t="n"/>
    </row>
    <row r="35" ht="16" customHeight="1">
      <c r="A35" s="1" t="n"/>
      <c r="B35" s="7" t="inlineStr">
        <is>
          <t>Combined implied price Downside</t>
        </is>
      </c>
      <c r="C35" s="1" t="inlineStr">
        <is>
          <t>CCY</t>
        </is>
      </c>
      <c r="D35" s="1" t="n"/>
      <c r="E35" s="1" t="n"/>
      <c r="F35" s="8">
        <f>'08_TRIANGULATION_RANGE'!$F$61</f>
        <v/>
      </c>
      <c r="G35" s="1" t="n"/>
      <c r="H35" s="51" t="inlineStr">
        <is>
          <t>Upside</t>
        </is>
      </c>
      <c r="I35" s="52">
        <f>='08_TRIANGULATION_RANGE'!$F$63</f>
        <v/>
      </c>
      <c r="J35" s="1" t="n"/>
      <c r="K35" s="1" t="n"/>
      <c r="L35" s="1" t="n"/>
      <c r="M35" s="1" t="n"/>
      <c r="N35" s="1" t="n"/>
      <c r="O35" s="1" t="n"/>
      <c r="P35" s="1" t="n"/>
      <c r="Q35" s="1" t="n"/>
      <c r="R35" s="1" t="n"/>
      <c r="S35" s="1" t="n"/>
    </row>
    <row r="36" ht="16" customHeight="1">
      <c r="A36" s="1" t="n"/>
      <c r="B36" s="7" t="inlineStr">
        <is>
          <t>Combined implied price Base</t>
        </is>
      </c>
      <c r="C36" s="1" t="inlineStr">
        <is>
          <t>CCY</t>
        </is>
      </c>
      <c r="D36" s="1" t="n"/>
      <c r="E36" s="1" t="n"/>
      <c r="F36" s="8">
        <f>'08_TRIANGULATION_RANGE'!$F$62</f>
        <v/>
      </c>
      <c r="G36" s="1" t="n"/>
      <c r="H36" s="1" t="n"/>
      <c r="I36" s="1" t="n"/>
      <c r="J36" s="1" t="n"/>
      <c r="K36" s="1" t="n"/>
      <c r="L36" s="1" t="n"/>
      <c r="M36" s="1" t="n"/>
      <c r="N36" s="1" t="n"/>
      <c r="O36" s="1" t="n"/>
      <c r="P36" s="1" t="n"/>
      <c r="Q36" s="1" t="n"/>
      <c r="R36" s="1" t="n"/>
      <c r="S36" s="1" t="n"/>
    </row>
    <row r="37" ht="16" customHeight="1">
      <c r="A37" s="1" t="n"/>
      <c r="B37" s="7" t="inlineStr">
        <is>
          <t>Combined implied price Upside</t>
        </is>
      </c>
      <c r="C37" s="1" t="inlineStr">
        <is>
          <t>CCY</t>
        </is>
      </c>
      <c r="D37" s="1" t="n"/>
      <c r="E37" s="1" t="n"/>
      <c r="F37" s="8">
        <f>'08_TRIANGULATION_RANGE'!$F$63</f>
        <v/>
      </c>
      <c r="G37" s="1" t="n"/>
      <c r="H37" s="1" t="n"/>
      <c r="I37" s="1" t="n"/>
      <c r="J37" s="1" t="n"/>
      <c r="K37" s="1" t="n"/>
      <c r="L37" s="1" t="n"/>
      <c r="M37" s="1" t="n"/>
      <c r="N37" s="1" t="n"/>
      <c r="O37" s="1" t="n"/>
      <c r="P37" s="1" t="n"/>
      <c r="Q37" s="1" t="n"/>
      <c r="R37" s="1" t="n"/>
      <c r="S37" s="1" t="n"/>
    </row>
    <row r="38" ht="16" customHeight="1">
      <c r="A38" s="1" t="n"/>
      <c r="B38" s="1" t="n"/>
      <c r="C38" s="1" t="n"/>
      <c r="D38" s="1" t="n"/>
      <c r="E38" s="1" t="n"/>
      <c r="F38" s="1" t="n"/>
      <c r="G38" s="1" t="n"/>
      <c r="H38" s="1" t="n"/>
      <c r="I38" s="1" t="n"/>
      <c r="J38" s="1" t="n"/>
      <c r="K38" s="1" t="n"/>
      <c r="L38" s="1" t="n"/>
      <c r="M38" s="1" t="n"/>
      <c r="N38" s="1" t="n"/>
      <c r="O38" s="1" t="n"/>
      <c r="P38" s="1" t="n"/>
      <c r="Q38" s="1" t="n"/>
      <c r="R38" s="1" t="n"/>
      <c r="S38" s="1" t="n"/>
    </row>
    <row r="39" ht="16" customHeight="1">
      <c r="A39" s="1" t="n"/>
      <c r="B39" s="1" t="n"/>
      <c r="C39" s="1" t="n"/>
      <c r="D39" s="1" t="n"/>
      <c r="E39" s="1" t="n"/>
      <c r="F39" s="1" t="n"/>
      <c r="G39" s="1" t="n"/>
      <c r="H39" s="1" t="n"/>
      <c r="I39" s="1" t="n"/>
      <c r="J39" s="1" t="n"/>
      <c r="K39" s="1" t="n"/>
      <c r="L39" s="1" t="n"/>
      <c r="M39" s="1" t="n"/>
      <c r="N39" s="1" t="n"/>
      <c r="O39" s="1" t="n"/>
      <c r="P39" s="1" t="n"/>
      <c r="Q39" s="1" t="n"/>
      <c r="R39" s="1" t="n"/>
      <c r="S39" s="1" t="n"/>
    </row>
    <row r="40" ht="20" customHeight="1">
      <c r="A40" s="1" t="n"/>
      <c r="B40" s="5" t="inlineStr">
        <is>
          <t>CHECKS STATUS (FROM 90_CHECKS)</t>
        </is>
      </c>
      <c r="C40" s="6" t="n"/>
      <c r="D40" s="6" t="n"/>
      <c r="E40" s="6" t="n"/>
      <c r="F40" s="1" t="n"/>
      <c r="G40" s="1" t="n"/>
      <c r="H40" s="53" t="inlineStr">
        <is>
          <t>Sensitivity heatmap (Implied price)</t>
        </is>
      </c>
      <c r="I40" s="1" t="n"/>
      <c r="J40" s="1" t="n"/>
      <c r="K40" s="1" t="n"/>
      <c r="L40" s="1" t="n"/>
      <c r="M40" s="1" t="n"/>
      <c r="N40" s="1" t="n"/>
      <c r="O40" s="1" t="n"/>
      <c r="P40" s="1" t="n"/>
      <c r="Q40" s="1" t="n"/>
      <c r="R40" s="1" t="n"/>
      <c r="S40" s="1" t="n"/>
    </row>
    <row r="41" ht="16" customHeight="1">
      <c r="A41" s="1" t="n"/>
      <c r="B41" s="7" t="inlineStr">
        <is>
          <t>Overall status</t>
        </is>
      </c>
      <c r="C41" s="1" t="n"/>
      <c r="D41" s="1" t="n"/>
      <c r="E41" s="1" t="n"/>
      <c r="F41" s="11">
        <f>'90_CHECKS'!$F$3</f>
        <v/>
      </c>
      <c r="G41" s="1" t="n"/>
      <c r="H41" s="54" t="inlineStr"/>
      <c r="I41" s="55">
        <f>IF('01_CONTROL'!$F$15=1,'09_SENSITIVITIES'!G15,'09_SENSITIVITIES'!G25)</f>
        <v/>
      </c>
      <c r="J41" s="55">
        <f>IF('01_CONTROL'!$F$15=1,'09_SENSITIVITIES'!H15,'09_SENSITIVITIES'!H25)</f>
        <v/>
      </c>
      <c r="K41" s="55">
        <f>IF('01_CONTROL'!$F$15=1,'09_SENSITIVITIES'!I15,'09_SENSITIVITIES'!I25)</f>
        <v/>
      </c>
      <c r="L41" s="55">
        <f>IF('01_CONTROL'!$F$15=1,'09_SENSITIVITIES'!J15,'09_SENSITIVITIES'!J25)</f>
        <v/>
      </c>
      <c r="M41" s="55">
        <f>IF('01_CONTROL'!$F$15=1,'09_SENSITIVITIES'!K15,'09_SENSITIVITIES'!K25)</f>
        <v/>
      </c>
      <c r="N41" s="55">
        <f>IF('01_CONTROL'!$F$15=1,'09_SENSITIVITIES'!L15,'09_SENSITIVITIES'!L25)</f>
        <v/>
      </c>
      <c r="O41" s="1" t="n"/>
      <c r="P41" s="1" t="n"/>
      <c r="Q41" s="1" t="n"/>
      <c r="R41" s="1" t="n"/>
      <c r="S41" s="1" t="n"/>
    </row>
    <row r="42" ht="16" customHeight="1">
      <c r="A42" s="1" t="n"/>
      <c r="B42" s="7" t="inlineStr">
        <is>
          <t>Fail count</t>
        </is>
      </c>
      <c r="C42" s="1" t="n"/>
      <c r="D42" s="1" t="n"/>
      <c r="E42" s="1" t="n"/>
      <c r="F42" s="12">
        <f>'90_CHECKS'!$F$4</f>
        <v/>
      </c>
      <c r="G42" s="1" t="n"/>
      <c r="H42" s="55">
        <f>IF('01_CONTROL'!$F$15=1,'09_SENSITIVITIES'!$F$16,'09_SENSITIVITIES'!$F$26)</f>
        <v/>
      </c>
      <c r="I42" s="52">
        <f>IF('01_CONTROL'!$F$15=1,'09_SENSITIVITIES'!G16,'09_SENSITIVITIES'!G26)</f>
        <v/>
      </c>
      <c r="J42" s="52">
        <f>IF('01_CONTROL'!$F$15=1,'09_SENSITIVITIES'!H16,'09_SENSITIVITIES'!H26)</f>
        <v/>
      </c>
      <c r="K42" s="52">
        <f>IF('01_CONTROL'!$F$15=1,'09_SENSITIVITIES'!I16,'09_SENSITIVITIES'!I26)</f>
        <v/>
      </c>
      <c r="L42" s="52">
        <f>IF('01_CONTROL'!$F$15=1,'09_SENSITIVITIES'!J16,'09_SENSITIVITIES'!J26)</f>
        <v/>
      </c>
      <c r="M42" s="52">
        <f>IF('01_CONTROL'!$F$15=1,'09_SENSITIVITIES'!K16,'09_SENSITIVITIES'!K26)</f>
        <v/>
      </c>
      <c r="N42" s="52">
        <f>IF('01_CONTROL'!$F$15=1,'09_SENSITIVITIES'!L16,'09_SENSITIVITIES'!L26)</f>
        <v/>
      </c>
      <c r="O42" s="1" t="n"/>
      <c r="P42" s="1" t="n"/>
      <c r="Q42" s="1" t="n"/>
      <c r="R42" s="1" t="n"/>
      <c r="S42" s="1" t="n"/>
    </row>
    <row r="43" ht="16" customHeight="1">
      <c r="A43" s="1" t="n"/>
      <c r="B43" s="1" t="n"/>
      <c r="C43" s="1" t="n"/>
      <c r="D43" s="1" t="n"/>
      <c r="E43" s="1" t="n"/>
      <c r="F43" s="1" t="n"/>
      <c r="G43" s="1" t="n"/>
      <c r="H43" s="55">
        <f>IF('01_CONTROL'!$F$15=1,'09_SENSITIVITIES'!$F$17,'09_SENSITIVITIES'!$F$27)</f>
        <v/>
      </c>
      <c r="I43" s="52">
        <f>IF('01_CONTROL'!$F$15=1,'09_SENSITIVITIES'!G17,'09_SENSITIVITIES'!G27)</f>
        <v/>
      </c>
      <c r="J43" s="52">
        <f>IF('01_CONTROL'!$F$15=1,'09_SENSITIVITIES'!H17,'09_SENSITIVITIES'!H27)</f>
        <v/>
      </c>
      <c r="K43" s="52">
        <f>IF('01_CONTROL'!$F$15=1,'09_SENSITIVITIES'!I17,'09_SENSITIVITIES'!I27)</f>
        <v/>
      </c>
      <c r="L43" s="52">
        <f>IF('01_CONTROL'!$F$15=1,'09_SENSITIVITIES'!J17,'09_SENSITIVITIES'!J27)</f>
        <v/>
      </c>
      <c r="M43" s="52">
        <f>IF('01_CONTROL'!$F$15=1,'09_SENSITIVITIES'!K17,'09_SENSITIVITIES'!K27)</f>
        <v/>
      </c>
      <c r="N43" s="52">
        <f>IF('01_CONTROL'!$F$15=1,'09_SENSITIVITIES'!L17,'09_SENSITIVITIES'!L27)</f>
        <v/>
      </c>
      <c r="O43" s="1" t="n"/>
      <c r="P43" s="1" t="n"/>
      <c r="Q43" s="1" t="n"/>
      <c r="R43" s="1" t="n"/>
      <c r="S43" s="1" t="n"/>
    </row>
    <row r="44" ht="16" customHeight="1">
      <c r="A44" s="1" t="n"/>
      <c r="B44" s="7" t="inlineStr">
        <is>
          <t>Top 5 checks</t>
        </is>
      </c>
      <c r="C44" s="1" t="n"/>
      <c r="D44" s="1" t="n"/>
      <c r="E44" s="1" t="n"/>
      <c r="F44" s="1" t="n"/>
      <c r="G44" s="1" t="n"/>
      <c r="H44" s="55">
        <f>IF('01_CONTROL'!$F$15=1,'09_SENSITIVITIES'!$F$18,'09_SENSITIVITIES'!$F$28)</f>
        <v/>
      </c>
      <c r="I44" s="52">
        <f>IF('01_CONTROL'!$F$15=1,'09_SENSITIVITIES'!G18,'09_SENSITIVITIES'!G28)</f>
        <v/>
      </c>
      <c r="J44" s="52">
        <f>IF('01_CONTROL'!$F$15=1,'09_SENSITIVITIES'!H18,'09_SENSITIVITIES'!H28)</f>
        <v/>
      </c>
      <c r="K44" s="52">
        <f>IF('01_CONTROL'!$F$15=1,'09_SENSITIVITIES'!I18,'09_SENSITIVITIES'!I28)</f>
        <v/>
      </c>
      <c r="L44" s="52">
        <f>IF('01_CONTROL'!$F$15=1,'09_SENSITIVITIES'!J18,'09_SENSITIVITIES'!J28)</f>
        <v/>
      </c>
      <c r="M44" s="52">
        <f>IF('01_CONTROL'!$F$15=1,'09_SENSITIVITIES'!K18,'09_SENSITIVITIES'!K28)</f>
        <v/>
      </c>
      <c r="N44" s="52">
        <f>IF('01_CONTROL'!$F$15=1,'09_SENSITIVITIES'!L18,'09_SENSITIVITIES'!L28)</f>
        <v/>
      </c>
      <c r="O44" s="1" t="n"/>
      <c r="P44" s="1" t="n"/>
      <c r="Q44" s="1" t="n"/>
      <c r="R44" s="1" t="n"/>
      <c r="S44" s="1" t="n"/>
    </row>
    <row r="45" ht="16" customHeight="1">
      <c r="A45" s="1" t="n"/>
      <c r="B45" s="7" t="inlineStr">
        <is>
          <t>1.</t>
        </is>
      </c>
      <c r="C45" s="11">
        <f>'90_CHECKS'!$B$9</f>
        <v/>
      </c>
      <c r="D45" s="1" t="n"/>
      <c r="E45" s="1" t="n"/>
      <c r="F45" s="13">
        <f>'90_CHECKS'!$G$9</f>
        <v/>
      </c>
      <c r="G45" s="1" t="n"/>
      <c r="H45" s="55">
        <f>IF('01_CONTROL'!$F$15=1,'09_SENSITIVITIES'!$F$19,'09_SENSITIVITIES'!$F$29)</f>
        <v/>
      </c>
      <c r="I45" s="52">
        <f>IF('01_CONTROL'!$F$15=1,'09_SENSITIVITIES'!G19,'09_SENSITIVITIES'!G29)</f>
        <v/>
      </c>
      <c r="J45" s="52">
        <f>IF('01_CONTROL'!$F$15=1,'09_SENSITIVITIES'!H19,'09_SENSITIVITIES'!H29)</f>
        <v/>
      </c>
      <c r="K45" s="52">
        <f>IF('01_CONTROL'!$F$15=1,'09_SENSITIVITIES'!I19,'09_SENSITIVITIES'!I29)</f>
        <v/>
      </c>
      <c r="L45" s="52">
        <f>IF('01_CONTROL'!$F$15=1,'09_SENSITIVITIES'!J19,'09_SENSITIVITIES'!J29)</f>
        <v/>
      </c>
      <c r="M45" s="52">
        <f>IF('01_CONTROL'!$F$15=1,'09_SENSITIVITIES'!K19,'09_SENSITIVITIES'!K29)</f>
        <v/>
      </c>
      <c r="N45" s="52">
        <f>IF('01_CONTROL'!$F$15=1,'09_SENSITIVITIES'!L19,'09_SENSITIVITIES'!L29)</f>
        <v/>
      </c>
      <c r="O45" s="1" t="n"/>
      <c r="P45" s="1" t="n"/>
      <c r="Q45" s="1" t="n"/>
      <c r="R45" s="1" t="n"/>
      <c r="S45" s="1" t="n"/>
    </row>
    <row r="46" ht="16" customHeight="1">
      <c r="A46" s="1" t="n"/>
      <c r="B46" s="7" t="inlineStr">
        <is>
          <t>2.</t>
        </is>
      </c>
      <c r="C46" s="11">
        <f>'90_CHECKS'!$B$10</f>
        <v/>
      </c>
      <c r="D46" s="1" t="n"/>
      <c r="E46" s="1" t="n"/>
      <c r="F46" s="13">
        <f>'90_CHECKS'!$G$10</f>
        <v/>
      </c>
      <c r="G46" s="1" t="n"/>
      <c r="H46" s="55">
        <f>IF('01_CONTROL'!$F$15=1,'09_SENSITIVITIES'!$F$20,'09_SENSITIVITIES'!$F$30)</f>
        <v/>
      </c>
      <c r="I46" s="52">
        <f>IF('01_CONTROL'!$F$15=1,'09_SENSITIVITIES'!G20,'09_SENSITIVITIES'!G30)</f>
        <v/>
      </c>
      <c r="J46" s="52">
        <f>IF('01_CONTROL'!$F$15=1,'09_SENSITIVITIES'!H20,'09_SENSITIVITIES'!H30)</f>
        <v/>
      </c>
      <c r="K46" s="52">
        <f>IF('01_CONTROL'!$F$15=1,'09_SENSITIVITIES'!I20,'09_SENSITIVITIES'!I30)</f>
        <v/>
      </c>
      <c r="L46" s="52">
        <f>IF('01_CONTROL'!$F$15=1,'09_SENSITIVITIES'!J20,'09_SENSITIVITIES'!J30)</f>
        <v/>
      </c>
      <c r="M46" s="52">
        <f>IF('01_CONTROL'!$F$15=1,'09_SENSITIVITIES'!K20,'09_SENSITIVITIES'!K30)</f>
        <v/>
      </c>
      <c r="N46" s="52">
        <f>IF('01_CONTROL'!$F$15=1,'09_SENSITIVITIES'!L20,'09_SENSITIVITIES'!L30)</f>
        <v/>
      </c>
      <c r="O46" s="1" t="n"/>
      <c r="P46" s="1" t="n"/>
      <c r="Q46" s="1" t="n"/>
      <c r="R46" s="1" t="n"/>
      <c r="S46" s="1" t="n"/>
    </row>
    <row r="47" ht="16" customHeight="1">
      <c r="A47" s="1" t="n"/>
      <c r="B47" s="7" t="inlineStr">
        <is>
          <t>3.</t>
        </is>
      </c>
      <c r="C47" s="11">
        <f>'90_CHECKS'!$B$11</f>
        <v/>
      </c>
      <c r="D47" s="1" t="n"/>
      <c r="E47" s="1" t="n"/>
      <c r="F47" s="13">
        <f>'90_CHECKS'!$G$11</f>
        <v/>
      </c>
      <c r="G47" s="1" t="n"/>
      <c r="H47" s="55">
        <f>IF('01_CONTROL'!$F$15=1,'09_SENSITIVITIES'!$F$21,'09_SENSITIVITIES'!$F$31)</f>
        <v/>
      </c>
      <c r="I47" s="52">
        <f>IF('01_CONTROL'!$F$15=1,'09_SENSITIVITIES'!G21,'09_SENSITIVITIES'!G31)</f>
        <v/>
      </c>
      <c r="J47" s="52">
        <f>IF('01_CONTROL'!$F$15=1,'09_SENSITIVITIES'!H21,'09_SENSITIVITIES'!H31)</f>
        <v/>
      </c>
      <c r="K47" s="52">
        <f>IF('01_CONTROL'!$F$15=1,'09_SENSITIVITIES'!I21,'09_SENSITIVITIES'!I31)</f>
        <v/>
      </c>
      <c r="L47" s="52">
        <f>IF('01_CONTROL'!$F$15=1,'09_SENSITIVITIES'!J21,'09_SENSITIVITIES'!J31)</f>
        <v/>
      </c>
      <c r="M47" s="52">
        <f>IF('01_CONTROL'!$F$15=1,'09_SENSITIVITIES'!K21,'09_SENSITIVITIES'!K31)</f>
        <v/>
      </c>
      <c r="N47" s="52">
        <f>IF('01_CONTROL'!$F$15=1,'09_SENSITIVITIES'!L21,'09_SENSITIVITIES'!L31)</f>
        <v/>
      </c>
      <c r="O47" s="1" t="n"/>
      <c r="P47" s="1" t="n"/>
      <c r="Q47" s="1" t="n"/>
      <c r="R47" s="1" t="n"/>
      <c r="S47" s="1" t="n"/>
    </row>
    <row r="48" ht="16" customHeight="1">
      <c r="A48" s="1" t="n"/>
      <c r="B48" s="7" t="inlineStr">
        <is>
          <t>4.</t>
        </is>
      </c>
      <c r="C48" s="11">
        <f>'90_CHECKS'!$B$12</f>
        <v/>
      </c>
      <c r="D48" s="1" t="n"/>
      <c r="E48" s="1" t="n"/>
      <c r="F48" s="13">
        <f>'90_CHECKS'!$G$12</f>
        <v/>
      </c>
      <c r="G48" s="1" t="n"/>
      <c r="H48" s="1" t="n"/>
      <c r="I48" s="1" t="n"/>
      <c r="J48" s="1" t="n"/>
      <c r="K48" s="1" t="n"/>
      <c r="L48" s="1" t="n"/>
      <c r="M48" s="1" t="n"/>
      <c r="N48" s="1" t="n"/>
      <c r="O48" s="1" t="n"/>
      <c r="P48" s="1" t="n"/>
      <c r="Q48" s="1" t="n"/>
      <c r="R48" s="1" t="n"/>
      <c r="S48" s="1" t="n"/>
    </row>
    <row r="49" ht="16" customHeight="1">
      <c r="A49" s="1" t="n"/>
      <c r="B49" s="7" t="inlineStr">
        <is>
          <t>5.</t>
        </is>
      </c>
      <c r="C49" s="11">
        <f>'90_CHECKS'!$B$13</f>
        <v/>
      </c>
      <c r="D49" s="1" t="n"/>
      <c r="E49" s="1" t="n"/>
      <c r="F49" s="13">
        <f>'90_CHECKS'!$G$13</f>
        <v/>
      </c>
      <c r="G49" s="1" t="n"/>
      <c r="H49" s="1" t="n"/>
      <c r="I49" s="1" t="n"/>
      <c r="J49" s="1" t="n"/>
      <c r="K49" s="1" t="n"/>
      <c r="L49" s="1" t="n"/>
      <c r="M49" s="1" t="n"/>
      <c r="N49" s="1" t="n"/>
      <c r="O49" s="1" t="n"/>
      <c r="P49" s="1" t="n"/>
      <c r="Q49" s="1" t="n"/>
      <c r="R49" s="1" t="n"/>
      <c r="S49" s="1" t="n"/>
    </row>
    <row r="50" ht="16" customHeight="1">
      <c r="A50" s="1" t="n"/>
      <c r="B50" s="1" t="n"/>
      <c r="C50" s="1" t="n"/>
      <c r="D50" s="1" t="n"/>
      <c r="E50" s="1" t="n"/>
      <c r="F50" s="1" t="n"/>
      <c r="G50" s="1" t="n"/>
      <c r="H50" s="1" t="n"/>
      <c r="I50" s="1" t="n"/>
      <c r="J50" s="1" t="n"/>
      <c r="K50" s="1" t="n"/>
      <c r="L50" s="1" t="n"/>
      <c r="M50" s="1" t="n"/>
      <c r="N50" s="1" t="n"/>
      <c r="O50" s="1" t="n"/>
      <c r="P50" s="1" t="n"/>
      <c r="Q50" s="1" t="n"/>
      <c r="R50" s="1" t="n"/>
      <c r="S50" s="1" t="n"/>
    </row>
    <row r="51" ht="16" customHeight="1">
      <c r="A51" s="1" t="n"/>
      <c r="B51" s="1" t="n"/>
      <c r="C51" s="1" t="n"/>
      <c r="D51" s="1" t="n"/>
      <c r="E51" s="1" t="n"/>
      <c r="F51" s="1" t="n"/>
      <c r="G51" s="1" t="n"/>
      <c r="H51" s="1" t="n"/>
      <c r="I51" s="1" t="n"/>
      <c r="J51" s="1" t="n"/>
      <c r="K51" s="1" t="n"/>
      <c r="L51" s="1" t="n"/>
      <c r="M51" s="1" t="n"/>
      <c r="N51" s="1" t="n"/>
      <c r="O51" s="1" t="n"/>
      <c r="P51" s="1" t="n"/>
      <c r="Q51" s="1" t="n"/>
      <c r="R51" s="1" t="n"/>
      <c r="S51" s="1" t="n"/>
    </row>
    <row r="52" ht="20" customHeight="1">
      <c r="A52" s="1" t="n"/>
      <c r="B52" s="5" t="inlineStr">
        <is>
          <t>INTERPRETATION (AUTO FILLED WHERE POSSIBLE)</t>
        </is>
      </c>
      <c r="C52" s="6" t="n"/>
      <c r="D52" s="6" t="n"/>
      <c r="E52" s="6" t="n"/>
      <c r="F52" s="1" t="n"/>
      <c r="G52" s="1" t="n"/>
      <c r="H52" s="1" t="n"/>
      <c r="I52" s="1" t="n"/>
      <c r="J52" s="1" t="n"/>
      <c r="K52" s="1" t="n"/>
      <c r="L52" s="1" t="n"/>
      <c r="M52" s="1" t="n"/>
      <c r="N52" s="1" t="n"/>
      <c r="O52" s="1" t="n"/>
      <c r="P52" s="1" t="n"/>
      <c r="Q52" s="1" t="n"/>
      <c r="R52" s="1" t="n"/>
      <c r="S52" s="1" t="n"/>
    </row>
    <row r="53" ht="16" customHeight="1">
      <c r="A53" s="1" t="n"/>
      <c r="B53" s="7" t="inlineStr">
        <is>
          <t>What drives valuation today</t>
        </is>
      </c>
      <c r="C53" s="1" t="n"/>
      <c r="D53" s="1" t="n"/>
      <c r="E53" s="1" t="n"/>
      <c r="F53" s="11">
        <f>"Comps EV/EBITDA x "&amp;TEXT('05_TRADING_COMPS'!$F$32,"0.0")&amp;", DCF "&amp;'01_CONTROL'!$F$12</f>
        <v/>
      </c>
      <c r="G53" s="1" t="n"/>
      <c r="H53" s="1" t="n"/>
      <c r="I53" s="1" t="n"/>
      <c r="J53" s="1" t="n"/>
      <c r="K53" s="1" t="n"/>
      <c r="L53" s="1" t="n"/>
      <c r="M53" s="1" t="n"/>
      <c r="N53" s="1" t="n"/>
      <c r="O53" s="1" t="n"/>
      <c r="P53" s="1" t="n"/>
      <c r="Q53" s="1" t="n"/>
      <c r="R53" s="1" t="n"/>
      <c r="S53" s="1" t="n"/>
    </row>
    <row r="54" ht="16" customHeight="1">
      <c r="A54" s="1" t="n"/>
      <c r="B54" s="7" t="inlineStr">
        <is>
          <t>Biggest sensitivities</t>
        </is>
      </c>
      <c r="C54" s="1" t="n"/>
      <c r="D54" s="1" t="n"/>
      <c r="E54" s="1" t="n"/>
      <c r="F54" s="11">
        <f>"WACC "&amp;TEXT('06_DCF_WACC'!$F$20,"0.0%")&amp;" and terminal assumptions (see 09_SENSITIVITIES)"</f>
        <v/>
      </c>
      <c r="G54" s="1" t="n"/>
      <c r="H54" s="1" t="n"/>
      <c r="I54" s="1" t="n"/>
      <c r="J54" s="1" t="n"/>
      <c r="K54" s="1" t="n"/>
      <c r="L54" s="1" t="n"/>
      <c r="M54" s="1" t="n"/>
      <c r="N54" s="1" t="n"/>
      <c r="O54" s="1" t="n"/>
      <c r="P54" s="1" t="n"/>
      <c r="Q54" s="1" t="n"/>
      <c r="R54" s="1" t="n"/>
      <c r="S54" s="1" t="n"/>
    </row>
    <row r="55" ht="16" customHeight="1">
      <c r="A55" s="1" t="n"/>
      <c r="B55" s="7" t="inlineStr">
        <is>
          <t>Red flag checks</t>
        </is>
      </c>
      <c r="C55" s="1" t="n"/>
      <c r="D55" s="1" t="n"/>
      <c r="E55" s="1" t="n"/>
      <c r="F55" s="11">
        <f>"Status: "&amp;'90_CHECKS'!$F$3&amp;" (fails: "&amp;TEXT('90_CHECKS'!$F$4,"0")&amp;")"</f>
        <v/>
      </c>
      <c r="G55" s="1" t="n"/>
      <c r="H55" s="1" t="n"/>
      <c r="I55" s="1" t="n"/>
      <c r="J55" s="1" t="n"/>
      <c r="K55" s="1" t="n"/>
      <c r="L55" s="1" t="n"/>
      <c r="M55" s="1" t="n"/>
      <c r="N55" s="1" t="n"/>
      <c r="O55" s="1" t="n"/>
      <c r="P55" s="1" t="n"/>
      <c r="Q55" s="1" t="n"/>
      <c r="R55" s="1" t="n"/>
      <c r="S55" s="1" t="n"/>
    </row>
    <row r="56" ht="16" customHeight="1">
      <c r="A56" s="1" t="n"/>
      <c r="B56" s="7" t="inlineStr">
        <is>
          <t>Key accounting adjustments used</t>
        </is>
      </c>
      <c r="C56" s="1" t="n"/>
      <c r="D56" s="1" t="n"/>
      <c r="E56" s="1" t="n"/>
      <c r="F56" s="11">
        <f>"None (template). Add adjustments in 02_COMPANY_INPUTS if needed."</f>
        <v/>
      </c>
      <c r="G56" s="1" t="n"/>
      <c r="H56" s="1" t="n"/>
      <c r="I56" s="1" t="n"/>
      <c r="J56" s="1" t="n"/>
      <c r="K56" s="1" t="n"/>
      <c r="L56" s="1" t="n"/>
      <c r="M56" s="1" t="n"/>
      <c r="N56" s="1" t="n"/>
      <c r="O56" s="1" t="n"/>
      <c r="P56" s="1" t="n"/>
      <c r="Q56" s="1" t="n"/>
      <c r="R56" s="1" t="n"/>
      <c r="S56" s="1" t="n"/>
    </row>
    <row r="57" ht="16" customHeight="1">
      <c r="A57" s="1" t="n"/>
      <c r="B57" s="7" t="inlineStr">
        <is>
          <t>What would change conclusion</t>
        </is>
      </c>
      <c r="C57" s="1" t="n"/>
      <c r="D57" s="1" t="n"/>
      <c r="E57" s="1" t="n"/>
      <c r="F57" s="11">
        <f>"Change scenario (01_CONTROL) or update peer set / multiple selection (05_TRADING_COMPS)."</f>
        <v/>
      </c>
      <c r="G57" s="1" t="n"/>
      <c r="H57" s="1" t="n"/>
      <c r="I57" s="1" t="n"/>
      <c r="J57" s="1" t="n"/>
      <c r="K57" s="1" t="n"/>
      <c r="L57" s="1" t="n"/>
      <c r="M57" s="1" t="n"/>
      <c r="N57" s="1" t="n"/>
      <c r="O57" s="1" t="n"/>
      <c r="P57" s="1" t="n"/>
      <c r="Q57" s="1" t="n"/>
      <c r="R57" s="1" t="n"/>
      <c r="S57" s="1" t="n"/>
    </row>
    <row r="58" ht="16" customHeight="1">
      <c r="A58" s="1" t="n"/>
      <c r="B58" s="1" t="n"/>
      <c r="C58" s="1" t="n"/>
      <c r="D58" s="1" t="n"/>
      <c r="E58" s="1" t="n"/>
      <c r="F58" s="1" t="n"/>
      <c r="G58" s="1" t="n"/>
      <c r="H58" s="1" t="n"/>
      <c r="I58" s="1" t="n"/>
      <c r="J58" s="1" t="n"/>
      <c r="K58" s="1" t="n"/>
      <c r="L58" s="1" t="n"/>
      <c r="M58" s="1" t="n"/>
      <c r="N58" s="1" t="n"/>
      <c r="O58" s="1" t="n"/>
      <c r="P58" s="1" t="n"/>
      <c r="Q58" s="1" t="n"/>
      <c r="R58" s="1" t="n"/>
      <c r="S58" s="1" t="n"/>
    </row>
    <row r="59" ht="16" customHeight="1">
      <c r="A59" s="1" t="n"/>
      <c r="B59" s="1" t="n"/>
      <c r="C59" s="1" t="n"/>
      <c r="D59" s="1" t="n"/>
      <c r="E59" s="1" t="n"/>
      <c r="F59" s="1" t="n"/>
      <c r="G59" s="1" t="n"/>
      <c r="H59" s="1" t="n"/>
      <c r="I59" s="1" t="n"/>
      <c r="J59" s="1" t="n"/>
      <c r="K59" s="1" t="n"/>
      <c r="L59" s="1" t="n"/>
      <c r="M59" s="1" t="n"/>
      <c r="N59" s="1" t="n"/>
      <c r="O59" s="1" t="n"/>
      <c r="P59" s="1" t="n"/>
      <c r="Q59" s="1" t="n"/>
      <c r="R59" s="1" t="n"/>
      <c r="S59" s="1" t="n"/>
    </row>
    <row r="60" ht="16" customHeight="1">
      <c r="A60" s="1" t="n"/>
      <c r="B60" s="1" t="n"/>
      <c r="C60" s="1" t="n"/>
      <c r="D60" s="1" t="n"/>
      <c r="E60" s="1" t="n"/>
      <c r="F60" s="1" t="n"/>
      <c r="G60" s="1" t="n"/>
      <c r="H60" s="1" t="n"/>
      <c r="I60" s="1" t="n"/>
      <c r="J60" s="1" t="n"/>
      <c r="K60" s="1" t="n"/>
      <c r="L60" s="1" t="n"/>
      <c r="M60" s="1" t="n"/>
      <c r="N60" s="1" t="n"/>
      <c r="O60" s="1" t="n"/>
      <c r="P60" s="1" t="n"/>
      <c r="Q60" s="1" t="n"/>
      <c r="R60" s="1" t="n"/>
      <c r="S60" s="1" t="n"/>
    </row>
    <row r="61" ht="16" customHeight="1">
      <c r="A61" s="1" t="n"/>
      <c r="B61" s="1" t="n"/>
      <c r="C61" s="1" t="n"/>
      <c r="D61" s="1" t="n"/>
      <c r="E61" s="1" t="n"/>
      <c r="F61" s="1" t="n"/>
      <c r="G61" s="1" t="n"/>
      <c r="H61" s="1" t="n"/>
      <c r="I61" s="1" t="n"/>
      <c r="J61" s="1" t="n"/>
      <c r="K61" s="1" t="n"/>
      <c r="L61" s="1" t="n"/>
      <c r="M61" s="1" t="n"/>
      <c r="N61" s="1" t="n"/>
      <c r="O61" s="1" t="n"/>
      <c r="P61" s="1" t="n"/>
      <c r="Q61" s="1" t="n"/>
      <c r="R61" s="1" t="n"/>
      <c r="S61" s="1" t="n"/>
    </row>
    <row r="62" ht="16" customHeight="1">
      <c r="A62" s="1" t="n"/>
      <c r="B62" s="1" t="n"/>
      <c r="C62" s="1" t="n"/>
      <c r="D62" s="1" t="n"/>
      <c r="E62" s="1" t="n"/>
      <c r="F62" s="1" t="n"/>
      <c r="G62" s="1" t="n"/>
      <c r="H62" s="1" t="n"/>
      <c r="I62" s="1" t="n"/>
      <c r="J62" s="1" t="n"/>
      <c r="K62" s="1" t="n"/>
      <c r="L62" s="1" t="n"/>
      <c r="M62" s="1" t="n"/>
      <c r="N62" s="1" t="n"/>
      <c r="O62" s="1" t="n"/>
      <c r="P62" s="1" t="n"/>
      <c r="Q62" s="1" t="n"/>
      <c r="R62" s="1" t="n"/>
      <c r="S62" s="1" t="n"/>
    </row>
    <row r="63" ht="16" customHeight="1">
      <c r="A63" s="1" t="n"/>
      <c r="B63" s="1" t="n"/>
      <c r="C63" s="1" t="n"/>
      <c r="D63" s="1" t="n"/>
      <c r="E63" s="1" t="n"/>
      <c r="F63" s="1" t="n"/>
      <c r="G63" s="1" t="n"/>
      <c r="H63" s="1" t="n"/>
      <c r="I63" s="1" t="n"/>
      <c r="J63" s="1" t="n"/>
      <c r="K63" s="1" t="n"/>
      <c r="L63" s="1" t="n"/>
      <c r="M63" s="1" t="n"/>
      <c r="N63" s="1" t="n"/>
      <c r="O63" s="1" t="n"/>
      <c r="P63" s="1" t="n"/>
      <c r="Q63" s="1" t="n"/>
      <c r="R63" s="1" t="n"/>
      <c r="S63" s="1" t="n"/>
    </row>
    <row r="64" ht="16" customHeight="1">
      <c r="A64" s="1" t="n"/>
      <c r="B64" s="1" t="n"/>
      <c r="C64" s="1" t="n"/>
      <c r="D64" s="1" t="n"/>
      <c r="E64" s="1" t="n"/>
      <c r="F64" s="1" t="n"/>
      <c r="G64" s="1" t="n"/>
      <c r="H64" s="1" t="n"/>
      <c r="I64" s="1" t="n"/>
      <c r="J64" s="1" t="n"/>
      <c r="K64" s="1" t="n"/>
      <c r="L64" s="1" t="n"/>
      <c r="M64" s="1" t="n"/>
      <c r="N64" s="1" t="n"/>
      <c r="O64" s="1" t="n"/>
      <c r="P64" s="1" t="n"/>
      <c r="Q64" s="1" t="n"/>
      <c r="R64" s="1" t="n"/>
      <c r="S64" s="1" t="n"/>
    </row>
    <row r="65" ht="16" customHeight="1">
      <c r="A65" s="1" t="n"/>
      <c r="B65" s="1" t="n"/>
      <c r="C65" s="1" t="n"/>
      <c r="D65" s="1" t="n"/>
      <c r="E65" s="1" t="n"/>
      <c r="F65" s="1" t="n"/>
      <c r="G65" s="1" t="n"/>
      <c r="H65" s="1" t="n"/>
      <c r="I65" s="1" t="n"/>
      <c r="J65" s="1" t="n"/>
      <c r="K65" s="1" t="n"/>
      <c r="L65" s="1" t="n"/>
      <c r="M65" s="1" t="n"/>
      <c r="N65" s="1" t="n"/>
      <c r="O65" s="1" t="n"/>
      <c r="P65" s="1" t="n"/>
      <c r="Q65" s="1" t="n"/>
      <c r="R65" s="1" t="n"/>
      <c r="S65" s="1" t="n"/>
    </row>
    <row r="66" ht="16" customHeight="1">
      <c r="A66" s="1" t="n"/>
      <c r="B66" s="1" t="n"/>
      <c r="C66" s="1" t="n"/>
      <c r="D66" s="1" t="n"/>
      <c r="E66" s="1" t="n"/>
      <c r="F66" s="1" t="n"/>
      <c r="G66" s="1" t="n"/>
      <c r="H66" s="1" t="n"/>
      <c r="I66" s="1" t="n"/>
      <c r="J66" s="1" t="n"/>
      <c r="K66" s="1" t="n"/>
      <c r="L66" s="1" t="n"/>
      <c r="M66" s="1" t="n"/>
      <c r="N66" s="1" t="n"/>
      <c r="O66" s="1" t="n"/>
      <c r="P66" s="1" t="n"/>
      <c r="Q66" s="1" t="n"/>
      <c r="R66" s="1" t="n"/>
      <c r="S66" s="1" t="n"/>
    </row>
    <row r="67" ht="16" customHeight="1">
      <c r="A67" s="1" t="n"/>
      <c r="B67" s="1" t="n"/>
      <c r="C67" s="1" t="n"/>
      <c r="D67" s="1" t="n"/>
      <c r="E67" s="1" t="n"/>
      <c r="F67" s="1" t="n"/>
      <c r="G67" s="1" t="n"/>
      <c r="H67" s="1" t="n"/>
      <c r="I67" s="1" t="n"/>
      <c r="J67" s="1" t="n"/>
      <c r="K67" s="1" t="n"/>
      <c r="L67" s="1" t="n"/>
      <c r="M67" s="1" t="n"/>
      <c r="N67" s="1" t="n"/>
      <c r="O67" s="1" t="n"/>
      <c r="P67" s="1" t="n"/>
      <c r="Q67" s="1" t="n"/>
      <c r="R67" s="1" t="n"/>
      <c r="S67" s="1" t="n"/>
    </row>
    <row r="68" ht="16" customHeight="1">
      <c r="A68" s="1" t="n"/>
      <c r="B68" s="1" t="n"/>
      <c r="C68" s="1" t="n"/>
      <c r="D68" s="1" t="n"/>
      <c r="E68" s="1" t="n"/>
      <c r="F68" s="1" t="n"/>
      <c r="G68" s="1" t="n"/>
      <c r="H68" s="1" t="n"/>
      <c r="I68" s="1" t="n"/>
      <c r="J68" s="1" t="n"/>
      <c r="K68" s="1" t="n"/>
      <c r="L68" s="1" t="n"/>
      <c r="M68" s="1" t="n"/>
      <c r="N68" s="1" t="n"/>
      <c r="O68" s="1" t="n"/>
      <c r="P68" s="1" t="n"/>
      <c r="Q68" s="1" t="n"/>
      <c r="R68" s="1" t="n"/>
      <c r="S68" s="1" t="n"/>
    </row>
    <row r="69" ht="16" customHeight="1">
      <c r="A69" s="1" t="n"/>
      <c r="B69" s="1" t="n"/>
      <c r="C69" s="1" t="n"/>
      <c r="D69" s="1" t="n"/>
      <c r="E69" s="1" t="n"/>
      <c r="F69" s="1" t="n"/>
      <c r="G69" s="1" t="n"/>
      <c r="H69" s="1" t="n"/>
      <c r="I69" s="1" t="n"/>
      <c r="J69" s="1" t="n"/>
      <c r="K69" s="1" t="n"/>
      <c r="L69" s="1" t="n"/>
      <c r="M69" s="1" t="n"/>
      <c r="N69" s="1" t="n"/>
      <c r="O69" s="1" t="n"/>
      <c r="P69" s="1" t="n"/>
      <c r="Q69" s="1" t="n"/>
      <c r="R69" s="1" t="n"/>
      <c r="S69" s="1" t="n"/>
    </row>
    <row r="70" ht="16" customHeight="1">
      <c r="A70" s="1" t="n"/>
      <c r="B70" s="1" t="n"/>
      <c r="C70" s="1" t="n"/>
      <c r="D70" s="1" t="n"/>
      <c r="E70" s="1" t="n"/>
      <c r="F70" s="1" t="n"/>
      <c r="G70" s="1" t="n"/>
      <c r="H70" s="1" t="n"/>
      <c r="I70" s="1" t="n"/>
      <c r="J70" s="1" t="n"/>
      <c r="K70" s="1" t="n"/>
      <c r="L70" s="1" t="n"/>
      <c r="M70" s="1" t="n"/>
      <c r="N70" s="1" t="n"/>
      <c r="O70" s="1" t="n"/>
      <c r="P70" s="1" t="n"/>
      <c r="Q70" s="1" t="n"/>
      <c r="R70" s="1" t="n"/>
      <c r="S70" s="1" t="n"/>
    </row>
    <row r="71" ht="16" customHeight="1">
      <c r="A71" s="1" t="n"/>
      <c r="B71" s="1" t="n"/>
      <c r="C71" s="1" t="n"/>
      <c r="D71" s="1" t="n"/>
      <c r="E71" s="1" t="n"/>
      <c r="F71" s="1" t="n"/>
      <c r="G71" s="1" t="n"/>
      <c r="H71" s="1" t="n"/>
      <c r="I71" s="1" t="n"/>
      <c r="J71" s="1" t="n"/>
      <c r="K71" s="1" t="n"/>
      <c r="L71" s="1" t="n"/>
      <c r="M71" s="1" t="n"/>
      <c r="N71" s="1" t="n"/>
      <c r="O71" s="1" t="n"/>
      <c r="P71" s="1" t="n"/>
      <c r="Q71" s="1" t="n"/>
      <c r="R71" s="1" t="n"/>
      <c r="S71" s="1" t="n"/>
    </row>
    <row r="72" ht="16" customHeight="1">
      <c r="A72" s="1" t="n"/>
      <c r="B72" s="1" t="n"/>
      <c r="C72" s="1" t="n"/>
      <c r="D72" s="1" t="n"/>
      <c r="E72" s="1" t="n"/>
      <c r="F72" s="1" t="n"/>
      <c r="G72" s="1" t="n"/>
      <c r="H72" s="1" t="n"/>
      <c r="I72" s="1" t="n"/>
      <c r="J72" s="1" t="n"/>
      <c r="K72" s="1" t="n"/>
      <c r="L72" s="1" t="n"/>
      <c r="M72" s="1" t="n"/>
      <c r="N72" s="1" t="n"/>
      <c r="O72" s="1" t="n"/>
      <c r="P72" s="1" t="n"/>
      <c r="Q72" s="1" t="n"/>
      <c r="R72" s="1" t="n"/>
      <c r="S72" s="1" t="n"/>
    </row>
    <row r="73" ht="16" customHeight="1">
      <c r="A73" s="1" t="n"/>
      <c r="B73" s="1" t="n"/>
      <c r="C73" s="1" t="n"/>
      <c r="D73" s="1" t="n"/>
      <c r="E73" s="1" t="n"/>
      <c r="F73" s="1" t="n"/>
      <c r="G73" s="1" t="n"/>
      <c r="H73" s="1" t="n"/>
      <c r="I73" s="1" t="n"/>
      <c r="J73" s="1" t="n"/>
      <c r="K73" s="1" t="n"/>
      <c r="L73" s="1" t="n"/>
      <c r="M73" s="1" t="n"/>
      <c r="N73" s="1" t="n"/>
      <c r="O73" s="1" t="n"/>
      <c r="P73" s="1" t="n"/>
      <c r="Q73" s="1" t="n"/>
      <c r="R73" s="1" t="n"/>
      <c r="S73" s="1" t="n"/>
    </row>
    <row r="74" ht="16" customHeight="1">
      <c r="A74" s="1" t="n"/>
      <c r="B74" s="1" t="n"/>
      <c r="C74" s="1" t="n"/>
      <c r="D74" s="1" t="n"/>
      <c r="E74" s="1" t="n"/>
      <c r="F74" s="1" t="n"/>
      <c r="G74" s="1" t="n"/>
      <c r="H74" s="1" t="n"/>
      <c r="I74" s="1" t="n"/>
      <c r="J74" s="1" t="n"/>
      <c r="K74" s="1" t="n"/>
      <c r="L74" s="1" t="n"/>
      <c r="M74" s="1" t="n"/>
      <c r="N74" s="1" t="n"/>
      <c r="O74" s="1" t="n"/>
      <c r="P74" s="1" t="n"/>
      <c r="Q74" s="1" t="n"/>
      <c r="R74" s="1" t="n"/>
      <c r="S74" s="1" t="n"/>
    </row>
    <row r="75" ht="16" customHeight="1">
      <c r="A75" s="1" t="n"/>
      <c r="B75" s="1" t="n"/>
      <c r="C75" s="1" t="n"/>
      <c r="D75" s="1" t="n"/>
      <c r="E75" s="1" t="n"/>
      <c r="F75" s="1" t="n"/>
      <c r="G75" s="1" t="n"/>
      <c r="H75" s="1" t="n"/>
      <c r="I75" s="1" t="n"/>
      <c r="J75" s="1" t="n"/>
      <c r="K75" s="1" t="n"/>
      <c r="L75" s="1" t="n"/>
      <c r="M75" s="1" t="n"/>
      <c r="N75" s="1" t="n"/>
      <c r="O75" s="1" t="n"/>
      <c r="P75" s="1" t="n"/>
      <c r="Q75" s="1" t="n"/>
      <c r="R75" s="1" t="n"/>
      <c r="S75" s="1" t="n"/>
    </row>
    <row r="76" ht="16" customHeight="1">
      <c r="A76" s="1" t="n"/>
      <c r="B76" s="1" t="n"/>
      <c r="C76" s="1" t="n"/>
      <c r="D76" s="1" t="n"/>
      <c r="E76" s="1" t="n"/>
      <c r="F76" s="1" t="n"/>
      <c r="G76" s="1" t="n"/>
      <c r="H76" s="1" t="n"/>
      <c r="I76" s="1" t="n"/>
      <c r="J76" s="1" t="n"/>
      <c r="K76" s="1" t="n"/>
      <c r="L76" s="1" t="n"/>
      <c r="M76" s="1" t="n"/>
      <c r="N76" s="1" t="n"/>
      <c r="O76" s="1" t="n"/>
      <c r="P76" s="1" t="n"/>
      <c r="Q76" s="1" t="n"/>
      <c r="R76" s="1" t="n"/>
      <c r="S76" s="1" t="n"/>
    </row>
    <row r="77" ht="16" customHeight="1">
      <c r="A77" s="1" t="n"/>
      <c r="B77" s="1" t="n"/>
      <c r="C77" s="1" t="n"/>
      <c r="D77" s="1" t="n"/>
      <c r="E77" s="1" t="n"/>
      <c r="F77" s="1" t="n"/>
      <c r="G77" s="1" t="n"/>
      <c r="H77" s="1" t="n"/>
      <c r="I77" s="1" t="n"/>
      <c r="J77" s="1" t="n"/>
      <c r="K77" s="1" t="n"/>
      <c r="L77" s="1" t="n"/>
      <c r="M77" s="1" t="n"/>
      <c r="N77" s="1" t="n"/>
      <c r="O77" s="1" t="n"/>
      <c r="P77" s="1" t="n"/>
      <c r="Q77" s="1" t="n"/>
      <c r="R77" s="1" t="n"/>
      <c r="S77" s="1" t="n"/>
    </row>
    <row r="78" ht="16" customHeight="1">
      <c r="A78" s="1" t="n"/>
      <c r="B78" s="1" t="n"/>
      <c r="C78" s="1" t="n"/>
      <c r="D78" s="1" t="n"/>
      <c r="E78" s="1" t="n"/>
      <c r="F78" s="1" t="n"/>
      <c r="G78" s="1" t="n"/>
      <c r="H78" s="1" t="n"/>
      <c r="I78" s="1" t="n"/>
      <c r="J78" s="1" t="n"/>
      <c r="K78" s="1" t="n"/>
      <c r="L78" s="1" t="n"/>
      <c r="M78" s="1" t="n"/>
      <c r="N78" s="1" t="n"/>
      <c r="O78" s="1" t="n"/>
      <c r="P78" s="1" t="n"/>
      <c r="Q78" s="1" t="n"/>
      <c r="R78" s="1" t="n"/>
      <c r="S78" s="1" t="n"/>
    </row>
    <row r="79" ht="16" customHeight="1">
      <c r="A79" s="1" t="n"/>
      <c r="B79" s="1" t="n"/>
      <c r="C79" s="1" t="n"/>
      <c r="D79" s="1" t="n"/>
      <c r="E79" s="1" t="n"/>
      <c r="F79" s="1" t="n"/>
      <c r="G79" s="1" t="n"/>
      <c r="H79" s="1" t="n"/>
      <c r="I79" s="1" t="n"/>
      <c r="J79" s="1" t="n"/>
      <c r="K79" s="1" t="n"/>
      <c r="L79" s="1" t="n"/>
      <c r="M79" s="1" t="n"/>
      <c r="N79" s="1" t="n"/>
      <c r="O79" s="1" t="n"/>
      <c r="P79" s="1" t="n"/>
      <c r="Q79" s="1" t="n"/>
      <c r="R79" s="1" t="n"/>
      <c r="S79" s="1" t="n"/>
    </row>
    <row r="80" ht="16" customHeight="1">
      <c r="A80" s="1" t="n"/>
      <c r="B80" s="1" t="n"/>
      <c r="C80" s="1" t="n"/>
      <c r="D80" s="1" t="n"/>
      <c r="E80" s="1" t="n"/>
      <c r="F80" s="1" t="n"/>
      <c r="G80" s="1" t="n"/>
      <c r="H80" s="1" t="n"/>
      <c r="I80" s="1" t="n"/>
      <c r="J80" s="1" t="n"/>
      <c r="K80" s="1" t="n"/>
      <c r="L80" s="1" t="n"/>
      <c r="M80" s="1" t="n"/>
      <c r="N80" s="1" t="n"/>
      <c r="O80" s="1" t="n"/>
      <c r="P80" s="1" t="n"/>
      <c r="Q80" s="1" t="n"/>
      <c r="R80" s="1" t="n"/>
      <c r="S80" s="1" t="n"/>
    </row>
    <row r="81" ht="16" customHeight="1">
      <c r="A81" s="1" t="n"/>
      <c r="B81" s="1" t="n"/>
      <c r="C81" s="1" t="n"/>
      <c r="D81" s="1" t="n"/>
      <c r="E81" s="1" t="n"/>
      <c r="F81" s="1" t="n"/>
      <c r="G81" s="1" t="n"/>
      <c r="H81" s="1" t="n"/>
      <c r="I81" s="1" t="n"/>
      <c r="J81" s="1" t="n"/>
      <c r="K81" s="1" t="n"/>
      <c r="L81" s="1" t="n"/>
      <c r="M81" s="1" t="n"/>
      <c r="N81" s="1" t="n"/>
      <c r="O81" s="1" t="n"/>
      <c r="P81" s="1" t="n"/>
      <c r="Q81" s="1" t="n"/>
      <c r="R81" s="1" t="n"/>
      <c r="S81" s="1" t="n"/>
    </row>
    <row r="82" ht="16" customHeight="1">
      <c r="A82" s="1" t="n"/>
      <c r="B82" s="1" t="n"/>
      <c r="C82" s="1" t="n"/>
      <c r="D82" s="1" t="n"/>
      <c r="E82" s="1" t="n"/>
      <c r="F82" s="1" t="n"/>
      <c r="G82" s="1" t="n"/>
      <c r="H82" s="1" t="n"/>
      <c r="I82" s="1" t="n"/>
      <c r="J82" s="1" t="n"/>
      <c r="K82" s="1" t="n"/>
      <c r="L82" s="1" t="n"/>
      <c r="M82" s="1" t="n"/>
      <c r="N82" s="1" t="n"/>
      <c r="O82" s="1" t="n"/>
      <c r="P82" s="1" t="n"/>
      <c r="Q82" s="1" t="n"/>
      <c r="R82" s="1" t="n"/>
      <c r="S82" s="1" t="n"/>
    </row>
    <row r="83" ht="16" customHeight="1">
      <c r="A83" s="1" t="n"/>
      <c r="B83" s="1" t="n"/>
      <c r="C83" s="1" t="n"/>
      <c r="D83" s="1" t="n"/>
      <c r="E83" s="1" t="n"/>
      <c r="F83" s="1" t="n"/>
      <c r="G83" s="1" t="n"/>
      <c r="H83" s="1" t="n"/>
      <c r="I83" s="1" t="n"/>
      <c r="J83" s="1" t="n"/>
      <c r="K83" s="1" t="n"/>
      <c r="L83" s="1" t="n"/>
      <c r="M83" s="1" t="n"/>
      <c r="N83" s="1" t="n"/>
      <c r="O83" s="1" t="n"/>
      <c r="P83" s="1" t="n"/>
      <c r="Q83" s="1" t="n"/>
      <c r="R83" s="1" t="n"/>
      <c r="S83" s="1" t="n"/>
    </row>
    <row r="84" ht="16" customHeight="1">
      <c r="A84" s="1" t="n"/>
      <c r="B84" s="1" t="n"/>
      <c r="C84" s="1" t="n"/>
      <c r="D84" s="1" t="n"/>
      <c r="E84" s="1" t="n"/>
      <c r="F84" s="1" t="n"/>
      <c r="G84" s="1" t="n"/>
      <c r="H84" s="1" t="n"/>
      <c r="I84" s="1" t="n"/>
      <c r="J84" s="1" t="n"/>
      <c r="K84" s="1" t="n"/>
      <c r="L84" s="1" t="n"/>
      <c r="M84" s="1" t="n"/>
      <c r="N84" s="1" t="n"/>
      <c r="O84" s="1" t="n"/>
      <c r="P84" s="1" t="n"/>
      <c r="Q84" s="1" t="n"/>
      <c r="R84" s="1" t="n"/>
      <c r="S84" s="1" t="n"/>
    </row>
    <row r="85" ht="16" customHeight="1">
      <c r="A85" s="1" t="n"/>
      <c r="B85" s="1" t="n"/>
      <c r="C85" s="1" t="n"/>
      <c r="D85" s="1" t="n"/>
      <c r="E85" s="1" t="n"/>
      <c r="F85" s="1" t="n"/>
      <c r="G85" s="1" t="n"/>
      <c r="H85" s="1" t="n"/>
      <c r="I85" s="1" t="n"/>
      <c r="J85" s="1" t="n"/>
      <c r="K85" s="1" t="n"/>
      <c r="L85" s="1" t="n"/>
      <c r="M85" s="1" t="n"/>
      <c r="N85" s="1" t="n"/>
      <c r="O85" s="1" t="n"/>
      <c r="P85" s="1" t="n"/>
      <c r="Q85" s="1" t="n"/>
      <c r="R85" s="1" t="n"/>
      <c r="S85" s="1" t="n"/>
    </row>
    <row r="86" ht="16" customHeight="1">
      <c r="A86" s="1" t="n"/>
      <c r="B86" s="1" t="n"/>
      <c r="C86" s="1" t="n"/>
      <c r="D86" s="1" t="n"/>
      <c r="E86" s="1" t="n"/>
      <c r="F86" s="1" t="n"/>
      <c r="G86" s="1" t="n"/>
      <c r="H86" s="1" t="n"/>
      <c r="I86" s="1" t="n"/>
      <c r="J86" s="1" t="n"/>
      <c r="K86" s="1" t="n"/>
      <c r="L86" s="1" t="n"/>
      <c r="M86" s="1" t="n"/>
      <c r="N86" s="1" t="n"/>
      <c r="O86" s="1" t="n"/>
      <c r="P86" s="1" t="n"/>
      <c r="Q86" s="1" t="n"/>
      <c r="R86" s="1" t="n"/>
      <c r="S86" s="1" t="n"/>
    </row>
    <row r="87" ht="16" customHeight="1">
      <c r="A87" s="1" t="n"/>
      <c r="B87" s="1" t="n"/>
      <c r="C87" s="1" t="n"/>
      <c r="D87" s="1" t="n"/>
      <c r="E87" s="1" t="n"/>
      <c r="F87" s="1" t="n"/>
      <c r="G87" s="1" t="n"/>
      <c r="H87" s="1" t="n"/>
      <c r="I87" s="1" t="n"/>
      <c r="J87" s="1" t="n"/>
      <c r="K87" s="1" t="n"/>
      <c r="L87" s="1" t="n"/>
      <c r="M87" s="1" t="n"/>
      <c r="N87" s="1" t="n"/>
      <c r="O87" s="1" t="n"/>
      <c r="P87" s="1" t="n"/>
      <c r="Q87" s="1" t="n"/>
      <c r="R87" s="1" t="n"/>
      <c r="S87" s="1" t="n"/>
    </row>
    <row r="88" ht="16" customHeight="1">
      <c r="A88" s="1" t="n"/>
      <c r="B88" s="1" t="n"/>
      <c r="C88" s="1" t="n"/>
      <c r="D88" s="1" t="n"/>
      <c r="E88" s="1" t="n"/>
      <c r="F88" s="1" t="n"/>
      <c r="G88" s="1" t="n"/>
      <c r="H88" s="1" t="n"/>
      <c r="I88" s="1" t="n"/>
      <c r="J88" s="1" t="n"/>
      <c r="K88" s="1" t="n"/>
      <c r="L88" s="1" t="n"/>
      <c r="M88" s="1" t="n"/>
      <c r="N88" s="1" t="n"/>
      <c r="O88" s="1" t="n"/>
      <c r="P88" s="1" t="n"/>
      <c r="Q88" s="1" t="n"/>
      <c r="R88" s="1" t="n"/>
      <c r="S88" s="1" t="n"/>
    </row>
    <row r="89" ht="16" customHeight="1">
      <c r="A89" s="1" t="n"/>
      <c r="B89" s="1" t="n"/>
      <c r="C89" s="1" t="n"/>
      <c r="D89" s="1" t="n"/>
      <c r="E89" s="1" t="n"/>
      <c r="F89" s="1" t="n"/>
      <c r="G89" s="1" t="n"/>
      <c r="H89" s="1" t="n"/>
      <c r="I89" s="1" t="n"/>
      <c r="J89" s="1" t="n"/>
      <c r="K89" s="1" t="n"/>
      <c r="L89" s="1" t="n"/>
      <c r="M89" s="1" t="n"/>
      <c r="N89" s="1" t="n"/>
      <c r="O89" s="1" t="n"/>
      <c r="P89" s="1" t="n"/>
      <c r="Q89" s="1" t="n"/>
      <c r="R89" s="1" t="n"/>
      <c r="S89" s="1" t="n"/>
    </row>
    <row r="90" ht="16" customHeight="1">
      <c r="A90" s="1" t="n"/>
      <c r="B90" s="1" t="n"/>
      <c r="C90" s="1" t="n"/>
      <c r="D90" s="1" t="n"/>
      <c r="E90" s="1" t="n"/>
      <c r="F90" s="1" t="n"/>
      <c r="G90" s="1" t="n"/>
      <c r="H90" s="1" t="n"/>
      <c r="I90" s="1" t="n"/>
      <c r="J90" s="1" t="n"/>
      <c r="K90" s="1" t="n"/>
      <c r="L90" s="1" t="n"/>
      <c r="M90" s="1" t="n"/>
      <c r="N90" s="1" t="n"/>
      <c r="O90" s="1" t="n"/>
      <c r="P90" s="1" t="n"/>
      <c r="Q90" s="1" t="n"/>
      <c r="R90" s="1" t="n"/>
      <c r="S90" s="1" t="n"/>
    </row>
    <row r="91" ht="16" customHeight="1">
      <c r="A91" s="1" t="n"/>
      <c r="B91" s="1" t="n"/>
      <c r="C91" s="1" t="n"/>
      <c r="D91" s="1" t="n"/>
      <c r="E91" s="1" t="n"/>
      <c r="F91" s="1" t="n"/>
      <c r="G91" s="1" t="n"/>
      <c r="H91" s="1" t="n"/>
      <c r="I91" s="1" t="n"/>
      <c r="J91" s="1" t="n"/>
      <c r="K91" s="1" t="n"/>
      <c r="L91" s="1" t="n"/>
      <c r="M91" s="1" t="n"/>
      <c r="N91" s="1" t="n"/>
      <c r="O91" s="1" t="n"/>
      <c r="P91" s="1" t="n"/>
      <c r="Q91" s="1" t="n"/>
      <c r="R91" s="1" t="n"/>
      <c r="S91" s="1" t="n"/>
    </row>
    <row r="92" ht="16" customHeight="1">
      <c r="A92" s="1" t="n"/>
      <c r="B92" s="1" t="n"/>
      <c r="C92" s="1" t="n"/>
      <c r="D92" s="1" t="n"/>
      <c r="E92" s="1" t="n"/>
      <c r="F92" s="1" t="n"/>
      <c r="G92" s="1" t="n"/>
      <c r="H92" s="1" t="n"/>
      <c r="I92" s="1" t="n"/>
      <c r="J92" s="1" t="n"/>
      <c r="K92" s="1" t="n"/>
      <c r="L92" s="1" t="n"/>
      <c r="M92" s="1" t="n"/>
      <c r="N92" s="1" t="n"/>
      <c r="O92" s="1" t="n"/>
      <c r="P92" s="1" t="n"/>
      <c r="Q92" s="1" t="n"/>
      <c r="R92" s="1" t="n"/>
      <c r="S92" s="1" t="n"/>
    </row>
    <row r="93" ht="16" customHeight="1">
      <c r="A93" s="1" t="n"/>
      <c r="B93" s="1" t="n"/>
      <c r="C93" s="1" t="n"/>
      <c r="D93" s="1" t="n"/>
      <c r="E93" s="1" t="n"/>
      <c r="F93" s="1" t="n"/>
      <c r="G93" s="1" t="n"/>
      <c r="H93" s="1" t="n"/>
      <c r="I93" s="1" t="n"/>
      <c r="J93" s="1" t="n"/>
      <c r="K93" s="1" t="n"/>
      <c r="L93" s="1" t="n"/>
      <c r="M93" s="1" t="n"/>
      <c r="N93" s="1" t="n"/>
      <c r="O93" s="1" t="n"/>
      <c r="P93" s="1" t="n"/>
      <c r="Q93" s="1" t="n"/>
      <c r="R93" s="1" t="n"/>
      <c r="S93" s="1" t="n"/>
    </row>
    <row r="94" ht="16" customHeight="1">
      <c r="A94" s="1" t="n"/>
      <c r="B94" s="1" t="n"/>
      <c r="C94" s="1" t="n"/>
      <c r="D94" s="1" t="n"/>
      <c r="E94" s="1" t="n"/>
      <c r="F94" s="1" t="n"/>
      <c r="G94" s="1" t="n"/>
      <c r="H94" s="1" t="n"/>
      <c r="I94" s="1" t="n"/>
      <c r="J94" s="1" t="n"/>
      <c r="K94" s="1" t="n"/>
      <c r="L94" s="1" t="n"/>
      <c r="M94" s="1" t="n"/>
      <c r="N94" s="1" t="n"/>
      <c r="O94" s="1" t="n"/>
      <c r="P94" s="1" t="n"/>
      <c r="Q94" s="1" t="n"/>
      <c r="R94" s="1" t="n"/>
      <c r="S94" s="1" t="n"/>
    </row>
    <row r="95" ht="16" customHeight="1">
      <c r="A95" s="1" t="n"/>
      <c r="B95" s="1" t="n"/>
      <c r="C95" s="1" t="n"/>
      <c r="D95" s="1" t="n"/>
      <c r="E95" s="1" t="n"/>
      <c r="F95" s="1" t="n"/>
      <c r="G95" s="1" t="n"/>
      <c r="H95" s="1" t="n"/>
      <c r="I95" s="1" t="n"/>
      <c r="J95" s="1" t="n"/>
      <c r="K95" s="1" t="n"/>
      <c r="L95" s="1" t="n"/>
      <c r="M95" s="1" t="n"/>
      <c r="N95" s="1" t="n"/>
      <c r="O95" s="1" t="n"/>
      <c r="P95" s="1" t="n"/>
      <c r="Q95" s="1" t="n"/>
      <c r="R95" s="1" t="n"/>
      <c r="S95" s="1" t="n"/>
    </row>
    <row r="96" ht="16" customHeight="1">
      <c r="A96" s="1" t="n"/>
      <c r="B96" s="1" t="n"/>
      <c r="C96" s="1" t="n"/>
      <c r="D96" s="1" t="n"/>
      <c r="E96" s="1" t="n"/>
      <c r="F96" s="1" t="n"/>
      <c r="G96" s="1" t="n"/>
      <c r="H96" s="1" t="n"/>
      <c r="I96" s="1" t="n"/>
      <c r="J96" s="1" t="n"/>
      <c r="K96" s="1" t="n"/>
      <c r="L96" s="1" t="n"/>
      <c r="M96" s="1" t="n"/>
      <c r="N96" s="1" t="n"/>
      <c r="O96" s="1" t="n"/>
      <c r="P96" s="1" t="n"/>
      <c r="Q96" s="1" t="n"/>
      <c r="R96" s="1" t="n"/>
      <c r="S96" s="1" t="n"/>
    </row>
    <row r="97" ht="16" customHeight="1">
      <c r="A97" s="1" t="n"/>
      <c r="B97" s="1" t="n"/>
      <c r="C97" s="1" t="n"/>
      <c r="D97" s="1" t="n"/>
      <c r="E97" s="1" t="n"/>
      <c r="F97" s="1" t="n"/>
      <c r="G97" s="1" t="n"/>
      <c r="H97" s="1" t="n"/>
      <c r="I97" s="1" t="n"/>
      <c r="J97" s="1" t="n"/>
      <c r="K97" s="1" t="n"/>
      <c r="L97" s="1" t="n"/>
      <c r="M97" s="1" t="n"/>
      <c r="N97" s="1" t="n"/>
      <c r="O97" s="1" t="n"/>
      <c r="P97" s="1" t="n"/>
      <c r="Q97" s="1" t="n"/>
      <c r="R97" s="1" t="n"/>
      <c r="S97" s="1" t="n"/>
    </row>
    <row r="98" ht="16" customHeight="1">
      <c r="A98" s="1" t="n"/>
      <c r="B98" s="1" t="n"/>
      <c r="C98" s="1" t="n"/>
      <c r="D98" s="1" t="n"/>
      <c r="E98" s="1" t="n"/>
      <c r="F98" s="1" t="n"/>
      <c r="G98" s="1" t="n"/>
      <c r="H98" s="1" t="n"/>
      <c r="I98" s="1" t="n"/>
      <c r="J98" s="1" t="n"/>
      <c r="K98" s="1" t="n"/>
      <c r="L98" s="1" t="n"/>
      <c r="M98" s="1" t="n"/>
      <c r="N98" s="1" t="n"/>
      <c r="O98" s="1" t="n"/>
      <c r="P98" s="1" t="n"/>
      <c r="Q98" s="1" t="n"/>
      <c r="R98" s="1" t="n"/>
      <c r="S98" s="1" t="n"/>
    </row>
    <row r="99" ht="16" customHeight="1">
      <c r="A99" s="1" t="n"/>
      <c r="B99" s="1" t="n"/>
      <c r="C99" s="1" t="n"/>
      <c r="D99" s="1" t="n"/>
      <c r="E99" s="1" t="n"/>
      <c r="F99" s="1" t="n"/>
      <c r="G99" s="1" t="n"/>
      <c r="H99" s="1" t="n"/>
      <c r="I99" s="1" t="n"/>
      <c r="J99" s="1" t="n"/>
      <c r="K99" s="1" t="n"/>
      <c r="L99" s="1" t="n"/>
      <c r="M99" s="1" t="n"/>
      <c r="N99" s="1" t="n"/>
      <c r="O99" s="1" t="n"/>
      <c r="P99" s="1" t="n"/>
      <c r="Q99" s="1" t="n"/>
      <c r="R99" s="1" t="n"/>
      <c r="S99" s="1" t="n"/>
    </row>
    <row r="100" ht="16"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row>
    <row r="101" ht="16"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row>
    <row r="102" ht="16"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row>
    <row r="103" ht="16"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row>
    <row r="104" ht="16"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row>
    <row r="105" ht="16"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row>
    <row r="106" ht="16"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row>
    <row r="107" ht="16"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row>
    <row r="108" ht="16"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row>
    <row r="109" ht="16"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row>
    <row r="110" ht="16"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row>
    <row r="111" ht="16"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row>
    <row r="112" ht="16"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row>
    <row r="113" ht="16"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row>
    <row r="114" ht="16"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row>
    <row r="115" ht="16"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row>
    <row r="116" ht="16"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row>
    <row r="117" ht="16"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row>
    <row r="118" ht="16"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row>
    <row r="119" ht="16"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row>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conditionalFormatting sqref="I42:N47">
    <cfRule type="colorScale" priority="1">
      <colorScale>
        <cfvo type="min"/>
        <cfvo type="percentile" val="50"/>
        <cfvo type="max"/>
        <color rgb="00F8696B"/>
        <color rgb="00FFEB84"/>
        <color rgb="0063BE7B"/>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249"/>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01_CONTROL</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20" customHeight="1">
      <c r="B9" s="5" t="inlineStr">
        <is>
          <t>Scenario (Base/Upside/Downside)</t>
        </is>
      </c>
      <c r="C9" s="20" t="n"/>
      <c r="D9" s="20" t="n"/>
      <c r="E9" s="20" t="n"/>
      <c r="F9" s="68" t="inlineStr">
        <is>
          <t>Base</t>
        </is>
      </c>
    </row>
    <row r="10" ht="16" customHeight="1">
      <c r="B10" s="21" t="inlineStr">
        <is>
          <t>Scenario index</t>
        </is>
      </c>
      <c r="F10" s="12">
        <f>MATCH(F9,{"Base","Upside","Downside"},0)</f>
        <v/>
      </c>
    </row>
    <row r="11" ht="16" customHeight="1">
      <c r="B11" s="15" t="inlineStr">
        <is>
          <t>Forecast horizon (years)</t>
        </is>
      </c>
      <c r="F11" s="58" t="n">
        <v>5</v>
      </c>
    </row>
    <row r="12" ht="16" customHeight="1">
      <c r="B12" s="7" t="inlineStr">
        <is>
          <t>DCF (ON/OFF)</t>
        </is>
      </c>
      <c r="C12" s="69" t="n"/>
      <c r="F12" s="57" t="inlineStr">
        <is>
          <t>ON</t>
        </is>
      </c>
    </row>
    <row r="13" ht="16" customHeight="1">
      <c r="B13" s="21" t="inlineStr">
        <is>
          <t>DCF flag</t>
        </is>
      </c>
      <c r="F13" s="12">
        <f>IF(F12="ON",1,0)</f>
        <v/>
      </c>
    </row>
    <row r="14" ht="16" customHeight="1">
      <c r="B14" s="15" t="inlineStr">
        <is>
          <t>Terminal method</t>
        </is>
      </c>
      <c r="F14" s="57" t="inlineStr">
        <is>
          <t>Perpetuity</t>
        </is>
      </c>
    </row>
    <row r="15" ht="16" customHeight="1">
      <c r="B15" s="21" t="inlineStr">
        <is>
          <t>TV method flag (1=Perpetuity)</t>
        </is>
      </c>
      <c r="F15" s="12">
        <f>IF(F14="Perpetuity",1,0)</f>
        <v/>
      </c>
    </row>
    <row r="16" ht="16" customHeight="1">
      <c r="B16" s="15" t="inlineStr">
        <is>
          <t>Mid-year convention (ON/OFF)</t>
        </is>
      </c>
      <c r="F16" s="57" t="inlineStr">
        <is>
          <t>OFF</t>
        </is>
      </c>
    </row>
    <row r="17" ht="16" customHeight="1">
      <c r="B17" s="21" t="inlineStr">
        <is>
          <t>Mid-year flag</t>
        </is>
      </c>
      <c r="F17" s="12">
        <f>IF(F16="ON",1,0)</f>
        <v/>
      </c>
    </row>
    <row r="18" ht="16" customHeight="1">
      <c r="B18" s="15" t="inlineStr">
        <is>
          <t>Currency</t>
        </is>
      </c>
      <c r="F18" s="57" t="inlineStr">
        <is>
          <t>DKK</t>
        </is>
      </c>
    </row>
    <row r="19" ht="16" customHeight="1">
      <c r="B19" s="15" t="inlineStr">
        <is>
          <t>Units</t>
        </is>
      </c>
      <c r="F19" s="57" t="inlineStr">
        <is>
          <t>DKKm</t>
        </is>
      </c>
    </row>
    <row r="20" ht="16" customHeight="1">
      <c r="B20" s="15" t="inlineStr">
        <is>
          <t>Shares units</t>
        </is>
      </c>
      <c r="F20" s="15" t="inlineStr">
        <is>
          <t>Shares in millions</t>
        </is>
      </c>
    </row>
    <row r="21" ht="16" customHeight="1"/>
    <row r="22" ht="16" customHeight="1"/>
    <row r="23" ht="20" customHeight="1">
      <c r="B23" s="5" t="inlineStr">
        <is>
          <t>WACC ASSUMPTIONS</t>
        </is>
      </c>
      <c r="C23" s="20" t="n"/>
      <c r="D23" s="20" t="n"/>
      <c r="E23" s="20" t="n"/>
    </row>
    <row r="24" ht="16" customHeight="1">
      <c r="B24" s="15" t="inlineStr">
        <is>
          <t>Tax rate</t>
        </is>
      </c>
      <c r="F24" s="59" t="n">
        <v>0.22</v>
      </c>
    </row>
    <row r="25" ht="16" customHeight="1">
      <c r="B25" s="15" t="inlineStr">
        <is>
          <t>Risk-free rate</t>
        </is>
      </c>
      <c r="F25" s="59" t="n">
        <v>0.03</v>
      </c>
    </row>
    <row r="26" ht="16" customHeight="1">
      <c r="B26" s="15" t="inlineStr">
        <is>
          <t>Equity risk premium</t>
        </is>
      </c>
      <c r="F26" s="59" t="n">
        <v>0.05</v>
      </c>
    </row>
    <row r="27" ht="16" customHeight="1">
      <c r="B27" s="15" t="inlineStr">
        <is>
          <t>Beta</t>
        </is>
      </c>
      <c r="F27" s="60" t="n">
        <v>1</v>
      </c>
    </row>
    <row r="28" ht="16" customHeight="1">
      <c r="B28" s="15" t="inlineStr">
        <is>
          <t>Size / country adj (optional)</t>
        </is>
      </c>
      <c r="F28" s="59" t="n">
        <v>0</v>
      </c>
    </row>
    <row r="29" ht="16" customHeight="1">
      <c r="B29" s="15" t="inlineStr">
        <is>
          <t>Pre-tax cost of debt</t>
        </is>
      </c>
      <c r="F29" s="59" t="n">
        <v>0.05</v>
      </c>
    </row>
    <row r="30" ht="16" customHeight="1">
      <c r="B30" s="15" t="inlineStr">
        <is>
          <t>Target debt weight</t>
        </is>
      </c>
      <c r="F30" s="59" t="n">
        <v>0.3</v>
      </c>
    </row>
    <row r="31" ht="16" customHeight="1">
      <c r="B31" s="15" t="inlineStr">
        <is>
          <t>Target equity weight</t>
        </is>
      </c>
      <c r="F31" s="59" t="n">
        <v>0.7</v>
      </c>
    </row>
    <row r="32" ht="16" customHeight="1">
      <c r="B32" s="15" t="inlineStr">
        <is>
          <t>Weights sum to 100%</t>
        </is>
      </c>
      <c r="F32" s="25">
        <f>F30+F31</f>
        <v/>
      </c>
    </row>
    <row r="33" ht="16" customHeight="1"/>
    <row r="34" ht="16" customHeight="1">
      <c r="B34" s="15" t="inlineStr">
        <is>
          <t>Cost of equity</t>
        </is>
      </c>
      <c r="F34" s="25">
        <f>F25 + F27*F26 + F28</f>
        <v/>
      </c>
    </row>
    <row r="35" ht="16" customHeight="1">
      <c r="B35" s="15" t="inlineStr">
        <is>
          <t>After-tax cost of debt</t>
        </is>
      </c>
      <c r="F35" s="25">
        <f>F29*(1-F24)</f>
        <v/>
      </c>
    </row>
    <row r="36" ht="16" customHeight="1">
      <c r="B36" s="15" t="inlineStr">
        <is>
          <t>WACC (base)</t>
        </is>
      </c>
      <c r="F36" s="25">
        <f>F31*F34 + F30*F35</f>
        <v/>
      </c>
    </row>
    <row r="37" ht="16" customHeight="1"/>
    <row r="38" ht="16" customHeight="1"/>
    <row r="39" ht="16" customHeight="1"/>
    <row r="40" ht="20" customHeight="1">
      <c r="B40" s="5" t="inlineStr">
        <is>
          <t>NET DEBT DEFINITION TOGGLES</t>
        </is>
      </c>
      <c r="C40" s="20" t="n"/>
      <c r="D40" s="20" t="n"/>
      <c r="E40" s="20" t="n"/>
    </row>
    <row r="41" ht="16" customHeight="1">
      <c r="B41" s="15" t="inlineStr">
        <is>
          <t>Include leases in net debt</t>
        </is>
      </c>
      <c r="E41" s="21" t="inlineStr">
        <is>
          <t>Flag</t>
        </is>
      </c>
      <c r="F41" s="57" t="inlineStr">
        <is>
          <t>YES</t>
        </is>
      </c>
      <c r="G41" s="12">
        <f>IF(F41="YES",1,0)</f>
        <v/>
      </c>
    </row>
    <row r="42" ht="16" customHeight="1">
      <c r="B42" s="15" t="inlineStr">
        <is>
          <t>Include pension</t>
        </is>
      </c>
      <c r="E42" s="21" t="inlineStr">
        <is>
          <t>Flag</t>
        </is>
      </c>
      <c r="F42" s="57" t="inlineStr">
        <is>
          <t>NO</t>
        </is>
      </c>
      <c r="G42" s="12">
        <f>IF(F42="YES",1,0)</f>
        <v/>
      </c>
    </row>
    <row r="43" ht="16" customHeight="1">
      <c r="B43" s="15" t="inlineStr">
        <is>
          <t>Include minorities</t>
        </is>
      </c>
      <c r="E43" s="21" t="inlineStr">
        <is>
          <t>Flag</t>
        </is>
      </c>
      <c r="F43" s="57" t="inlineStr">
        <is>
          <t>YES</t>
        </is>
      </c>
      <c r="G43" s="12">
        <f>IF(F43="YES",1,0)</f>
        <v/>
      </c>
    </row>
    <row r="44" ht="16" customHeight="1">
      <c r="B44" s="15" t="inlineStr">
        <is>
          <t>Include investments</t>
        </is>
      </c>
      <c r="E44" s="21" t="inlineStr">
        <is>
          <t>Flag</t>
        </is>
      </c>
      <c r="F44" s="57" t="inlineStr">
        <is>
          <t>NO</t>
        </is>
      </c>
      <c r="G44" s="12">
        <f>IF(F44="YES",1,0)</f>
        <v/>
      </c>
    </row>
    <row r="45" ht="16" customHeight="1">
      <c r="B45" s="15" t="inlineStr">
        <is>
          <t>Include other adjustments</t>
        </is>
      </c>
      <c r="E45" s="21" t="inlineStr">
        <is>
          <t>Flag</t>
        </is>
      </c>
      <c r="F45" s="57" t="inlineStr">
        <is>
          <t>YES</t>
        </is>
      </c>
      <c r="G45" s="12">
        <f>IF(F45="YES",1,0)</f>
        <v/>
      </c>
    </row>
    <row r="46" ht="16" customHeight="1"/>
    <row r="47" ht="20" customHeight="1">
      <c r="B47" s="5" t="inlineStr">
        <is>
          <t>MODEL CALENDAR</t>
        </is>
      </c>
      <c r="C47" s="20" t="n"/>
      <c r="D47" s="20" t="n"/>
      <c r="E47" s="20" t="n"/>
    </row>
    <row r="48" ht="16" customHeight="1">
      <c r="B48" s="15" t="inlineStr">
        <is>
          <t>Base year (FY0)</t>
        </is>
      </c>
      <c r="F48" s="58" t="n">
        <v>2025</v>
      </c>
    </row>
    <row r="49" ht="16" customHeight="1"/>
    <row r="50" ht="16" customHeight="1">
      <c r="B50" s="15" t="inlineStr">
        <is>
          <t>Period index</t>
        </is>
      </c>
      <c r="F50" s="50" t="n">
        <v>0</v>
      </c>
      <c r="G50" s="50" t="n">
        <v>1</v>
      </c>
      <c r="H50" s="50" t="n">
        <v>2</v>
      </c>
      <c r="I50" s="50" t="n">
        <v>3</v>
      </c>
      <c r="J50" s="50" t="n">
        <v>4</v>
      </c>
      <c r="K50" s="50" t="n">
        <v>5</v>
      </c>
      <c r="L50" s="50" t="n">
        <v>6</v>
      </c>
      <c r="M50" s="50" t="n">
        <v>7</v>
      </c>
      <c r="N50" s="50" t="n">
        <v>8</v>
      </c>
      <c r="O50" s="50" t="n">
        <v>9</v>
      </c>
      <c r="P50" s="50" t="n">
        <v>10</v>
      </c>
    </row>
    <row r="51" ht="16" customHeight="1">
      <c r="B51" s="15" t="inlineStr">
        <is>
          <t>Fiscal year</t>
        </is>
      </c>
      <c r="F51" s="27">
        <f>$F$48+F50</f>
        <v/>
      </c>
      <c r="G51" s="27">
        <f>$F$48+G50</f>
        <v/>
      </c>
      <c r="H51" s="27">
        <f>$F$48+H50</f>
        <v/>
      </c>
      <c r="I51" s="27">
        <f>$F$48+I50</f>
        <v/>
      </c>
      <c r="J51" s="27">
        <f>$F$48+J50</f>
        <v/>
      </c>
      <c r="K51" s="27">
        <f>$F$48+K50</f>
        <v/>
      </c>
      <c r="L51" s="27">
        <f>$F$48+L50</f>
        <v/>
      </c>
      <c r="M51" s="27">
        <f>$F$48+M50</f>
        <v/>
      </c>
      <c r="N51" s="27">
        <f>$F$48+N50</f>
        <v/>
      </c>
      <c r="O51" s="27">
        <f>$F$48+O50</f>
        <v/>
      </c>
      <c r="P51" s="27">
        <f>$F$48+P50</f>
        <v/>
      </c>
    </row>
    <row r="52" ht="16" customHeight="1">
      <c r="B52" s="15" t="inlineStr">
        <is>
          <t>Active horizon flag</t>
        </is>
      </c>
      <c r="F52" s="28">
        <f>IF(F50&lt;=$F$11,1,0)</f>
        <v/>
      </c>
      <c r="G52" s="28">
        <f>IF(G50&lt;=$F$11,1,0)</f>
        <v/>
      </c>
      <c r="H52" s="28">
        <f>IF(H50&lt;=$F$11,1,0)</f>
        <v/>
      </c>
      <c r="I52" s="28">
        <f>IF(I50&lt;=$F$11,1,0)</f>
        <v/>
      </c>
      <c r="J52" s="28">
        <f>IF(J50&lt;=$F$11,1,0)</f>
        <v/>
      </c>
      <c r="K52" s="28">
        <f>IF(K50&lt;=$F$11,1,0)</f>
        <v/>
      </c>
      <c r="L52" s="28">
        <f>IF(L50&lt;=$F$11,1,0)</f>
        <v/>
      </c>
      <c r="M52" s="28">
        <f>IF(M50&lt;=$F$11,1,0)</f>
        <v/>
      </c>
      <c r="N52" s="28">
        <f>IF(N50&lt;=$F$11,1,0)</f>
        <v/>
      </c>
      <c r="O52" s="28">
        <f>IF(O50&lt;=$F$11,1,0)</f>
        <v/>
      </c>
      <c r="P52" s="28">
        <f>IF(P50&lt;=$F$11,1,0)</f>
        <v/>
      </c>
    </row>
    <row r="53" ht="16" customHeight="1">
      <c r="B53" s="15" t="inlineStr">
        <is>
          <t>Discount t</t>
        </is>
      </c>
      <c r="F53" s="28">
        <f>F50</f>
        <v/>
      </c>
      <c r="G53" s="28">
        <f>G50</f>
        <v/>
      </c>
      <c r="H53" s="28">
        <f>H50</f>
        <v/>
      </c>
      <c r="I53" s="28">
        <f>I50</f>
        <v/>
      </c>
      <c r="J53" s="28">
        <f>J50</f>
        <v/>
      </c>
      <c r="K53" s="28">
        <f>K50</f>
        <v/>
      </c>
      <c r="L53" s="28">
        <f>L50</f>
        <v/>
      </c>
      <c r="M53" s="28">
        <f>M50</f>
        <v/>
      </c>
      <c r="N53" s="28">
        <f>N50</f>
        <v/>
      </c>
      <c r="O53" s="28">
        <f>O50</f>
        <v/>
      </c>
      <c r="P53" s="28">
        <f>P50</f>
        <v/>
      </c>
    </row>
    <row r="54" ht="16" customHeight="1"/>
    <row r="55" ht="16" customHeight="1"/>
    <row r="56" ht="16" customHeight="1"/>
    <row r="57" ht="20" customHeight="1">
      <c r="B57" s="5" t="inlineStr">
        <is>
          <t>FORECAST DRIVER INPUTS (SCENARIO-BASED)</t>
        </is>
      </c>
      <c r="C57" s="20" t="n"/>
      <c r="D57" s="20" t="n"/>
      <c r="E57" s="20" t="n"/>
    </row>
    <row r="58" ht="16" customHeight="1">
      <c r="F58" s="29" t="inlineStr">
        <is>
          <t>BASE (FY0..FY10)</t>
        </is>
      </c>
      <c r="R58" s="29" t="inlineStr">
        <is>
          <t>UPSIDE (FY0..FY10)</t>
        </is>
      </c>
      <c r="AD58" s="29" t="inlineStr">
        <is>
          <t>DOWNSIDE (FY0..FY10)</t>
        </is>
      </c>
    </row>
    <row r="59" ht="16" customHeight="1">
      <c r="B59" s="61" t="inlineStr">
        <is>
          <t>Driver</t>
        </is>
      </c>
      <c r="C59" s="61" t="inlineStr">
        <is>
          <t>Units</t>
        </is>
      </c>
    </row>
    <row r="60" ht="16" customHeight="1">
      <c r="B60" s="31" t="inlineStr">
        <is>
          <t>Revenue growth</t>
        </is>
      </c>
      <c r="C60" s="32" t="inlineStr">
        <is>
          <t>%</t>
        </is>
      </c>
      <c r="D60" s="33" t="n"/>
      <c r="F60" s="62" t="n">
        <v>0</v>
      </c>
      <c r="G60" s="62" t="n">
        <v>0.05</v>
      </c>
      <c r="H60" s="62" t="n">
        <v>0.05</v>
      </c>
      <c r="I60" s="62" t="n">
        <v>0.05</v>
      </c>
      <c r="J60" s="62" t="n">
        <v>0.05</v>
      </c>
      <c r="K60" s="62" t="n">
        <v>0.05</v>
      </c>
      <c r="L60" s="62" t="n">
        <v>0.05</v>
      </c>
      <c r="M60" s="62" t="n">
        <v>0.05</v>
      </c>
      <c r="N60" s="62" t="n">
        <v>0.05</v>
      </c>
      <c r="O60" s="62" t="n">
        <v>0.05</v>
      </c>
      <c r="P60" s="62" t="n">
        <v>0.05</v>
      </c>
      <c r="R60" s="62" t="n">
        <v>0</v>
      </c>
      <c r="S60" s="62" t="n">
        <v>0.07000000000000001</v>
      </c>
      <c r="T60" s="62" t="n">
        <v>0.07000000000000001</v>
      </c>
      <c r="U60" s="62" t="n">
        <v>0.07000000000000001</v>
      </c>
      <c r="V60" s="62" t="n">
        <v>0.07000000000000001</v>
      </c>
      <c r="W60" s="62" t="n">
        <v>0.07000000000000001</v>
      </c>
      <c r="X60" s="62" t="n">
        <v>0.07000000000000001</v>
      </c>
      <c r="Y60" s="62" t="n">
        <v>0.07000000000000001</v>
      </c>
      <c r="Z60" s="62" t="n">
        <v>0.07000000000000001</v>
      </c>
      <c r="AA60" s="62" t="n">
        <v>0.07000000000000001</v>
      </c>
      <c r="AB60" s="62" t="n">
        <v>0.07000000000000001</v>
      </c>
      <c r="AD60" s="62" t="n">
        <v>0</v>
      </c>
      <c r="AE60" s="62" t="n">
        <v>0.03</v>
      </c>
      <c r="AF60" s="62" t="n">
        <v>0.03</v>
      </c>
      <c r="AG60" s="62" t="n">
        <v>0.03</v>
      </c>
      <c r="AH60" s="62" t="n">
        <v>0.03</v>
      </c>
      <c r="AI60" s="62" t="n">
        <v>0.03</v>
      </c>
      <c r="AJ60" s="62" t="n">
        <v>0.03</v>
      </c>
      <c r="AK60" s="62" t="n">
        <v>0.03</v>
      </c>
      <c r="AL60" s="62" t="n">
        <v>0.03</v>
      </c>
      <c r="AM60" s="62" t="n">
        <v>0.03</v>
      </c>
      <c r="AN60" s="62" t="n">
        <v>0.03</v>
      </c>
    </row>
    <row r="61" ht="16" customHeight="1">
      <c r="B61" s="31" t="inlineStr">
        <is>
          <t>EBITDA margin</t>
        </is>
      </c>
      <c r="C61" s="32" t="inlineStr">
        <is>
          <t>%</t>
        </is>
      </c>
      <c r="D61" s="33" t="n"/>
      <c r="F61" s="62" t="n">
        <v>0</v>
      </c>
      <c r="G61" s="62" t="n">
        <v>0.2</v>
      </c>
      <c r="H61" s="62" t="n">
        <v>0.2</v>
      </c>
      <c r="I61" s="62" t="n">
        <v>0.2</v>
      </c>
      <c r="J61" s="62" t="n">
        <v>0.2</v>
      </c>
      <c r="K61" s="62" t="n">
        <v>0.2</v>
      </c>
      <c r="L61" s="62" t="n">
        <v>0.2</v>
      </c>
      <c r="M61" s="62" t="n">
        <v>0.2</v>
      </c>
      <c r="N61" s="62" t="n">
        <v>0.2</v>
      </c>
      <c r="O61" s="62" t="n">
        <v>0.2</v>
      </c>
      <c r="P61" s="62" t="n">
        <v>0.2</v>
      </c>
      <c r="R61" s="62" t="n">
        <v>0</v>
      </c>
      <c r="S61" s="62" t="n">
        <v>0.22</v>
      </c>
      <c r="T61" s="62" t="n">
        <v>0.22</v>
      </c>
      <c r="U61" s="62" t="n">
        <v>0.22</v>
      </c>
      <c r="V61" s="62" t="n">
        <v>0.22</v>
      </c>
      <c r="W61" s="62" t="n">
        <v>0.22</v>
      </c>
      <c r="X61" s="62" t="n">
        <v>0.22</v>
      </c>
      <c r="Y61" s="62" t="n">
        <v>0.22</v>
      </c>
      <c r="Z61" s="62" t="n">
        <v>0.22</v>
      </c>
      <c r="AA61" s="62" t="n">
        <v>0.22</v>
      </c>
      <c r="AB61" s="62" t="n">
        <v>0.22</v>
      </c>
      <c r="AD61" s="62" t="n">
        <v>0</v>
      </c>
      <c r="AE61" s="62" t="n">
        <v>0.18</v>
      </c>
      <c r="AF61" s="62" t="n">
        <v>0.18</v>
      </c>
      <c r="AG61" s="62" t="n">
        <v>0.18</v>
      </c>
      <c r="AH61" s="62" t="n">
        <v>0.18</v>
      </c>
      <c r="AI61" s="62" t="n">
        <v>0.18</v>
      </c>
      <c r="AJ61" s="62" t="n">
        <v>0.18</v>
      </c>
      <c r="AK61" s="62" t="n">
        <v>0.18</v>
      </c>
      <c r="AL61" s="62" t="n">
        <v>0.18</v>
      </c>
      <c r="AM61" s="62" t="n">
        <v>0.18</v>
      </c>
      <c r="AN61" s="62" t="n">
        <v>0.18</v>
      </c>
    </row>
    <row r="62" ht="16" customHeight="1">
      <c r="B62" s="31" t="inlineStr">
        <is>
          <t>D&amp;A % of revenue</t>
        </is>
      </c>
      <c r="C62" s="32" t="inlineStr">
        <is>
          <t>%</t>
        </is>
      </c>
      <c r="D62" s="33" t="n"/>
      <c r="F62" s="62" t="n">
        <v>0</v>
      </c>
      <c r="G62" s="62" t="n">
        <v>0.03</v>
      </c>
      <c r="H62" s="62" t="n">
        <v>0.03</v>
      </c>
      <c r="I62" s="62" t="n">
        <v>0.03</v>
      </c>
      <c r="J62" s="62" t="n">
        <v>0.03</v>
      </c>
      <c r="K62" s="62" t="n">
        <v>0.03</v>
      </c>
      <c r="L62" s="62" t="n">
        <v>0.03</v>
      </c>
      <c r="M62" s="62" t="n">
        <v>0.03</v>
      </c>
      <c r="N62" s="62" t="n">
        <v>0.03</v>
      </c>
      <c r="O62" s="62" t="n">
        <v>0.03</v>
      </c>
      <c r="P62" s="62" t="n">
        <v>0.03</v>
      </c>
      <c r="R62" s="62" t="n">
        <v>0</v>
      </c>
      <c r="S62" s="62" t="n">
        <v>0.03</v>
      </c>
      <c r="T62" s="62" t="n">
        <v>0.03</v>
      </c>
      <c r="U62" s="62" t="n">
        <v>0.03</v>
      </c>
      <c r="V62" s="62" t="n">
        <v>0.03</v>
      </c>
      <c r="W62" s="62" t="n">
        <v>0.03</v>
      </c>
      <c r="X62" s="62" t="n">
        <v>0.03</v>
      </c>
      <c r="Y62" s="62" t="n">
        <v>0.03</v>
      </c>
      <c r="Z62" s="62" t="n">
        <v>0.03</v>
      </c>
      <c r="AA62" s="62" t="n">
        <v>0.03</v>
      </c>
      <c r="AB62" s="62" t="n">
        <v>0.03</v>
      </c>
      <c r="AD62" s="62" t="n">
        <v>0</v>
      </c>
      <c r="AE62" s="62" t="n">
        <v>0.03</v>
      </c>
      <c r="AF62" s="62" t="n">
        <v>0.03</v>
      </c>
      <c r="AG62" s="62" t="n">
        <v>0.03</v>
      </c>
      <c r="AH62" s="62" t="n">
        <v>0.03</v>
      </c>
      <c r="AI62" s="62" t="n">
        <v>0.03</v>
      </c>
      <c r="AJ62" s="62" t="n">
        <v>0.03</v>
      </c>
      <c r="AK62" s="62" t="n">
        <v>0.03</v>
      </c>
      <c r="AL62" s="62" t="n">
        <v>0.03</v>
      </c>
      <c r="AM62" s="62" t="n">
        <v>0.03</v>
      </c>
      <c r="AN62" s="62" t="n">
        <v>0.03</v>
      </c>
    </row>
    <row r="63" ht="16" customHeight="1">
      <c r="B63" s="31" t="inlineStr">
        <is>
          <t>Capex % of revenue</t>
        </is>
      </c>
      <c r="C63" s="32" t="inlineStr">
        <is>
          <t>%</t>
        </is>
      </c>
      <c r="D63" s="33" t="n"/>
      <c r="F63" s="62" t="n">
        <v>0</v>
      </c>
      <c r="G63" s="62" t="n">
        <v>0.04</v>
      </c>
      <c r="H63" s="62" t="n">
        <v>0.04</v>
      </c>
      <c r="I63" s="62" t="n">
        <v>0.04</v>
      </c>
      <c r="J63" s="62" t="n">
        <v>0.04</v>
      </c>
      <c r="K63" s="62" t="n">
        <v>0.04</v>
      </c>
      <c r="L63" s="62" t="n">
        <v>0.04</v>
      </c>
      <c r="M63" s="62" t="n">
        <v>0.04</v>
      </c>
      <c r="N63" s="62" t="n">
        <v>0.04</v>
      </c>
      <c r="O63" s="62" t="n">
        <v>0.04</v>
      </c>
      <c r="P63" s="62" t="n">
        <v>0.04</v>
      </c>
      <c r="R63" s="62" t="n">
        <v>0</v>
      </c>
      <c r="S63" s="62" t="n">
        <v>0.05</v>
      </c>
      <c r="T63" s="62" t="n">
        <v>0.05</v>
      </c>
      <c r="U63" s="62" t="n">
        <v>0.05</v>
      </c>
      <c r="V63" s="62" t="n">
        <v>0.05</v>
      </c>
      <c r="W63" s="62" t="n">
        <v>0.05</v>
      </c>
      <c r="X63" s="62" t="n">
        <v>0.05</v>
      </c>
      <c r="Y63" s="62" t="n">
        <v>0.05</v>
      </c>
      <c r="Z63" s="62" t="n">
        <v>0.05</v>
      </c>
      <c r="AA63" s="62" t="n">
        <v>0.05</v>
      </c>
      <c r="AB63" s="62" t="n">
        <v>0.05</v>
      </c>
      <c r="AD63" s="62" t="n">
        <v>0</v>
      </c>
      <c r="AE63" s="62" t="n">
        <v>0.03</v>
      </c>
      <c r="AF63" s="62" t="n">
        <v>0.03</v>
      </c>
      <c r="AG63" s="62" t="n">
        <v>0.03</v>
      </c>
      <c r="AH63" s="62" t="n">
        <v>0.03</v>
      </c>
      <c r="AI63" s="62" t="n">
        <v>0.03</v>
      </c>
      <c r="AJ63" s="62" t="n">
        <v>0.03</v>
      </c>
      <c r="AK63" s="62" t="n">
        <v>0.03</v>
      </c>
      <c r="AL63" s="62" t="n">
        <v>0.03</v>
      </c>
      <c r="AM63" s="62" t="n">
        <v>0.03</v>
      </c>
      <c r="AN63" s="62" t="n">
        <v>0.03</v>
      </c>
    </row>
    <row r="64" ht="16" customHeight="1">
      <c r="B64" s="31" t="inlineStr">
        <is>
          <t>NWC % of revenue</t>
        </is>
      </c>
      <c r="C64" s="32" t="inlineStr">
        <is>
          <t>%</t>
        </is>
      </c>
      <c r="D64" s="33" t="n"/>
      <c r="F64" s="62" t="n">
        <v>0</v>
      </c>
      <c r="G64" s="62" t="n">
        <v>0.05</v>
      </c>
      <c r="H64" s="62" t="n">
        <v>0.05</v>
      </c>
      <c r="I64" s="62" t="n">
        <v>0.05</v>
      </c>
      <c r="J64" s="62" t="n">
        <v>0.05</v>
      </c>
      <c r="K64" s="62" t="n">
        <v>0.05</v>
      </c>
      <c r="L64" s="62" t="n">
        <v>0.05</v>
      </c>
      <c r="M64" s="62" t="n">
        <v>0.05</v>
      </c>
      <c r="N64" s="62" t="n">
        <v>0.05</v>
      </c>
      <c r="O64" s="62" t="n">
        <v>0.05</v>
      </c>
      <c r="P64" s="62" t="n">
        <v>0.05</v>
      </c>
      <c r="R64" s="62" t="n">
        <v>0</v>
      </c>
      <c r="S64" s="62" t="n">
        <v>0.04</v>
      </c>
      <c r="T64" s="62" t="n">
        <v>0.04</v>
      </c>
      <c r="U64" s="62" t="n">
        <v>0.04</v>
      </c>
      <c r="V64" s="62" t="n">
        <v>0.04</v>
      </c>
      <c r="W64" s="62" t="n">
        <v>0.04</v>
      </c>
      <c r="X64" s="62" t="n">
        <v>0.04</v>
      </c>
      <c r="Y64" s="62" t="n">
        <v>0.04</v>
      </c>
      <c r="Z64" s="62" t="n">
        <v>0.04</v>
      </c>
      <c r="AA64" s="62" t="n">
        <v>0.04</v>
      </c>
      <c r="AB64" s="62" t="n">
        <v>0.04</v>
      </c>
      <c r="AD64" s="62" t="n">
        <v>0</v>
      </c>
      <c r="AE64" s="62" t="n">
        <v>0.06</v>
      </c>
      <c r="AF64" s="62" t="n">
        <v>0.06</v>
      </c>
      <c r="AG64" s="62" t="n">
        <v>0.06</v>
      </c>
      <c r="AH64" s="62" t="n">
        <v>0.06</v>
      </c>
      <c r="AI64" s="62" t="n">
        <v>0.06</v>
      </c>
      <c r="AJ64" s="62" t="n">
        <v>0.06</v>
      </c>
      <c r="AK64" s="62" t="n">
        <v>0.06</v>
      </c>
      <c r="AL64" s="62" t="n">
        <v>0.06</v>
      </c>
      <c r="AM64" s="62" t="n">
        <v>0.06</v>
      </c>
      <c r="AN64" s="62" t="n">
        <v>0.06</v>
      </c>
    </row>
    <row r="65" ht="16" customHeight="1"/>
    <row r="66" ht="16" customHeight="1"/>
    <row r="67" ht="16" customHeight="1">
      <c r="B67" s="15" t="inlineStr">
        <is>
          <t>Terminal growth g</t>
        </is>
      </c>
      <c r="C67" s="35" t="inlineStr">
        <is>
          <t>%</t>
        </is>
      </c>
      <c r="F67" s="59" t="n">
        <v>0.025</v>
      </c>
      <c r="R67" s="59" t="n">
        <v>0.03</v>
      </c>
      <c r="AD67" s="59" t="n">
        <v>0.02</v>
      </c>
    </row>
    <row r="68" ht="16" customHeight="1">
      <c r="B68" s="15" t="inlineStr">
        <is>
          <t>Exit multiple (EV/EBITDA)</t>
        </is>
      </c>
      <c r="C68" s="35" t="inlineStr">
        <is>
          <t>x</t>
        </is>
      </c>
      <c r="F68" s="60" t="n">
        <v>10</v>
      </c>
      <c r="R68" s="60" t="n">
        <v>11</v>
      </c>
      <c r="AD68" s="60" t="n">
        <v>9</v>
      </c>
    </row>
    <row r="69" ht="16" customHeight="1"/>
    <row r="70" ht="16" customHeight="1"/>
    <row r="71" ht="20" customHeight="1">
      <c r="B71" s="5" t="inlineStr">
        <is>
          <t>SELECTED SCENARIO VIEW (USED BY FORECAST)</t>
        </is>
      </c>
      <c r="C71" s="20" t="n"/>
      <c r="D71" s="20" t="n"/>
      <c r="E71" s="20" t="n"/>
    </row>
    <row r="72" ht="16" customHeight="1">
      <c r="B72" s="36" t="inlineStr">
        <is>
          <t>(auto: CHOOSE by scenario index)</t>
        </is>
      </c>
    </row>
    <row r="73" ht="16" customHeight="1">
      <c r="B73" s="15" t="inlineStr">
        <is>
          <t>Revenue growth</t>
        </is>
      </c>
      <c r="C73" t="inlineStr">
        <is>
          <t>%</t>
        </is>
      </c>
      <c r="F73" s="9">
        <f>CHOOSE($F$10,F60,R60,AD60)</f>
        <v/>
      </c>
      <c r="G73" s="9">
        <f>CHOOSE($F$10,G60,S60,AE60)</f>
        <v/>
      </c>
      <c r="H73" s="9">
        <f>CHOOSE($F$10,H60,T60,AF60)</f>
        <v/>
      </c>
      <c r="I73" s="9">
        <f>CHOOSE($F$10,I60,U60,AG60)</f>
        <v/>
      </c>
      <c r="J73" s="9">
        <f>CHOOSE($F$10,J60,V60,AH60)</f>
        <v/>
      </c>
      <c r="K73" s="9">
        <f>CHOOSE($F$10,K60,W60,AI60)</f>
        <v/>
      </c>
      <c r="L73" s="9">
        <f>CHOOSE($F$10,L60,X60,AJ60)</f>
        <v/>
      </c>
      <c r="M73" s="9">
        <f>CHOOSE($F$10,M60,Y60,AK60)</f>
        <v/>
      </c>
      <c r="N73" s="9">
        <f>CHOOSE($F$10,N60,Z60,AL60)</f>
        <v/>
      </c>
      <c r="O73" s="9">
        <f>CHOOSE($F$10,O60,AA60,AM60)</f>
        <v/>
      </c>
      <c r="P73" s="9">
        <f>CHOOSE($F$10,P60,AB60,AN60)</f>
        <v/>
      </c>
    </row>
    <row r="74" ht="16" customHeight="1">
      <c r="B74" s="15" t="inlineStr">
        <is>
          <t>EBITDA margin</t>
        </is>
      </c>
      <c r="C74" t="inlineStr">
        <is>
          <t>%</t>
        </is>
      </c>
      <c r="F74" s="9">
        <f>CHOOSE($F$10,F61,R61,AD61)</f>
        <v/>
      </c>
      <c r="G74" s="9">
        <f>CHOOSE($F$10,G61,S61,AE61)</f>
        <v/>
      </c>
      <c r="H74" s="9">
        <f>CHOOSE($F$10,H61,T61,AF61)</f>
        <v/>
      </c>
      <c r="I74" s="9">
        <f>CHOOSE($F$10,I61,U61,AG61)</f>
        <v/>
      </c>
      <c r="J74" s="9">
        <f>CHOOSE($F$10,J61,V61,AH61)</f>
        <v/>
      </c>
      <c r="K74" s="9">
        <f>CHOOSE($F$10,K61,W61,AI61)</f>
        <v/>
      </c>
      <c r="L74" s="9">
        <f>CHOOSE($F$10,L61,X61,AJ61)</f>
        <v/>
      </c>
      <c r="M74" s="9">
        <f>CHOOSE($F$10,M61,Y61,AK61)</f>
        <v/>
      </c>
      <c r="N74" s="9">
        <f>CHOOSE($F$10,N61,Z61,AL61)</f>
        <v/>
      </c>
      <c r="O74" s="9">
        <f>CHOOSE($F$10,O61,AA61,AM61)</f>
        <v/>
      </c>
      <c r="P74" s="9">
        <f>CHOOSE($F$10,P61,AB61,AN61)</f>
        <v/>
      </c>
    </row>
    <row r="75" ht="16" customHeight="1">
      <c r="B75" s="15" t="inlineStr">
        <is>
          <t>D&amp;A % of revenue</t>
        </is>
      </c>
      <c r="C75" t="inlineStr">
        <is>
          <t>%</t>
        </is>
      </c>
      <c r="F75" s="9">
        <f>CHOOSE($F$10,F62,R62,AD62)</f>
        <v/>
      </c>
      <c r="G75" s="9">
        <f>CHOOSE($F$10,G62,S62,AE62)</f>
        <v/>
      </c>
      <c r="H75" s="9">
        <f>CHOOSE($F$10,H62,T62,AF62)</f>
        <v/>
      </c>
      <c r="I75" s="9">
        <f>CHOOSE($F$10,I62,U62,AG62)</f>
        <v/>
      </c>
      <c r="J75" s="9">
        <f>CHOOSE($F$10,J62,V62,AH62)</f>
        <v/>
      </c>
      <c r="K75" s="9">
        <f>CHOOSE($F$10,K62,W62,AI62)</f>
        <v/>
      </c>
      <c r="L75" s="9">
        <f>CHOOSE($F$10,L62,X62,AJ62)</f>
        <v/>
      </c>
      <c r="M75" s="9">
        <f>CHOOSE($F$10,M62,Y62,AK62)</f>
        <v/>
      </c>
      <c r="N75" s="9">
        <f>CHOOSE($F$10,N62,Z62,AL62)</f>
        <v/>
      </c>
      <c r="O75" s="9">
        <f>CHOOSE($F$10,O62,AA62,AM62)</f>
        <v/>
      </c>
      <c r="P75" s="9">
        <f>CHOOSE($F$10,P62,AB62,AN62)</f>
        <v/>
      </c>
    </row>
    <row r="76" ht="16" customHeight="1">
      <c r="B76" s="15" t="inlineStr">
        <is>
          <t>Capex % of revenue</t>
        </is>
      </c>
      <c r="C76" t="inlineStr">
        <is>
          <t>%</t>
        </is>
      </c>
      <c r="F76" s="9">
        <f>CHOOSE($F$10,F63,R63,AD63)</f>
        <v/>
      </c>
      <c r="G76" s="9">
        <f>CHOOSE($F$10,G63,S63,AE63)</f>
        <v/>
      </c>
      <c r="H76" s="9">
        <f>CHOOSE($F$10,H63,T63,AF63)</f>
        <v/>
      </c>
      <c r="I76" s="9">
        <f>CHOOSE($F$10,I63,U63,AG63)</f>
        <v/>
      </c>
      <c r="J76" s="9">
        <f>CHOOSE($F$10,J63,V63,AH63)</f>
        <v/>
      </c>
      <c r="K76" s="9">
        <f>CHOOSE($F$10,K63,W63,AI63)</f>
        <v/>
      </c>
      <c r="L76" s="9">
        <f>CHOOSE($F$10,L63,X63,AJ63)</f>
        <v/>
      </c>
      <c r="M76" s="9">
        <f>CHOOSE($F$10,M63,Y63,AK63)</f>
        <v/>
      </c>
      <c r="N76" s="9">
        <f>CHOOSE($F$10,N63,Z63,AL63)</f>
        <v/>
      </c>
      <c r="O76" s="9">
        <f>CHOOSE($F$10,O63,AA63,AM63)</f>
        <v/>
      </c>
      <c r="P76" s="9">
        <f>CHOOSE($F$10,P63,AB63,AN63)</f>
        <v/>
      </c>
    </row>
    <row r="77" ht="16" customHeight="1">
      <c r="B77" s="15" t="inlineStr">
        <is>
          <t>NWC % of revenue</t>
        </is>
      </c>
      <c r="C77" t="inlineStr">
        <is>
          <t>%</t>
        </is>
      </c>
      <c r="F77" s="9">
        <f>CHOOSE($F$10,F64,R64,AD64)</f>
        <v/>
      </c>
      <c r="G77" s="9">
        <f>CHOOSE($F$10,G64,S64,AE64)</f>
        <v/>
      </c>
      <c r="H77" s="9">
        <f>CHOOSE($F$10,H64,T64,AF64)</f>
        <v/>
      </c>
      <c r="I77" s="9">
        <f>CHOOSE($F$10,I64,U64,AG64)</f>
        <v/>
      </c>
      <c r="J77" s="9">
        <f>CHOOSE($F$10,J64,V64,AH64)</f>
        <v/>
      </c>
      <c r="K77" s="9">
        <f>CHOOSE($F$10,K64,W64,AI64)</f>
        <v/>
      </c>
      <c r="L77" s="9">
        <f>CHOOSE($F$10,L64,X64,AJ64)</f>
        <v/>
      </c>
      <c r="M77" s="9">
        <f>CHOOSE($F$10,M64,Y64,AK64)</f>
        <v/>
      </c>
      <c r="N77" s="9">
        <f>CHOOSE($F$10,N64,Z64,AL64)</f>
        <v/>
      </c>
      <c r="O77" s="9">
        <f>CHOOSE($F$10,O64,AA64,AM64)</f>
        <v/>
      </c>
      <c r="P77" s="9">
        <f>CHOOSE($F$10,P64,AB64,AN64)</f>
        <v/>
      </c>
    </row>
    <row r="78" ht="16" customHeight="1"/>
    <row r="79" ht="16" customHeight="1">
      <c r="B79" s="15" t="inlineStr">
        <is>
          <t>Selected terminal growth g</t>
        </is>
      </c>
      <c r="C79" t="inlineStr">
        <is>
          <t>%</t>
        </is>
      </c>
      <c r="F79" s="9">
        <f>CHOOSE($F$10,F67,R67,AD67)</f>
        <v/>
      </c>
    </row>
    <row r="80" ht="16" customHeight="1">
      <c r="B80" s="15" t="inlineStr">
        <is>
          <t>Selected exit multiple</t>
        </is>
      </c>
      <c r="C80" t="inlineStr">
        <is>
          <t>x</t>
        </is>
      </c>
      <c r="F80" s="8">
        <f>CHOOSE($F$10,F68,R68,AD68)</f>
        <v/>
      </c>
    </row>
    <row r="81" ht="16" customHeight="1"/>
    <row r="82" ht="16" customHeight="1"/>
    <row r="83" ht="16" customHeight="1">
      <c r="B83" s="66" t="inlineStr">
        <is>
          <t>COMPS MULTIPLE OVERRIDE (OPTIONAL)</t>
        </is>
      </c>
      <c r="C83" s="66" t="n"/>
      <c r="D83" s="66" t="n"/>
      <c r="E83" s="66" t="n"/>
    </row>
    <row r="84" ht="16" customHeight="1">
      <c r="B84" s="7" t="inlineStr">
        <is>
          <t>Override comps multiple? (TRUE/FALSE)</t>
        </is>
      </c>
      <c r="C84" s="69" t="inlineStr"/>
      <c r="D84" s="69" t="n"/>
      <c r="E84" s="69" t="n"/>
      <c r="F84" s="68" t="b">
        <v>0</v>
      </c>
    </row>
    <row r="85" ht="16" customHeight="1">
      <c r="B85" s="7" t="inlineStr">
        <is>
          <t>Override EV/EBITDA multiple (x)</t>
        </is>
      </c>
      <c r="C85" s="69" t="inlineStr">
        <is>
          <t>x</t>
        </is>
      </c>
      <c r="D85" s="69" t="n"/>
      <c r="E85" s="69" t="n"/>
      <c r="F85" s="68" t="n">
        <v>10</v>
      </c>
    </row>
    <row r="86" ht="16" customHeight="1">
      <c r="B86" s="7" t="inlineStr">
        <is>
          <t>Comps multiple used (output)</t>
        </is>
      </c>
      <c r="C86" s="69" t="inlineStr">
        <is>
          <t>x</t>
        </is>
      </c>
      <c r="D86" s="69" t="n"/>
      <c r="E86" s="69" t="n"/>
      <c r="F86" s="67">
        <f>05_TRADING_COMPS!F32</f>
        <v/>
      </c>
    </row>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99"/>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02_COMPANY_INPUTS</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20" customHeight="1">
      <c r="B9" s="5" t="inlineStr">
        <is>
          <t>EQUITY AND MARKET DATA</t>
        </is>
      </c>
      <c r="C9" s="20" t="n"/>
      <c r="D9" s="20" t="n"/>
      <c r="E9" s="20" t="n"/>
    </row>
    <row r="10" ht="16" customHeight="1">
      <c r="B10" s="15" t="inlineStr">
        <is>
          <t>Current share price</t>
        </is>
      </c>
      <c r="C10" s="35" t="inlineStr">
        <is>
          <t>CCY</t>
        </is>
      </c>
      <c r="F10" s="24" t="n"/>
    </row>
    <row r="11" ht="16" customHeight="1">
      <c r="B11" s="15" t="inlineStr">
        <is>
          <t>Shares outstanding (mm)</t>
        </is>
      </c>
      <c r="C11" s="35" t="inlineStr">
        <is>
          <t>mm</t>
        </is>
      </c>
      <c r="F11" s="24" t="n"/>
    </row>
    <row r="12" ht="16" customHeight="1">
      <c r="B12" s="15" t="inlineStr">
        <is>
          <t>Market cap</t>
        </is>
      </c>
      <c r="C12" s="35" t="inlineStr">
        <is>
          <t>m</t>
        </is>
      </c>
      <c r="F12" s="8">
        <f>IF(OR(F10="",F11=""),"",F10*F11)</f>
        <v/>
      </c>
    </row>
    <row r="13" ht="16" customHeight="1"/>
    <row r="14" ht="16" customHeight="1"/>
    <row r="15" ht="20" customHeight="1">
      <c r="B15" s="5" t="inlineStr">
        <is>
          <t>NET DEBT BRIDGE INPUTS</t>
        </is>
      </c>
      <c r="C15" s="20" t="n"/>
      <c r="D15" s="20" t="n"/>
      <c r="E15" s="20" t="n"/>
    </row>
    <row r="16" ht="16" customHeight="1">
      <c r="B16" s="15" t="inlineStr">
        <is>
          <t>Cash and equivalents</t>
        </is>
      </c>
      <c r="C16" s="35" t="inlineStr">
        <is>
          <t>m</t>
        </is>
      </c>
      <c r="F16" s="24" t="n"/>
    </row>
    <row r="17" ht="16" customHeight="1">
      <c r="B17" s="15" t="inlineStr">
        <is>
          <t>Gross debt</t>
        </is>
      </c>
      <c r="C17" s="35" t="inlineStr">
        <is>
          <t>m</t>
        </is>
      </c>
      <c r="F17" s="24" t="n"/>
    </row>
    <row r="18" ht="16" customHeight="1">
      <c r="B18" s="15" t="inlineStr">
        <is>
          <t>Lease liabilities</t>
        </is>
      </c>
      <c r="C18" s="35" t="inlineStr">
        <is>
          <t>m</t>
        </is>
      </c>
      <c r="F18" s="24" t="n"/>
    </row>
    <row r="19" ht="16" customHeight="1">
      <c r="B19" s="15" t="inlineStr">
        <is>
          <t>Pension liabilities</t>
        </is>
      </c>
      <c r="C19" s="35" t="inlineStr">
        <is>
          <t>m</t>
        </is>
      </c>
      <c r="F19" s="24" t="n"/>
    </row>
    <row r="20" ht="16" customHeight="1">
      <c r="B20" s="15" t="inlineStr">
        <is>
          <t>Minority interests</t>
        </is>
      </c>
      <c r="C20" s="35" t="inlineStr">
        <is>
          <t>m</t>
        </is>
      </c>
      <c r="F20" s="24" t="n"/>
    </row>
    <row r="21" ht="16" customHeight="1">
      <c r="B21" s="15" t="inlineStr">
        <is>
          <t>Investments / associates</t>
        </is>
      </c>
      <c r="C21" s="35" t="inlineStr">
        <is>
          <t>m</t>
        </is>
      </c>
      <c r="F21" s="24" t="n"/>
    </row>
    <row r="22" ht="16" customHeight="1">
      <c r="B22" s="15" t="inlineStr">
        <is>
          <t>Other adjustments</t>
        </is>
      </c>
      <c r="C22" s="35" t="inlineStr">
        <is>
          <t>m</t>
        </is>
      </c>
      <c r="F22" s="24" t="n"/>
    </row>
    <row r="23" ht="16" customHeight="1"/>
    <row r="24" ht="20" customHeight="1">
      <c r="B24" s="5" t="inlineStr">
        <is>
          <t>NET DEBT (PER TOGGLES)</t>
        </is>
      </c>
      <c r="C24" s="20" t="n"/>
      <c r="D24" s="20" t="n"/>
      <c r="E24" s="20" t="n"/>
    </row>
    <row r="25" ht="16" customHeight="1">
      <c r="B25" s="21" t="inlineStr">
        <is>
          <t>Include flags (from 01_CONTROL)</t>
        </is>
      </c>
    </row>
    <row r="26" ht="16" customHeight="1">
      <c r="B26" s="15" t="inlineStr">
        <is>
          <t>Net debt (output)</t>
        </is>
      </c>
      <c r="C26" s="35" t="inlineStr">
        <is>
          <t>m</t>
        </is>
      </c>
      <c r="F26" s="8">
        <f>IF(COUNTA(F16:F22)=0,"",IFERROR(F17+'01_CONTROL'!$G$41*F18+'01_CONTROL'!$G$42*F19+'01_CONTROL'!$G$43*F20-F16-'01_CONTROL'!$G$44*F21+'01_CONTROL'!$G$45*F22,""))</f>
        <v/>
      </c>
    </row>
    <row r="27" ht="16" customHeight="1"/>
    <row r="28" ht="16" customHeight="1"/>
    <row r="29" ht="20" customHeight="1">
      <c r="B29" s="5" t="inlineStr">
        <is>
          <t>LTM KEY METRICS (INPUTS)</t>
        </is>
      </c>
      <c r="C29" s="20" t="n"/>
      <c r="D29" s="20" t="n"/>
      <c r="E29" s="20" t="n"/>
    </row>
    <row r="30" ht="16" customHeight="1">
      <c r="B30" s="15" t="inlineStr">
        <is>
          <t>LTM revenue</t>
        </is>
      </c>
      <c r="C30" s="35" t="inlineStr">
        <is>
          <t>m</t>
        </is>
      </c>
      <c r="F30" s="24" t="n"/>
    </row>
    <row r="31" ht="16" customHeight="1">
      <c r="B31" s="15" t="inlineStr">
        <is>
          <t>LTM EBITDA</t>
        </is>
      </c>
      <c r="C31" s="35" t="inlineStr">
        <is>
          <t>m</t>
        </is>
      </c>
      <c r="F31" s="24" t="n"/>
    </row>
    <row r="32" ht="16" customHeight="1">
      <c r="B32" s="15" t="inlineStr">
        <is>
          <t>LTM EBIT</t>
        </is>
      </c>
      <c r="C32" s="35" t="inlineStr">
        <is>
          <t>m</t>
        </is>
      </c>
      <c r="F32" s="24" t="n"/>
    </row>
    <row r="33" ht="16" customHeight="1">
      <c r="B33" s="15" t="inlineStr">
        <is>
          <t>LTM D&amp;A</t>
        </is>
      </c>
      <c r="C33" s="35" t="inlineStr">
        <is>
          <t>m</t>
        </is>
      </c>
      <c r="F33" s="24" t="n"/>
    </row>
    <row r="34" ht="16" customHeight="1">
      <c r="B34" s="15" t="inlineStr">
        <is>
          <t>LTM capex</t>
        </is>
      </c>
      <c r="C34" s="35" t="inlineStr">
        <is>
          <t>m</t>
        </is>
      </c>
      <c r="F34" s="24" t="n"/>
    </row>
    <row r="35" ht="16" customHeight="1">
      <c r="B35" s="15" t="inlineStr">
        <is>
          <t>LTM NWC</t>
        </is>
      </c>
      <c r="C35" s="35" t="inlineStr">
        <is>
          <t>m</t>
        </is>
      </c>
      <c r="F35" s="24" t="n"/>
    </row>
    <row r="36" ht="16" customHeight="1"/>
    <row r="37" ht="20" customHeight="1">
      <c r="B37" s="5" t="inlineStr">
        <is>
          <t>DERIVED RATIOS (CALC)</t>
        </is>
      </c>
      <c r="C37" s="20" t="n"/>
      <c r="D37" s="20" t="n"/>
      <c r="E37" s="20" t="n"/>
    </row>
    <row r="38" ht="16" customHeight="1">
      <c r="B38" s="15" t="inlineStr">
        <is>
          <t>EBITDA margin</t>
        </is>
      </c>
      <c r="C38" s="35" t="inlineStr">
        <is>
          <t>%</t>
        </is>
      </c>
      <c r="F38" s="9">
        <f>IF($F$30="","",IFERROR($F$31/$F$30,""))</f>
        <v/>
      </c>
    </row>
    <row r="39" ht="16" customHeight="1">
      <c r="B39" s="15" t="inlineStr">
        <is>
          <t>D&amp;A % of revenue</t>
        </is>
      </c>
      <c r="C39" t="inlineStr">
        <is>
          <t>%</t>
        </is>
      </c>
      <c r="F39" s="9">
        <f>IF($F$30="","",IFERROR($F$33/$F$30,""))</f>
        <v/>
      </c>
    </row>
    <row r="40" ht="16" customHeight="1">
      <c r="B40" s="15" t="inlineStr">
        <is>
          <t>Capex % of revenue</t>
        </is>
      </c>
      <c r="C40" t="inlineStr">
        <is>
          <t>%</t>
        </is>
      </c>
      <c r="F40" s="9">
        <f>IF($F$30="","",IFERROR($F$34/$F$30,""))</f>
        <v/>
      </c>
    </row>
    <row r="41" ht="16" customHeight="1">
      <c r="B41" s="15" t="inlineStr">
        <is>
          <t>NWC % of revenue</t>
        </is>
      </c>
      <c r="C41" t="inlineStr">
        <is>
          <t>%</t>
        </is>
      </c>
      <c r="F41" s="9">
        <f>IF($F$30="","",IFERROR($F$35/$F$30,""))</f>
        <v/>
      </c>
    </row>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T80"/>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03_HISTORICALS</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20" customHeight="1">
      <c r="B9" s="5" t="inlineStr">
        <is>
          <t>INCOME STATEMENT (HISTORICAL)</t>
        </is>
      </c>
      <c r="C9" s="20" t="n"/>
      <c r="D9" s="20" t="n"/>
      <c r="E9" s="20" t="n"/>
    </row>
    <row r="10" ht="16" customHeight="1">
      <c r="F10" s="50" t="inlineStr">
        <is>
          <t>FY-2</t>
        </is>
      </c>
      <c r="G10" s="50" t="inlineStr">
        <is>
          <t>FY-1</t>
        </is>
      </c>
      <c r="H10" s="50" t="inlineStr">
        <is>
          <t>FY0</t>
        </is>
      </c>
      <c r="I10" s="50" t="inlineStr">
        <is>
          <t>LTM</t>
        </is>
      </c>
    </row>
    <row r="11" ht="16" customHeight="1">
      <c r="B11" s="15" t="inlineStr">
        <is>
          <t>Revenue</t>
        </is>
      </c>
      <c r="C11" s="35" t="inlineStr">
        <is>
          <t>m</t>
        </is>
      </c>
      <c r="F11" s="24" t="n"/>
      <c r="G11" s="24" t="n"/>
      <c r="H11" s="24" t="n"/>
      <c r="I11" s="24" t="n"/>
    </row>
    <row r="12" ht="16" customHeight="1">
      <c r="B12" s="15" t="inlineStr">
        <is>
          <t>EBITDA</t>
        </is>
      </c>
      <c r="C12" s="35" t="inlineStr">
        <is>
          <t>m</t>
        </is>
      </c>
      <c r="F12" s="24" t="n"/>
      <c r="G12" s="24" t="n"/>
      <c r="H12" s="24" t="n"/>
      <c r="I12" s="24" t="n"/>
    </row>
    <row r="13" ht="16" customHeight="1">
      <c r="B13" s="15" t="inlineStr">
        <is>
          <t>D&amp;A</t>
        </is>
      </c>
      <c r="C13" s="35" t="inlineStr">
        <is>
          <t>m</t>
        </is>
      </c>
      <c r="F13" s="24" t="n"/>
      <c r="G13" s="24" t="n"/>
      <c r="H13" s="24" t="n"/>
      <c r="I13" s="24" t="n"/>
    </row>
    <row r="14" ht="16" customHeight="1">
      <c r="B14" s="15" t="inlineStr">
        <is>
          <t>EBIT</t>
        </is>
      </c>
      <c r="C14" s="35" t="inlineStr">
        <is>
          <t>m</t>
        </is>
      </c>
      <c r="F14" s="24" t="n"/>
      <c r="G14" s="24" t="n"/>
      <c r="H14" s="24" t="n"/>
      <c r="I14" s="24" t="n"/>
    </row>
    <row r="15" ht="16" customHeight="1">
      <c r="B15" s="15" t="inlineStr">
        <is>
          <t>Taxes</t>
        </is>
      </c>
      <c r="C15" s="35" t="inlineStr">
        <is>
          <t>m</t>
        </is>
      </c>
      <c r="F15" s="24" t="n"/>
      <c r="G15" s="24" t="n"/>
      <c r="H15" s="24" t="n"/>
      <c r="I15" s="24" t="n"/>
    </row>
    <row r="16" ht="16" customHeight="1">
      <c r="B16" s="15" t="inlineStr">
        <is>
          <t>Net income</t>
        </is>
      </c>
      <c r="C16" s="35" t="inlineStr">
        <is>
          <t>m</t>
        </is>
      </c>
      <c r="F16" s="24" t="n"/>
      <c r="G16" s="24" t="n"/>
      <c r="H16" s="24" t="n"/>
      <c r="I16" s="24" t="n"/>
    </row>
    <row r="17" ht="16" customHeight="1">
      <c r="B17" s="15" t="inlineStr">
        <is>
          <t>EBITDA margin</t>
        </is>
      </c>
      <c r="C17" t="inlineStr">
        <is>
          <t>%</t>
        </is>
      </c>
      <c r="F17" s="9">
        <f>IFERROR(F12/F11,"")</f>
        <v/>
      </c>
      <c r="G17" s="9">
        <f>IFERROR(G12/G11,"")</f>
        <v/>
      </c>
      <c r="H17" s="9">
        <f>IFERROR(H12/H11,"")</f>
        <v/>
      </c>
      <c r="I17" s="9">
        <f>IFERROR(I12/I11,"")</f>
        <v/>
      </c>
    </row>
    <row r="18" ht="16" customHeight="1"/>
    <row r="19" ht="20" customHeight="1">
      <c r="B19" s="5" t="inlineStr">
        <is>
          <t>BALANCE SHEET (WORKING CAPITAL)</t>
        </is>
      </c>
      <c r="C19" s="20" t="n"/>
      <c r="D19" s="20" t="n"/>
      <c r="E19" s="20" t="n"/>
    </row>
    <row r="20" ht="16" customHeight="1">
      <c r="F20" s="50" t="inlineStr">
        <is>
          <t>FY-2</t>
        </is>
      </c>
      <c r="G20" s="50" t="inlineStr">
        <is>
          <t>FY-1</t>
        </is>
      </c>
      <c r="H20" s="50" t="inlineStr">
        <is>
          <t>FY0</t>
        </is>
      </c>
      <c r="I20" s="50" t="inlineStr">
        <is>
          <t>LTM</t>
        </is>
      </c>
    </row>
    <row r="21" ht="16" customHeight="1">
      <c r="B21" s="15" t="inlineStr">
        <is>
          <t>Accounts receivable</t>
        </is>
      </c>
      <c r="C21" t="inlineStr">
        <is>
          <t>m</t>
        </is>
      </c>
      <c r="F21" s="24" t="n"/>
      <c r="G21" s="24" t="n"/>
      <c r="H21" s="24" t="n"/>
      <c r="I21" s="24" t="n"/>
    </row>
    <row r="22" ht="16" customHeight="1">
      <c r="B22" s="15" t="inlineStr">
        <is>
          <t>Inventory</t>
        </is>
      </c>
      <c r="C22" t="inlineStr">
        <is>
          <t>m</t>
        </is>
      </c>
      <c r="F22" s="24" t="n"/>
      <c r="G22" s="24" t="n"/>
      <c r="H22" s="24" t="n"/>
      <c r="I22" s="24" t="n"/>
    </row>
    <row r="23" ht="16" customHeight="1">
      <c r="B23" s="15" t="inlineStr">
        <is>
          <t>Accounts payable</t>
        </is>
      </c>
      <c r="C23" t="inlineStr">
        <is>
          <t>m</t>
        </is>
      </c>
      <c r="F23" s="24" t="n"/>
      <c r="G23" s="24" t="n"/>
      <c r="H23" s="24" t="n"/>
      <c r="I23" s="24" t="n"/>
    </row>
    <row r="24" ht="16" customHeight="1">
      <c r="B24" s="15" t="inlineStr">
        <is>
          <t>Other current assets</t>
        </is>
      </c>
      <c r="C24" t="inlineStr">
        <is>
          <t>m</t>
        </is>
      </c>
      <c r="F24" s="24" t="n"/>
      <c r="G24" s="24" t="n"/>
      <c r="H24" s="24" t="n"/>
      <c r="I24" s="24" t="n"/>
    </row>
    <row r="25" ht="16" customHeight="1">
      <c r="B25" s="15" t="inlineStr">
        <is>
          <t>Other current liabilities</t>
        </is>
      </c>
      <c r="C25" t="inlineStr">
        <is>
          <t>m</t>
        </is>
      </c>
      <c r="F25" s="24" t="n"/>
      <c r="G25" s="24" t="n"/>
      <c r="H25" s="24" t="n"/>
      <c r="I25" s="24" t="n"/>
    </row>
    <row r="26" ht="16" customHeight="1">
      <c r="B26" s="15" t="inlineStr">
        <is>
          <t>Net working capital</t>
        </is>
      </c>
      <c r="C26" t="inlineStr">
        <is>
          <t>m</t>
        </is>
      </c>
      <c r="E26" s="21" t="n"/>
      <c r="F26" s="37" t="n"/>
      <c r="G26" s="37" t="n"/>
      <c r="H26" s="37" t="n"/>
      <c r="I26" s="37" t="n"/>
    </row>
    <row r="27" ht="16" customHeight="1">
      <c r="B27" s="15" t="inlineStr">
        <is>
          <t>PP&amp;E (net)</t>
        </is>
      </c>
      <c r="C27" t="inlineStr">
        <is>
          <t>m</t>
        </is>
      </c>
      <c r="F27" s="24" t="n"/>
      <c r="G27" s="24" t="n"/>
      <c r="H27" s="24" t="n"/>
      <c r="I27" s="24" t="n"/>
    </row>
    <row r="28" ht="16" customHeight="1"/>
    <row r="29" ht="20" customHeight="1">
      <c r="B29" s="5" t="inlineStr">
        <is>
          <t>CASH FLOW (KEY LINES)</t>
        </is>
      </c>
      <c r="C29" s="20" t="n"/>
      <c r="D29" s="20" t="n"/>
      <c r="E29" s="20" t="n"/>
    </row>
    <row r="30" ht="16" customHeight="1">
      <c r="F30" s="50" t="inlineStr">
        <is>
          <t>FY-2</t>
        </is>
      </c>
      <c r="G30" s="50" t="inlineStr">
        <is>
          <t>FY-1</t>
        </is>
      </c>
      <c r="H30" s="50" t="inlineStr">
        <is>
          <t>FY0</t>
        </is>
      </c>
      <c r="I30" s="50" t="inlineStr">
        <is>
          <t>LTM</t>
        </is>
      </c>
    </row>
    <row r="31" ht="16" customHeight="1">
      <c r="B31" s="15" t="inlineStr">
        <is>
          <t>D&amp;A</t>
        </is>
      </c>
      <c r="C31" t="inlineStr">
        <is>
          <t>m</t>
        </is>
      </c>
      <c r="F31" s="24" t="n"/>
      <c r="G31" s="24" t="n"/>
      <c r="H31" s="24" t="n"/>
      <c r="I31" s="24" t="n"/>
    </row>
    <row r="32" ht="16" customHeight="1">
      <c r="B32" s="15" t="inlineStr">
        <is>
          <t>Capex</t>
        </is>
      </c>
      <c r="C32" t="inlineStr">
        <is>
          <t>m</t>
        </is>
      </c>
      <c r="F32" s="24" t="n"/>
      <c r="G32" s="24" t="n"/>
      <c r="H32" s="24" t="n"/>
      <c r="I32" s="24" t="n"/>
    </row>
    <row r="33" ht="16" customHeight="1">
      <c r="B33" s="15" t="inlineStr">
        <is>
          <t>Change in NWC</t>
        </is>
      </c>
      <c r="C33" t="inlineStr">
        <is>
          <t>m</t>
        </is>
      </c>
      <c r="F33" s="24" t="n"/>
      <c r="G33" s="24" t="n"/>
      <c r="H33" s="24" t="n"/>
      <c r="I33" s="24" t="n"/>
    </row>
    <row r="34" ht="16" customHeight="1">
      <c r="B34" s="15" t="inlineStr">
        <is>
          <t>Unlevered FCF (proxy)</t>
        </is>
      </c>
      <c r="C34" t="inlineStr">
        <is>
          <t>m</t>
        </is>
      </c>
      <c r="F34" s="24" t="n"/>
      <c r="G34" s="24" t="n"/>
      <c r="H34" s="24" t="n"/>
      <c r="I34" s="24" t="n"/>
    </row>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T80"/>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04_DRIVERS_AND_FORECAST</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20" customHeight="1">
      <c r="B9" s="5" t="inlineStr">
        <is>
          <t>CALENDAR</t>
        </is>
      </c>
      <c r="C9" s="20" t="n"/>
      <c r="D9" s="20" t="n"/>
      <c r="E9" s="20" t="n"/>
    </row>
    <row r="10" ht="16" customHeight="1">
      <c r="B10" s="15" t="inlineStr">
        <is>
          <t>Fiscal year</t>
        </is>
      </c>
      <c r="F10" s="50">
        <f>'01_CONTROL'!F51</f>
        <v/>
      </c>
      <c r="G10" s="50">
        <f>'01_CONTROL'!G51</f>
        <v/>
      </c>
      <c r="H10" s="50">
        <f>'01_CONTROL'!H51</f>
        <v/>
      </c>
      <c r="I10" s="50">
        <f>'01_CONTROL'!I51</f>
        <v/>
      </c>
      <c r="J10" s="50">
        <f>'01_CONTROL'!J51</f>
        <v/>
      </c>
      <c r="K10" s="50">
        <f>'01_CONTROL'!K51</f>
        <v/>
      </c>
      <c r="L10" s="50">
        <f>'01_CONTROL'!L51</f>
        <v/>
      </c>
      <c r="M10" s="50">
        <f>'01_CONTROL'!M51</f>
        <v/>
      </c>
      <c r="N10" s="50">
        <f>'01_CONTROL'!N51</f>
        <v/>
      </c>
      <c r="O10" s="50">
        <f>'01_CONTROL'!O51</f>
        <v/>
      </c>
      <c r="P10" s="50">
        <f>'01_CONTROL'!P51</f>
        <v/>
      </c>
    </row>
    <row r="11" ht="16" customHeight="1"/>
    <row r="12" ht="20" customHeight="1">
      <c r="B12" s="5" t="inlineStr">
        <is>
          <t>BASE CASE FORECAST</t>
        </is>
      </c>
      <c r="C12" s="20" t="n"/>
      <c r="D12" s="20" t="n"/>
      <c r="E12" s="20" t="n"/>
    </row>
    <row r="13" ht="16" customHeight="1">
      <c r="B13" s="15" t="inlineStr">
        <is>
          <t>Revenue</t>
        </is>
      </c>
      <c r="C13" s="35" t="inlineStr">
        <is>
          <t>m</t>
        </is>
      </c>
      <c r="F13" s="8">
        <f>IF('02_COMPANY_INPUTS'!$F$30="","",'02_COMPANY_INPUTS'!$F$30)</f>
        <v/>
      </c>
      <c r="G13" s="8">
        <f>IF(OR('01_CONTROL'!G52&lt;&gt;1,F13=""),"",F13*(1+'01_CONTROL'!G60))</f>
        <v/>
      </c>
      <c r="H13" s="8">
        <f>IF(OR('01_CONTROL'!H52&lt;&gt;1,G13=""),"",G13*(1+'01_CONTROL'!H60))</f>
        <v/>
      </c>
      <c r="I13" s="8">
        <f>IF(OR('01_CONTROL'!I52&lt;&gt;1,H13=""),"",H13*(1+'01_CONTROL'!I60))</f>
        <v/>
      </c>
      <c r="J13" s="8">
        <f>IF(OR('01_CONTROL'!J52&lt;&gt;1,I13=""),"",I13*(1+'01_CONTROL'!J60))</f>
        <v/>
      </c>
      <c r="K13" s="8">
        <f>IF(OR('01_CONTROL'!K52&lt;&gt;1,J13=""),"",J13*(1+'01_CONTROL'!K60))</f>
        <v/>
      </c>
      <c r="L13" s="8">
        <f>IF(OR('01_CONTROL'!L52&lt;&gt;1,K13=""),"",K13*(1+'01_CONTROL'!L60))</f>
        <v/>
      </c>
      <c r="M13" s="8">
        <f>IF(OR('01_CONTROL'!M52&lt;&gt;1,L13=""),"",L13*(1+'01_CONTROL'!M60))</f>
        <v/>
      </c>
      <c r="N13" s="8">
        <f>IF(OR('01_CONTROL'!N52&lt;&gt;1,M13=""),"",M13*(1+'01_CONTROL'!N60))</f>
        <v/>
      </c>
      <c r="O13" s="8">
        <f>IF(OR('01_CONTROL'!O52&lt;&gt;1,N13=""),"",N13*(1+'01_CONTROL'!O60))</f>
        <v/>
      </c>
      <c r="P13" s="8">
        <f>IF(OR('01_CONTROL'!P52&lt;&gt;1,O13=""),"",O13*(1+'01_CONTROL'!P60))</f>
        <v/>
      </c>
    </row>
    <row r="14" ht="16" customHeight="1">
      <c r="B14" s="15" t="inlineStr">
        <is>
          <t>EBITDA</t>
        </is>
      </c>
      <c r="C14" s="35" t="inlineStr">
        <is>
          <t>m</t>
        </is>
      </c>
      <c r="F14" s="8">
        <f>IF('02_COMPANY_INPUTS'!$F$31="","",'02_COMPANY_INPUTS'!$F$31)</f>
        <v/>
      </c>
      <c r="G14" s="8">
        <f>IF(G13="","",G13*'01_CONTROL'!G61)</f>
        <v/>
      </c>
      <c r="H14" s="8">
        <f>IF(H13="","",H13*'01_CONTROL'!H61)</f>
        <v/>
      </c>
      <c r="I14" s="8">
        <f>IF(I13="","",I13*'01_CONTROL'!I61)</f>
        <v/>
      </c>
      <c r="J14" s="8">
        <f>IF(J13="","",J13*'01_CONTROL'!J61)</f>
        <v/>
      </c>
      <c r="K14" s="8">
        <f>IF(K13="","",K13*'01_CONTROL'!K61)</f>
        <v/>
      </c>
      <c r="L14" s="8">
        <f>IF(L13="","",L13*'01_CONTROL'!L61)</f>
        <v/>
      </c>
      <c r="M14" s="8">
        <f>IF(M13="","",M13*'01_CONTROL'!M61)</f>
        <v/>
      </c>
      <c r="N14" s="8">
        <f>IF(N13="","",N13*'01_CONTROL'!N61)</f>
        <v/>
      </c>
      <c r="O14" s="8">
        <f>IF(O13="","",O13*'01_CONTROL'!O61)</f>
        <v/>
      </c>
      <c r="P14" s="8">
        <f>IF(P13="","",P13*'01_CONTROL'!P61)</f>
        <v/>
      </c>
    </row>
    <row r="15" ht="16" customHeight="1">
      <c r="B15" s="15" t="inlineStr">
        <is>
          <t>D&amp;A</t>
        </is>
      </c>
      <c r="C15" s="35" t="inlineStr">
        <is>
          <t>m</t>
        </is>
      </c>
      <c r="F15" s="8">
        <f>IF('02_COMPANY_INPUTS'!$F$33="","",'02_COMPANY_INPUTS'!$F$33)</f>
        <v/>
      </c>
      <c r="G15" s="8">
        <f>IF(G13="","",G13*'01_CONTROL'!G62)</f>
        <v/>
      </c>
      <c r="H15" s="8">
        <f>IF(H13="","",H13*'01_CONTROL'!H62)</f>
        <v/>
      </c>
      <c r="I15" s="8">
        <f>IF(I13="","",I13*'01_CONTROL'!I62)</f>
        <v/>
      </c>
      <c r="J15" s="8">
        <f>IF(J13="","",J13*'01_CONTROL'!J62)</f>
        <v/>
      </c>
      <c r="K15" s="8">
        <f>IF(K13="","",K13*'01_CONTROL'!K62)</f>
        <v/>
      </c>
      <c r="L15" s="8">
        <f>IF(L13="","",L13*'01_CONTROL'!L62)</f>
        <v/>
      </c>
      <c r="M15" s="8">
        <f>IF(M13="","",M13*'01_CONTROL'!M62)</f>
        <v/>
      </c>
      <c r="N15" s="8">
        <f>IF(N13="","",N13*'01_CONTROL'!N62)</f>
        <v/>
      </c>
      <c r="O15" s="8">
        <f>IF(O13="","",O13*'01_CONTROL'!O62)</f>
        <v/>
      </c>
      <c r="P15" s="8">
        <f>IF(P13="","",P13*'01_CONTROL'!P62)</f>
        <v/>
      </c>
    </row>
    <row r="16" ht="16" customHeight="1">
      <c r="B16" s="15" t="inlineStr">
        <is>
          <t>EBIT</t>
        </is>
      </c>
      <c r="C16" s="35" t="inlineStr">
        <is>
          <t>m</t>
        </is>
      </c>
      <c r="F16" s="8">
        <f>IF(F14="","",F14-F15)</f>
        <v/>
      </c>
      <c r="G16" s="8">
        <f>IF(G14="","",G14-G15)</f>
        <v/>
      </c>
      <c r="H16" s="8">
        <f>IF(H14="","",H14-H15)</f>
        <v/>
      </c>
      <c r="I16" s="8">
        <f>IF(I14="","",I14-I15)</f>
        <v/>
      </c>
      <c r="J16" s="8">
        <f>IF(J14="","",J14-J15)</f>
        <v/>
      </c>
      <c r="K16" s="8">
        <f>IF(K14="","",K14-K15)</f>
        <v/>
      </c>
      <c r="L16" s="8">
        <f>IF(L14="","",L14-L15)</f>
        <v/>
      </c>
      <c r="M16" s="8">
        <f>IF(M14="","",M14-M15)</f>
        <v/>
      </c>
      <c r="N16" s="8">
        <f>IF(N14="","",N14-N15)</f>
        <v/>
      </c>
      <c r="O16" s="8">
        <f>IF(O14="","",O14-O15)</f>
        <v/>
      </c>
      <c r="P16" s="8">
        <f>IF(P14="","",P14-P15)</f>
        <v/>
      </c>
    </row>
    <row r="17" ht="16" customHeight="1">
      <c r="B17" s="15" t="inlineStr">
        <is>
          <t>Taxes on EBIT</t>
        </is>
      </c>
      <c r="C17" s="35" t="inlineStr">
        <is>
          <t>m</t>
        </is>
      </c>
      <c r="F17" s="8">
        <f>IF(F16="","",MAX(0,F16)*'01_CONTROL'!$F$24)</f>
        <v/>
      </c>
      <c r="G17" s="8">
        <f>IF(G16="","",MAX(0,G16)*'01_CONTROL'!$F$24)</f>
        <v/>
      </c>
      <c r="H17" s="8">
        <f>IF(H16="","",MAX(0,H16)*'01_CONTROL'!$F$24)</f>
        <v/>
      </c>
      <c r="I17" s="8">
        <f>IF(I16="","",MAX(0,I16)*'01_CONTROL'!$F$24)</f>
        <v/>
      </c>
      <c r="J17" s="8">
        <f>IF(J16="","",MAX(0,J16)*'01_CONTROL'!$F$24)</f>
        <v/>
      </c>
      <c r="K17" s="8">
        <f>IF(K16="","",MAX(0,K16)*'01_CONTROL'!$F$24)</f>
        <v/>
      </c>
      <c r="L17" s="8">
        <f>IF(L16="","",MAX(0,L16)*'01_CONTROL'!$F$24)</f>
        <v/>
      </c>
      <c r="M17" s="8">
        <f>IF(M16="","",MAX(0,M16)*'01_CONTROL'!$F$24)</f>
        <v/>
      </c>
      <c r="N17" s="8">
        <f>IF(N16="","",MAX(0,N16)*'01_CONTROL'!$F$24)</f>
        <v/>
      </c>
      <c r="O17" s="8">
        <f>IF(O16="","",MAX(0,O16)*'01_CONTROL'!$F$24)</f>
        <v/>
      </c>
      <c r="P17" s="8">
        <f>IF(P16="","",MAX(0,P16)*'01_CONTROL'!$F$24)</f>
        <v/>
      </c>
    </row>
    <row r="18" ht="16" customHeight="1">
      <c r="B18" s="15" t="inlineStr">
        <is>
          <t>NOPAT</t>
        </is>
      </c>
      <c r="C18" s="35" t="inlineStr">
        <is>
          <t>m</t>
        </is>
      </c>
      <c r="F18" s="8">
        <f>IF(F16="","",F16*(1-'01_CONTROL'!$F$24))</f>
        <v/>
      </c>
      <c r="G18" s="8">
        <f>IF(G16="","",G16*(1-'01_CONTROL'!$F$24))</f>
        <v/>
      </c>
      <c r="H18" s="8">
        <f>IF(H16="","",H16*(1-'01_CONTROL'!$F$24))</f>
        <v/>
      </c>
      <c r="I18" s="8">
        <f>IF(I16="","",I16*(1-'01_CONTROL'!$F$24))</f>
        <v/>
      </c>
      <c r="J18" s="8">
        <f>IF(J16="","",J16*(1-'01_CONTROL'!$F$24))</f>
        <v/>
      </c>
      <c r="K18" s="8">
        <f>IF(K16="","",K16*(1-'01_CONTROL'!$F$24))</f>
        <v/>
      </c>
      <c r="L18" s="8">
        <f>IF(L16="","",L16*(1-'01_CONTROL'!$F$24))</f>
        <v/>
      </c>
      <c r="M18" s="8">
        <f>IF(M16="","",M16*(1-'01_CONTROL'!$F$24))</f>
        <v/>
      </c>
      <c r="N18" s="8">
        <f>IF(N16="","",N16*(1-'01_CONTROL'!$F$24))</f>
        <v/>
      </c>
      <c r="O18" s="8">
        <f>IF(O16="","",O16*(1-'01_CONTROL'!$F$24))</f>
        <v/>
      </c>
      <c r="P18" s="8">
        <f>IF(P16="","",P16*(1-'01_CONTROL'!$F$24))</f>
        <v/>
      </c>
    </row>
    <row r="19" ht="16" customHeight="1">
      <c r="B19" s="15" t="inlineStr">
        <is>
          <t>Net working capital</t>
        </is>
      </c>
      <c r="C19" s="35" t="inlineStr">
        <is>
          <t>m</t>
        </is>
      </c>
      <c r="F19" s="8">
        <f>IF('02_COMPANY_INPUTS'!$F$35="","",'02_COMPANY_INPUTS'!$F$35)</f>
        <v/>
      </c>
      <c r="G19" s="8">
        <f>IF(G13="","",G13*'01_CONTROL'!G64)</f>
        <v/>
      </c>
      <c r="H19" s="8">
        <f>IF(H13="","",H13*'01_CONTROL'!H64)</f>
        <v/>
      </c>
      <c r="I19" s="8">
        <f>IF(I13="","",I13*'01_CONTROL'!I64)</f>
        <v/>
      </c>
      <c r="J19" s="8">
        <f>IF(J13="","",J13*'01_CONTROL'!J64)</f>
        <v/>
      </c>
      <c r="K19" s="8">
        <f>IF(K13="","",K13*'01_CONTROL'!K64)</f>
        <v/>
      </c>
      <c r="L19" s="8">
        <f>IF(L13="","",L13*'01_CONTROL'!L64)</f>
        <v/>
      </c>
      <c r="M19" s="8">
        <f>IF(M13="","",M13*'01_CONTROL'!M64)</f>
        <v/>
      </c>
      <c r="N19" s="8">
        <f>IF(N13="","",N13*'01_CONTROL'!N64)</f>
        <v/>
      </c>
      <c r="O19" s="8">
        <f>IF(O13="","",O13*'01_CONTROL'!O64)</f>
        <v/>
      </c>
      <c r="P19" s="8">
        <f>IF(P13="","",P13*'01_CONTROL'!P64)</f>
        <v/>
      </c>
    </row>
    <row r="20" ht="16" customHeight="1">
      <c r="B20" s="15" t="inlineStr">
        <is>
          <t>Change in NWC</t>
        </is>
      </c>
      <c r="C20" s="35" t="inlineStr">
        <is>
          <t>m</t>
        </is>
      </c>
      <c r="F20" s="8">
        <f>""</f>
        <v/>
      </c>
      <c r="G20" s="8">
        <f>IF(G19="","",G19-F19)</f>
        <v/>
      </c>
      <c r="H20" s="8">
        <f>IF(H19="","",H19-G19)</f>
        <v/>
      </c>
      <c r="I20" s="8">
        <f>IF(I19="","",I19-H19)</f>
        <v/>
      </c>
      <c r="J20" s="8">
        <f>IF(J19="","",J19-I19)</f>
        <v/>
      </c>
      <c r="K20" s="8">
        <f>IF(K19="","",K19-J19)</f>
        <v/>
      </c>
      <c r="L20" s="8">
        <f>IF(L19="","",L19-K19)</f>
        <v/>
      </c>
      <c r="M20" s="8">
        <f>IF(M19="","",M19-L19)</f>
        <v/>
      </c>
      <c r="N20" s="8">
        <f>IF(N19="","",N19-M19)</f>
        <v/>
      </c>
      <c r="O20" s="8">
        <f>IF(O19="","",O19-N19)</f>
        <v/>
      </c>
      <c r="P20" s="8">
        <f>IF(P19="","",P19-O19)</f>
        <v/>
      </c>
    </row>
    <row r="21" ht="16" customHeight="1">
      <c r="B21" s="15" t="inlineStr">
        <is>
          <t>Capex</t>
        </is>
      </c>
      <c r="C21" s="35" t="inlineStr">
        <is>
          <t>m</t>
        </is>
      </c>
      <c r="F21" s="8">
        <f>IF('02_COMPANY_INPUTS'!$F$34="","",'02_COMPANY_INPUTS'!$F$34)</f>
        <v/>
      </c>
      <c r="G21" s="8">
        <f>IF(G13="","",G13*'01_CONTROL'!G63)</f>
        <v/>
      </c>
      <c r="H21" s="8">
        <f>IF(H13="","",H13*'01_CONTROL'!H63)</f>
        <v/>
      </c>
      <c r="I21" s="8">
        <f>IF(I13="","",I13*'01_CONTROL'!I63)</f>
        <v/>
      </c>
      <c r="J21" s="8">
        <f>IF(J13="","",J13*'01_CONTROL'!J63)</f>
        <v/>
      </c>
      <c r="K21" s="8">
        <f>IF(K13="","",K13*'01_CONTROL'!K63)</f>
        <v/>
      </c>
      <c r="L21" s="8">
        <f>IF(L13="","",L13*'01_CONTROL'!L63)</f>
        <v/>
      </c>
      <c r="M21" s="8">
        <f>IF(M13="","",M13*'01_CONTROL'!M63)</f>
        <v/>
      </c>
      <c r="N21" s="8">
        <f>IF(N13="","",N13*'01_CONTROL'!N63)</f>
        <v/>
      </c>
      <c r="O21" s="8">
        <f>IF(O13="","",O13*'01_CONTROL'!O63)</f>
        <v/>
      </c>
      <c r="P21" s="8">
        <f>IF(P13="","",P13*'01_CONTROL'!P63)</f>
        <v/>
      </c>
    </row>
    <row r="22" ht="16" customHeight="1">
      <c r="B22" s="15" t="inlineStr">
        <is>
          <t>Unlevered FCF</t>
        </is>
      </c>
      <c r="C22" s="35" t="inlineStr">
        <is>
          <t>m</t>
        </is>
      </c>
      <c r="F22" s="8">
        <f>IF(F18="","",F18+F15-F21-F20)</f>
        <v/>
      </c>
      <c r="G22" s="8">
        <f>IF(G18="","",G18+G15-G21-G20)</f>
        <v/>
      </c>
      <c r="H22" s="8">
        <f>IF(H18="","",H18+H15-H21-H20)</f>
        <v/>
      </c>
      <c r="I22" s="8">
        <f>IF(I18="","",I18+I15-I21-I20)</f>
        <v/>
      </c>
      <c r="J22" s="8">
        <f>IF(J18="","",J18+J15-J21-J20)</f>
        <v/>
      </c>
      <c r="K22" s="8">
        <f>IF(K18="","",K18+K15-K21-K20)</f>
        <v/>
      </c>
      <c r="L22" s="8">
        <f>IF(L18="","",L18+L15-L21-L20)</f>
        <v/>
      </c>
      <c r="M22" s="8">
        <f>IF(M18="","",M18+M15-M21-M20)</f>
        <v/>
      </c>
      <c r="N22" s="8">
        <f>IF(N18="","",N18+N15-N21-N20)</f>
        <v/>
      </c>
      <c r="O22" s="8">
        <f>IF(O18="","",O18+O15-O21-O20)</f>
        <v/>
      </c>
      <c r="P22" s="8">
        <f>IF(P18="","",P18+P15-P21-P20)</f>
        <v/>
      </c>
    </row>
    <row r="23" ht="16" customHeight="1"/>
    <row r="24" ht="16" customHeight="1"/>
    <row r="25" ht="20" customHeight="1">
      <c r="B25" s="5" t="inlineStr">
        <is>
          <t>UPSIDE FORECAST</t>
        </is>
      </c>
      <c r="C25" s="20" t="n"/>
      <c r="D25" s="20" t="n"/>
      <c r="E25" s="20" t="n"/>
    </row>
    <row r="26" ht="16" customHeight="1">
      <c r="B26" s="15" t="inlineStr">
        <is>
          <t>Revenue</t>
        </is>
      </c>
      <c r="C26" s="35" t="inlineStr">
        <is>
          <t>m</t>
        </is>
      </c>
      <c r="F26" s="8">
        <f>IF('02_COMPANY_INPUTS'!$F$30="","",'02_COMPANY_INPUTS'!$F$30)</f>
        <v/>
      </c>
      <c r="G26" s="8">
        <f>IF(OR('01_CONTROL'!G52&lt;&gt;1,F26=""),"",F26*(1+'01_CONTROL'!S60))</f>
        <v/>
      </c>
      <c r="H26" s="8">
        <f>IF(OR('01_CONTROL'!H52&lt;&gt;1,G26=""),"",G26*(1+'01_CONTROL'!T60))</f>
        <v/>
      </c>
      <c r="I26" s="8">
        <f>IF(OR('01_CONTROL'!I52&lt;&gt;1,H26=""),"",H26*(1+'01_CONTROL'!U60))</f>
        <v/>
      </c>
      <c r="J26" s="8">
        <f>IF(OR('01_CONTROL'!J52&lt;&gt;1,I26=""),"",I26*(1+'01_CONTROL'!V60))</f>
        <v/>
      </c>
      <c r="K26" s="8">
        <f>IF(OR('01_CONTROL'!K52&lt;&gt;1,J26=""),"",J26*(1+'01_CONTROL'!W60))</f>
        <v/>
      </c>
      <c r="L26" s="8">
        <f>IF(OR('01_CONTROL'!L52&lt;&gt;1,K26=""),"",K26*(1+'01_CONTROL'!X60))</f>
        <v/>
      </c>
      <c r="M26" s="8">
        <f>IF(OR('01_CONTROL'!M52&lt;&gt;1,L26=""),"",L26*(1+'01_CONTROL'!Y60))</f>
        <v/>
      </c>
      <c r="N26" s="8">
        <f>IF(OR('01_CONTROL'!N52&lt;&gt;1,M26=""),"",M26*(1+'01_CONTROL'!Z60))</f>
        <v/>
      </c>
      <c r="O26" s="8">
        <f>IF(OR('01_CONTROL'!O52&lt;&gt;1,N26=""),"",N26*(1+'01_CONTROL'!AA60))</f>
        <v/>
      </c>
      <c r="P26" s="8">
        <f>IF(OR('01_CONTROL'!P52&lt;&gt;1,O26=""),"",O26*(1+'01_CONTROL'!AB60))</f>
        <v/>
      </c>
    </row>
    <row r="27" ht="16" customHeight="1">
      <c r="B27" s="15" t="inlineStr">
        <is>
          <t>EBITDA</t>
        </is>
      </c>
      <c r="C27" s="35" t="inlineStr">
        <is>
          <t>m</t>
        </is>
      </c>
      <c r="F27" s="8">
        <f>IF('02_COMPANY_INPUTS'!$F$31="","",'02_COMPANY_INPUTS'!$F$31)</f>
        <v/>
      </c>
      <c r="G27" s="8">
        <f>IF(G26="","",G26*'01_CONTROL'!S61)</f>
        <v/>
      </c>
      <c r="H27" s="8">
        <f>IF(H26="","",H26*'01_CONTROL'!T61)</f>
        <v/>
      </c>
      <c r="I27" s="8">
        <f>IF(I26="","",I26*'01_CONTROL'!U61)</f>
        <v/>
      </c>
      <c r="J27" s="8">
        <f>IF(J26="","",J26*'01_CONTROL'!V61)</f>
        <v/>
      </c>
      <c r="K27" s="8">
        <f>IF(K26="","",K26*'01_CONTROL'!W61)</f>
        <v/>
      </c>
      <c r="L27" s="8">
        <f>IF(L26="","",L26*'01_CONTROL'!X61)</f>
        <v/>
      </c>
      <c r="M27" s="8">
        <f>IF(M26="","",M26*'01_CONTROL'!Y61)</f>
        <v/>
      </c>
      <c r="N27" s="8">
        <f>IF(N26="","",N26*'01_CONTROL'!Z61)</f>
        <v/>
      </c>
      <c r="O27" s="8">
        <f>IF(O26="","",O26*'01_CONTROL'!AA61)</f>
        <v/>
      </c>
      <c r="P27" s="8">
        <f>IF(P26="","",P26*'01_CONTROL'!AB61)</f>
        <v/>
      </c>
    </row>
    <row r="28" ht="16" customHeight="1">
      <c r="B28" s="15" t="inlineStr">
        <is>
          <t>D&amp;A</t>
        </is>
      </c>
      <c r="C28" s="35" t="inlineStr">
        <is>
          <t>m</t>
        </is>
      </c>
      <c r="F28" s="8">
        <f>IF('02_COMPANY_INPUTS'!$F$33="","",'02_COMPANY_INPUTS'!$F$33)</f>
        <v/>
      </c>
      <c r="G28" s="8">
        <f>IF(G26="","",G26*'01_CONTROL'!S62)</f>
        <v/>
      </c>
      <c r="H28" s="8">
        <f>IF(H26="","",H26*'01_CONTROL'!T62)</f>
        <v/>
      </c>
      <c r="I28" s="8">
        <f>IF(I26="","",I26*'01_CONTROL'!U62)</f>
        <v/>
      </c>
      <c r="J28" s="8">
        <f>IF(J26="","",J26*'01_CONTROL'!V62)</f>
        <v/>
      </c>
      <c r="K28" s="8">
        <f>IF(K26="","",K26*'01_CONTROL'!W62)</f>
        <v/>
      </c>
      <c r="L28" s="8">
        <f>IF(L26="","",L26*'01_CONTROL'!X62)</f>
        <v/>
      </c>
      <c r="M28" s="8">
        <f>IF(M26="","",M26*'01_CONTROL'!Y62)</f>
        <v/>
      </c>
      <c r="N28" s="8">
        <f>IF(N26="","",N26*'01_CONTROL'!Z62)</f>
        <v/>
      </c>
      <c r="O28" s="8">
        <f>IF(O26="","",O26*'01_CONTROL'!AA62)</f>
        <v/>
      </c>
      <c r="P28" s="8">
        <f>IF(P26="","",P26*'01_CONTROL'!AB62)</f>
        <v/>
      </c>
    </row>
    <row r="29" ht="16" customHeight="1">
      <c r="B29" s="15" t="inlineStr">
        <is>
          <t>EBIT</t>
        </is>
      </c>
      <c r="C29" s="35" t="inlineStr">
        <is>
          <t>m</t>
        </is>
      </c>
      <c r="F29" s="8">
        <f>IF(F27="","",F27-F28)</f>
        <v/>
      </c>
      <c r="G29" s="8">
        <f>IF(G27="","",G27-G28)</f>
        <v/>
      </c>
      <c r="H29" s="8">
        <f>IF(H27="","",H27-H28)</f>
        <v/>
      </c>
      <c r="I29" s="8">
        <f>IF(I27="","",I27-I28)</f>
        <v/>
      </c>
      <c r="J29" s="8">
        <f>IF(J27="","",J27-J28)</f>
        <v/>
      </c>
      <c r="K29" s="8">
        <f>IF(K27="","",K27-K28)</f>
        <v/>
      </c>
      <c r="L29" s="8">
        <f>IF(L27="","",L27-L28)</f>
        <v/>
      </c>
      <c r="M29" s="8">
        <f>IF(M27="","",M27-M28)</f>
        <v/>
      </c>
      <c r="N29" s="8">
        <f>IF(N27="","",N27-N28)</f>
        <v/>
      </c>
      <c r="O29" s="8">
        <f>IF(O27="","",O27-O28)</f>
        <v/>
      </c>
      <c r="P29" s="8">
        <f>IF(P27="","",P27-P28)</f>
        <v/>
      </c>
    </row>
    <row r="30" ht="16" customHeight="1">
      <c r="B30" s="15" t="inlineStr">
        <is>
          <t>Taxes on EBIT</t>
        </is>
      </c>
      <c r="C30" s="35" t="inlineStr">
        <is>
          <t>m</t>
        </is>
      </c>
      <c r="F30" s="8">
        <f>IF(F29="","",MAX(0,F29)*'01_CONTROL'!$F$24)</f>
        <v/>
      </c>
      <c r="G30" s="8">
        <f>IF(G29="","",MAX(0,G29)*'01_CONTROL'!$F$24)</f>
        <v/>
      </c>
      <c r="H30" s="8">
        <f>IF(H29="","",MAX(0,H29)*'01_CONTROL'!$F$24)</f>
        <v/>
      </c>
      <c r="I30" s="8">
        <f>IF(I29="","",MAX(0,I29)*'01_CONTROL'!$F$24)</f>
        <v/>
      </c>
      <c r="J30" s="8">
        <f>IF(J29="","",MAX(0,J29)*'01_CONTROL'!$F$24)</f>
        <v/>
      </c>
      <c r="K30" s="8">
        <f>IF(K29="","",MAX(0,K29)*'01_CONTROL'!$F$24)</f>
        <v/>
      </c>
      <c r="L30" s="8">
        <f>IF(L29="","",MAX(0,L29)*'01_CONTROL'!$F$24)</f>
        <v/>
      </c>
      <c r="M30" s="8">
        <f>IF(M29="","",MAX(0,M29)*'01_CONTROL'!$F$24)</f>
        <v/>
      </c>
      <c r="N30" s="8">
        <f>IF(N29="","",MAX(0,N29)*'01_CONTROL'!$F$24)</f>
        <v/>
      </c>
      <c r="O30" s="8">
        <f>IF(O29="","",MAX(0,O29)*'01_CONTROL'!$F$24)</f>
        <v/>
      </c>
      <c r="P30" s="8">
        <f>IF(P29="","",MAX(0,P29)*'01_CONTROL'!$F$24)</f>
        <v/>
      </c>
    </row>
    <row r="31" ht="16" customHeight="1">
      <c r="B31" s="15" t="inlineStr">
        <is>
          <t>NOPAT</t>
        </is>
      </c>
      <c r="C31" s="35" t="inlineStr">
        <is>
          <t>m</t>
        </is>
      </c>
      <c r="F31" s="8">
        <f>IF(F29="","",F29*(1-'01_CONTROL'!$F$24))</f>
        <v/>
      </c>
      <c r="G31" s="8">
        <f>IF(G29="","",G29*(1-'01_CONTROL'!$F$24))</f>
        <v/>
      </c>
      <c r="H31" s="8">
        <f>IF(H29="","",H29*(1-'01_CONTROL'!$F$24))</f>
        <v/>
      </c>
      <c r="I31" s="8">
        <f>IF(I29="","",I29*(1-'01_CONTROL'!$F$24))</f>
        <v/>
      </c>
      <c r="J31" s="8">
        <f>IF(J29="","",J29*(1-'01_CONTROL'!$F$24))</f>
        <v/>
      </c>
      <c r="K31" s="8">
        <f>IF(K29="","",K29*(1-'01_CONTROL'!$F$24))</f>
        <v/>
      </c>
      <c r="L31" s="8">
        <f>IF(L29="","",L29*(1-'01_CONTROL'!$F$24))</f>
        <v/>
      </c>
      <c r="M31" s="8">
        <f>IF(M29="","",M29*(1-'01_CONTROL'!$F$24))</f>
        <v/>
      </c>
      <c r="N31" s="8">
        <f>IF(N29="","",N29*(1-'01_CONTROL'!$F$24))</f>
        <v/>
      </c>
      <c r="O31" s="8">
        <f>IF(O29="","",O29*(1-'01_CONTROL'!$F$24))</f>
        <v/>
      </c>
      <c r="P31" s="8">
        <f>IF(P29="","",P29*(1-'01_CONTROL'!$F$24))</f>
        <v/>
      </c>
    </row>
    <row r="32" ht="16" customHeight="1">
      <c r="B32" s="15" t="inlineStr">
        <is>
          <t>Net working capital</t>
        </is>
      </c>
      <c r="C32" s="35" t="inlineStr">
        <is>
          <t>m</t>
        </is>
      </c>
      <c r="F32" s="8">
        <f>IF('02_COMPANY_INPUTS'!$F$35="","",'02_COMPANY_INPUTS'!$F$35)</f>
        <v/>
      </c>
      <c r="G32" s="8">
        <f>IF(G26="","",G26*'01_CONTROL'!S64)</f>
        <v/>
      </c>
      <c r="H32" s="8">
        <f>IF(H26="","",H26*'01_CONTROL'!T64)</f>
        <v/>
      </c>
      <c r="I32" s="8">
        <f>IF(I26="","",I26*'01_CONTROL'!U64)</f>
        <v/>
      </c>
      <c r="J32" s="8">
        <f>IF(J26="","",J26*'01_CONTROL'!V64)</f>
        <v/>
      </c>
      <c r="K32" s="8">
        <f>IF(K26="","",K26*'01_CONTROL'!W64)</f>
        <v/>
      </c>
      <c r="L32" s="8">
        <f>IF(L26="","",L26*'01_CONTROL'!X64)</f>
        <v/>
      </c>
      <c r="M32" s="8">
        <f>IF(M26="","",M26*'01_CONTROL'!Y64)</f>
        <v/>
      </c>
      <c r="N32" s="8">
        <f>IF(N26="","",N26*'01_CONTROL'!Z64)</f>
        <v/>
      </c>
      <c r="O32" s="8">
        <f>IF(O26="","",O26*'01_CONTROL'!AA64)</f>
        <v/>
      </c>
      <c r="P32" s="8">
        <f>IF(P26="","",P26*'01_CONTROL'!AB64)</f>
        <v/>
      </c>
    </row>
    <row r="33" ht="16" customHeight="1">
      <c r="B33" s="15" t="inlineStr">
        <is>
          <t>Change in NWC</t>
        </is>
      </c>
      <c r="C33" s="35" t="inlineStr">
        <is>
          <t>m</t>
        </is>
      </c>
      <c r="F33" s="8">
        <f>""</f>
        <v/>
      </c>
      <c r="G33" s="8">
        <f>IF(G32="","",G32-F32)</f>
        <v/>
      </c>
      <c r="H33" s="8">
        <f>IF(H32="","",H32-G32)</f>
        <v/>
      </c>
      <c r="I33" s="8">
        <f>IF(I32="","",I32-H32)</f>
        <v/>
      </c>
      <c r="J33" s="8">
        <f>IF(J32="","",J32-I32)</f>
        <v/>
      </c>
      <c r="K33" s="8">
        <f>IF(K32="","",K32-J32)</f>
        <v/>
      </c>
      <c r="L33" s="8">
        <f>IF(L32="","",L32-K32)</f>
        <v/>
      </c>
      <c r="M33" s="8">
        <f>IF(M32="","",M32-L32)</f>
        <v/>
      </c>
      <c r="N33" s="8">
        <f>IF(N32="","",N32-M32)</f>
        <v/>
      </c>
      <c r="O33" s="8">
        <f>IF(O32="","",O32-N32)</f>
        <v/>
      </c>
      <c r="P33" s="8">
        <f>IF(P32="","",P32-O32)</f>
        <v/>
      </c>
    </row>
    <row r="34" ht="16" customHeight="1">
      <c r="B34" s="15" t="inlineStr">
        <is>
          <t>Capex</t>
        </is>
      </c>
      <c r="C34" s="35" t="inlineStr">
        <is>
          <t>m</t>
        </is>
      </c>
      <c r="F34" s="8">
        <f>IF('02_COMPANY_INPUTS'!$F$34="","",'02_COMPANY_INPUTS'!$F$34)</f>
        <v/>
      </c>
      <c r="G34" s="8">
        <f>IF(G26="","",G26*'01_CONTROL'!S63)</f>
        <v/>
      </c>
      <c r="H34" s="8">
        <f>IF(H26="","",H26*'01_CONTROL'!T63)</f>
        <v/>
      </c>
      <c r="I34" s="8">
        <f>IF(I26="","",I26*'01_CONTROL'!U63)</f>
        <v/>
      </c>
      <c r="J34" s="8">
        <f>IF(J26="","",J26*'01_CONTROL'!V63)</f>
        <v/>
      </c>
      <c r="K34" s="8">
        <f>IF(K26="","",K26*'01_CONTROL'!W63)</f>
        <v/>
      </c>
      <c r="L34" s="8">
        <f>IF(L26="","",L26*'01_CONTROL'!X63)</f>
        <v/>
      </c>
      <c r="M34" s="8">
        <f>IF(M26="","",M26*'01_CONTROL'!Y63)</f>
        <v/>
      </c>
      <c r="N34" s="8">
        <f>IF(N26="","",N26*'01_CONTROL'!Z63)</f>
        <v/>
      </c>
      <c r="O34" s="8">
        <f>IF(O26="","",O26*'01_CONTROL'!AA63)</f>
        <v/>
      </c>
      <c r="P34" s="8">
        <f>IF(P26="","",P26*'01_CONTROL'!AB63)</f>
        <v/>
      </c>
    </row>
    <row r="35" ht="16" customHeight="1">
      <c r="B35" s="15" t="inlineStr">
        <is>
          <t>Unlevered FCF</t>
        </is>
      </c>
      <c r="C35" s="35" t="inlineStr">
        <is>
          <t>m</t>
        </is>
      </c>
      <c r="F35" s="8">
        <f>IF(F31="","",F31+F28-F34-F33)</f>
        <v/>
      </c>
      <c r="G35" s="8">
        <f>IF(G31="","",G31+G28-G34-G33)</f>
        <v/>
      </c>
      <c r="H35" s="8">
        <f>IF(H31="","",H31+H28-H34-H33)</f>
        <v/>
      </c>
      <c r="I35" s="8">
        <f>IF(I31="","",I31+I28-I34-I33)</f>
        <v/>
      </c>
      <c r="J35" s="8">
        <f>IF(J31="","",J31+J28-J34-J33)</f>
        <v/>
      </c>
      <c r="K35" s="8">
        <f>IF(K31="","",K31+K28-K34-K33)</f>
        <v/>
      </c>
      <c r="L35" s="8">
        <f>IF(L31="","",L31+L28-L34-L33)</f>
        <v/>
      </c>
      <c r="M35" s="8">
        <f>IF(M31="","",M31+M28-M34-M33)</f>
        <v/>
      </c>
      <c r="N35" s="8">
        <f>IF(N31="","",N31+N28-N34-N33)</f>
        <v/>
      </c>
      <c r="O35" s="8">
        <f>IF(O31="","",O31+O28-O34-O33)</f>
        <v/>
      </c>
      <c r="P35" s="8">
        <f>IF(P31="","",P31+P28-P34-P33)</f>
        <v/>
      </c>
    </row>
    <row r="36" ht="16" customHeight="1"/>
    <row r="37" ht="16" customHeight="1"/>
    <row r="38" ht="20" customHeight="1">
      <c r="B38" s="5" t="inlineStr">
        <is>
          <t>DOWNSIDE FORECAST</t>
        </is>
      </c>
      <c r="C38" s="20" t="n"/>
      <c r="D38" s="20" t="n"/>
      <c r="E38" s="20" t="n"/>
    </row>
    <row r="39" ht="16" customHeight="1">
      <c r="B39" s="15" t="inlineStr">
        <is>
          <t>Revenue</t>
        </is>
      </c>
      <c r="C39" s="35" t="inlineStr">
        <is>
          <t>m</t>
        </is>
      </c>
      <c r="F39" s="8">
        <f>IF('02_COMPANY_INPUTS'!$F$30="","",'02_COMPANY_INPUTS'!$F$30)</f>
        <v/>
      </c>
      <c r="G39" s="8">
        <f>IF(OR('01_CONTROL'!G52&lt;&gt;1,F39=""),"",F39*(1+'01_CONTROL'!AE60))</f>
        <v/>
      </c>
      <c r="H39" s="8">
        <f>IF(OR('01_CONTROL'!H52&lt;&gt;1,G39=""),"",G39*(1+'01_CONTROL'!AF60))</f>
        <v/>
      </c>
      <c r="I39" s="8">
        <f>IF(OR('01_CONTROL'!I52&lt;&gt;1,H39=""),"",H39*(1+'01_CONTROL'!AG60))</f>
        <v/>
      </c>
      <c r="J39" s="8">
        <f>IF(OR('01_CONTROL'!J52&lt;&gt;1,I39=""),"",I39*(1+'01_CONTROL'!AH60))</f>
        <v/>
      </c>
      <c r="K39" s="8">
        <f>IF(OR('01_CONTROL'!K52&lt;&gt;1,J39=""),"",J39*(1+'01_CONTROL'!AI60))</f>
        <v/>
      </c>
      <c r="L39" s="8">
        <f>IF(OR('01_CONTROL'!L52&lt;&gt;1,K39=""),"",K39*(1+'01_CONTROL'!AJ60))</f>
        <v/>
      </c>
      <c r="M39" s="8">
        <f>IF(OR('01_CONTROL'!M52&lt;&gt;1,L39=""),"",L39*(1+'01_CONTROL'!AK60))</f>
        <v/>
      </c>
      <c r="N39" s="8">
        <f>IF(OR('01_CONTROL'!N52&lt;&gt;1,M39=""),"",M39*(1+'01_CONTROL'!AL60))</f>
        <v/>
      </c>
      <c r="O39" s="8">
        <f>IF(OR('01_CONTROL'!O52&lt;&gt;1,N39=""),"",N39*(1+'01_CONTROL'!AM60))</f>
        <v/>
      </c>
      <c r="P39" s="8">
        <f>IF(OR('01_CONTROL'!P52&lt;&gt;1,O39=""),"",O39*(1+'01_CONTROL'!AN60))</f>
        <v/>
      </c>
    </row>
    <row r="40" ht="16" customHeight="1">
      <c r="B40" s="15" t="inlineStr">
        <is>
          <t>EBITDA</t>
        </is>
      </c>
      <c r="C40" s="35" t="inlineStr">
        <is>
          <t>m</t>
        </is>
      </c>
      <c r="F40" s="8">
        <f>IF('02_COMPANY_INPUTS'!$F$31="","",'02_COMPANY_INPUTS'!$F$31)</f>
        <v/>
      </c>
      <c r="G40" s="8">
        <f>IF(G39="","",G39*'01_CONTROL'!AE61)</f>
        <v/>
      </c>
      <c r="H40" s="8">
        <f>IF(H39="","",H39*'01_CONTROL'!AF61)</f>
        <v/>
      </c>
      <c r="I40" s="8">
        <f>IF(I39="","",I39*'01_CONTROL'!AG61)</f>
        <v/>
      </c>
      <c r="J40" s="8">
        <f>IF(J39="","",J39*'01_CONTROL'!AH61)</f>
        <v/>
      </c>
      <c r="K40" s="8">
        <f>IF(K39="","",K39*'01_CONTROL'!AI61)</f>
        <v/>
      </c>
      <c r="L40" s="8">
        <f>IF(L39="","",L39*'01_CONTROL'!AJ61)</f>
        <v/>
      </c>
      <c r="M40" s="8">
        <f>IF(M39="","",M39*'01_CONTROL'!AK61)</f>
        <v/>
      </c>
      <c r="N40" s="8">
        <f>IF(N39="","",N39*'01_CONTROL'!AL61)</f>
        <v/>
      </c>
      <c r="O40" s="8">
        <f>IF(O39="","",O39*'01_CONTROL'!AM61)</f>
        <v/>
      </c>
      <c r="P40" s="8">
        <f>IF(P39="","",P39*'01_CONTROL'!AN61)</f>
        <v/>
      </c>
    </row>
    <row r="41" ht="16" customHeight="1">
      <c r="B41" s="15" t="inlineStr">
        <is>
          <t>D&amp;A</t>
        </is>
      </c>
      <c r="C41" s="35" t="inlineStr">
        <is>
          <t>m</t>
        </is>
      </c>
      <c r="F41" s="8">
        <f>IF('02_COMPANY_INPUTS'!$F$33="","",'02_COMPANY_INPUTS'!$F$33)</f>
        <v/>
      </c>
      <c r="G41" s="8">
        <f>IF(G39="","",G39*'01_CONTROL'!AE62)</f>
        <v/>
      </c>
      <c r="H41" s="8">
        <f>IF(H39="","",H39*'01_CONTROL'!AF62)</f>
        <v/>
      </c>
      <c r="I41" s="8">
        <f>IF(I39="","",I39*'01_CONTROL'!AG62)</f>
        <v/>
      </c>
      <c r="J41" s="8">
        <f>IF(J39="","",J39*'01_CONTROL'!AH62)</f>
        <v/>
      </c>
      <c r="K41" s="8">
        <f>IF(K39="","",K39*'01_CONTROL'!AI62)</f>
        <v/>
      </c>
      <c r="L41" s="8">
        <f>IF(L39="","",L39*'01_CONTROL'!AJ62)</f>
        <v/>
      </c>
      <c r="M41" s="8">
        <f>IF(M39="","",M39*'01_CONTROL'!AK62)</f>
        <v/>
      </c>
      <c r="N41" s="8">
        <f>IF(N39="","",N39*'01_CONTROL'!AL62)</f>
        <v/>
      </c>
      <c r="O41" s="8">
        <f>IF(O39="","",O39*'01_CONTROL'!AM62)</f>
        <v/>
      </c>
      <c r="P41" s="8">
        <f>IF(P39="","",P39*'01_CONTROL'!AN62)</f>
        <v/>
      </c>
    </row>
    <row r="42" ht="16" customHeight="1">
      <c r="B42" s="15" t="inlineStr">
        <is>
          <t>EBIT</t>
        </is>
      </c>
      <c r="C42" s="35" t="inlineStr">
        <is>
          <t>m</t>
        </is>
      </c>
      <c r="F42" s="8">
        <f>IF(F40="","",F40-F41)</f>
        <v/>
      </c>
      <c r="G42" s="8">
        <f>IF(G40="","",G40-G41)</f>
        <v/>
      </c>
      <c r="H42" s="8">
        <f>IF(H40="","",H40-H41)</f>
        <v/>
      </c>
      <c r="I42" s="8">
        <f>IF(I40="","",I40-I41)</f>
        <v/>
      </c>
      <c r="J42" s="8">
        <f>IF(J40="","",J40-J41)</f>
        <v/>
      </c>
      <c r="K42" s="8">
        <f>IF(K40="","",K40-K41)</f>
        <v/>
      </c>
      <c r="L42" s="8">
        <f>IF(L40="","",L40-L41)</f>
        <v/>
      </c>
      <c r="M42" s="8">
        <f>IF(M40="","",M40-M41)</f>
        <v/>
      </c>
      <c r="N42" s="8">
        <f>IF(N40="","",N40-N41)</f>
        <v/>
      </c>
      <c r="O42" s="8">
        <f>IF(O40="","",O40-O41)</f>
        <v/>
      </c>
      <c r="P42" s="8">
        <f>IF(P40="","",P40-P41)</f>
        <v/>
      </c>
    </row>
    <row r="43" ht="16" customHeight="1">
      <c r="B43" s="15" t="inlineStr">
        <is>
          <t>Taxes on EBIT</t>
        </is>
      </c>
      <c r="C43" s="35" t="inlineStr">
        <is>
          <t>m</t>
        </is>
      </c>
      <c r="F43" s="8">
        <f>IF(F42="","",MAX(0,F42)*'01_CONTROL'!$F$24)</f>
        <v/>
      </c>
      <c r="G43" s="8">
        <f>IF(G42="","",MAX(0,G42)*'01_CONTROL'!$F$24)</f>
        <v/>
      </c>
      <c r="H43" s="8">
        <f>IF(H42="","",MAX(0,H42)*'01_CONTROL'!$F$24)</f>
        <v/>
      </c>
      <c r="I43" s="8">
        <f>IF(I42="","",MAX(0,I42)*'01_CONTROL'!$F$24)</f>
        <v/>
      </c>
      <c r="J43" s="8">
        <f>IF(J42="","",MAX(0,J42)*'01_CONTROL'!$F$24)</f>
        <v/>
      </c>
      <c r="K43" s="8">
        <f>IF(K42="","",MAX(0,K42)*'01_CONTROL'!$F$24)</f>
        <v/>
      </c>
      <c r="L43" s="8">
        <f>IF(L42="","",MAX(0,L42)*'01_CONTROL'!$F$24)</f>
        <v/>
      </c>
      <c r="M43" s="8">
        <f>IF(M42="","",MAX(0,M42)*'01_CONTROL'!$F$24)</f>
        <v/>
      </c>
      <c r="N43" s="8">
        <f>IF(N42="","",MAX(0,N42)*'01_CONTROL'!$F$24)</f>
        <v/>
      </c>
      <c r="O43" s="8">
        <f>IF(O42="","",MAX(0,O42)*'01_CONTROL'!$F$24)</f>
        <v/>
      </c>
      <c r="P43" s="8">
        <f>IF(P42="","",MAX(0,P42)*'01_CONTROL'!$F$24)</f>
        <v/>
      </c>
    </row>
    <row r="44" ht="16" customHeight="1">
      <c r="B44" s="15" t="inlineStr">
        <is>
          <t>NOPAT</t>
        </is>
      </c>
      <c r="C44" s="35" t="inlineStr">
        <is>
          <t>m</t>
        </is>
      </c>
      <c r="F44" s="8">
        <f>IF(F42="","",F42*(1-'01_CONTROL'!$F$24))</f>
        <v/>
      </c>
      <c r="G44" s="8">
        <f>IF(G42="","",G42*(1-'01_CONTROL'!$F$24))</f>
        <v/>
      </c>
      <c r="H44" s="8">
        <f>IF(H42="","",H42*(1-'01_CONTROL'!$F$24))</f>
        <v/>
      </c>
      <c r="I44" s="8">
        <f>IF(I42="","",I42*(1-'01_CONTROL'!$F$24))</f>
        <v/>
      </c>
      <c r="J44" s="8">
        <f>IF(J42="","",J42*(1-'01_CONTROL'!$F$24))</f>
        <v/>
      </c>
      <c r="K44" s="8">
        <f>IF(K42="","",K42*(1-'01_CONTROL'!$F$24))</f>
        <v/>
      </c>
      <c r="L44" s="8">
        <f>IF(L42="","",L42*(1-'01_CONTROL'!$F$24))</f>
        <v/>
      </c>
      <c r="M44" s="8">
        <f>IF(M42="","",M42*(1-'01_CONTROL'!$F$24))</f>
        <v/>
      </c>
      <c r="N44" s="8">
        <f>IF(N42="","",N42*(1-'01_CONTROL'!$F$24))</f>
        <v/>
      </c>
      <c r="O44" s="8">
        <f>IF(O42="","",O42*(1-'01_CONTROL'!$F$24))</f>
        <v/>
      </c>
      <c r="P44" s="8">
        <f>IF(P42="","",P42*(1-'01_CONTROL'!$F$24))</f>
        <v/>
      </c>
    </row>
    <row r="45" ht="16" customHeight="1">
      <c r="B45" s="15" t="inlineStr">
        <is>
          <t>Net working capital</t>
        </is>
      </c>
      <c r="C45" s="35" t="inlineStr">
        <is>
          <t>m</t>
        </is>
      </c>
      <c r="F45" s="8">
        <f>IF('02_COMPANY_INPUTS'!$F$35="","",'02_COMPANY_INPUTS'!$F$35)</f>
        <v/>
      </c>
      <c r="G45" s="8">
        <f>IF(G39="","",G39*'01_CONTROL'!AE64)</f>
        <v/>
      </c>
      <c r="H45" s="8">
        <f>IF(H39="","",H39*'01_CONTROL'!AF64)</f>
        <v/>
      </c>
      <c r="I45" s="8">
        <f>IF(I39="","",I39*'01_CONTROL'!AG64)</f>
        <v/>
      </c>
      <c r="J45" s="8">
        <f>IF(J39="","",J39*'01_CONTROL'!AH64)</f>
        <v/>
      </c>
      <c r="K45" s="8">
        <f>IF(K39="","",K39*'01_CONTROL'!AI64)</f>
        <v/>
      </c>
      <c r="L45" s="8">
        <f>IF(L39="","",L39*'01_CONTROL'!AJ64)</f>
        <v/>
      </c>
      <c r="M45" s="8">
        <f>IF(M39="","",M39*'01_CONTROL'!AK64)</f>
        <v/>
      </c>
      <c r="N45" s="8">
        <f>IF(N39="","",N39*'01_CONTROL'!AL64)</f>
        <v/>
      </c>
      <c r="O45" s="8">
        <f>IF(O39="","",O39*'01_CONTROL'!AM64)</f>
        <v/>
      </c>
      <c r="P45" s="8">
        <f>IF(P39="","",P39*'01_CONTROL'!AN64)</f>
        <v/>
      </c>
    </row>
    <row r="46" ht="16" customHeight="1">
      <c r="B46" s="15" t="inlineStr">
        <is>
          <t>Change in NWC</t>
        </is>
      </c>
      <c r="C46" s="35" t="inlineStr">
        <is>
          <t>m</t>
        </is>
      </c>
      <c r="F46" s="8">
        <f>""</f>
        <v/>
      </c>
      <c r="G46" s="8">
        <f>IF(G45="","",G45-F45)</f>
        <v/>
      </c>
      <c r="H46" s="8">
        <f>IF(H45="","",H45-G45)</f>
        <v/>
      </c>
      <c r="I46" s="8">
        <f>IF(I45="","",I45-H45)</f>
        <v/>
      </c>
      <c r="J46" s="8">
        <f>IF(J45="","",J45-I45)</f>
        <v/>
      </c>
      <c r="K46" s="8">
        <f>IF(K45="","",K45-J45)</f>
        <v/>
      </c>
      <c r="L46" s="8">
        <f>IF(L45="","",L45-K45)</f>
        <v/>
      </c>
      <c r="M46" s="8">
        <f>IF(M45="","",M45-L45)</f>
        <v/>
      </c>
      <c r="N46" s="8">
        <f>IF(N45="","",N45-M45)</f>
        <v/>
      </c>
      <c r="O46" s="8">
        <f>IF(O45="","",O45-N45)</f>
        <v/>
      </c>
      <c r="P46" s="8">
        <f>IF(P45="","",P45-O45)</f>
        <v/>
      </c>
    </row>
    <row r="47" ht="16" customHeight="1">
      <c r="B47" s="15" t="inlineStr">
        <is>
          <t>Capex</t>
        </is>
      </c>
      <c r="C47" s="35" t="inlineStr">
        <is>
          <t>m</t>
        </is>
      </c>
      <c r="F47" s="8">
        <f>IF('02_COMPANY_INPUTS'!$F$34="","",'02_COMPANY_INPUTS'!$F$34)</f>
        <v/>
      </c>
      <c r="G47" s="8">
        <f>IF(G39="","",G39*'01_CONTROL'!AE63)</f>
        <v/>
      </c>
      <c r="H47" s="8">
        <f>IF(H39="","",H39*'01_CONTROL'!AF63)</f>
        <v/>
      </c>
      <c r="I47" s="8">
        <f>IF(I39="","",I39*'01_CONTROL'!AG63)</f>
        <v/>
      </c>
      <c r="J47" s="8">
        <f>IF(J39="","",J39*'01_CONTROL'!AH63)</f>
        <v/>
      </c>
      <c r="K47" s="8">
        <f>IF(K39="","",K39*'01_CONTROL'!AI63)</f>
        <v/>
      </c>
      <c r="L47" s="8">
        <f>IF(L39="","",L39*'01_CONTROL'!AJ63)</f>
        <v/>
      </c>
      <c r="M47" s="8">
        <f>IF(M39="","",M39*'01_CONTROL'!AK63)</f>
        <v/>
      </c>
      <c r="N47" s="8">
        <f>IF(N39="","",N39*'01_CONTROL'!AL63)</f>
        <v/>
      </c>
      <c r="O47" s="8">
        <f>IF(O39="","",O39*'01_CONTROL'!AM63)</f>
        <v/>
      </c>
      <c r="P47" s="8">
        <f>IF(P39="","",P39*'01_CONTROL'!AN63)</f>
        <v/>
      </c>
    </row>
    <row r="48" ht="16" customHeight="1">
      <c r="B48" s="15" t="inlineStr">
        <is>
          <t>Unlevered FCF</t>
        </is>
      </c>
      <c r="C48" s="35" t="inlineStr">
        <is>
          <t>m</t>
        </is>
      </c>
      <c r="F48" s="8">
        <f>IF(F44="","",F44+F41-F47-F46)</f>
        <v/>
      </c>
      <c r="G48" s="8">
        <f>IF(G44="","",G44+G41-G47-G46)</f>
        <v/>
      </c>
      <c r="H48" s="8">
        <f>IF(H44="","",H44+H41-H47-H46)</f>
        <v/>
      </c>
      <c r="I48" s="8">
        <f>IF(I44="","",I44+I41-I47-I46)</f>
        <v/>
      </c>
      <c r="J48" s="8">
        <f>IF(J44="","",J44+J41-J47-J46)</f>
        <v/>
      </c>
      <c r="K48" s="8">
        <f>IF(K44="","",K44+K41-K47-K46)</f>
        <v/>
      </c>
      <c r="L48" s="8">
        <f>IF(L44="","",L44+L41-L47-L46)</f>
        <v/>
      </c>
      <c r="M48" s="8">
        <f>IF(M44="","",M44+M41-M47-M46)</f>
        <v/>
      </c>
      <c r="N48" s="8">
        <f>IF(N44="","",N44+N41-N47-N46)</f>
        <v/>
      </c>
      <c r="O48" s="8">
        <f>IF(O44="","",O44+O41-O47-O46)</f>
        <v/>
      </c>
      <c r="P48" s="8">
        <f>IF(P44="","",P44+P41-P47-P46)</f>
        <v/>
      </c>
    </row>
    <row r="49" ht="16" customHeight="1"/>
    <row r="50" ht="20" customHeight="1">
      <c r="B50" s="5" t="inlineStr">
        <is>
          <t>SELECTED SCENARIO OUTPUTS (FOR COMPS + DCF BASE)</t>
        </is>
      </c>
      <c r="C50" s="20" t="n"/>
      <c r="D50" s="20" t="n"/>
      <c r="E50" s="20" t="n"/>
    </row>
    <row r="51" ht="16" customHeight="1">
      <c r="B51" s="15" t="inlineStr">
        <is>
          <t>Revenue</t>
        </is>
      </c>
      <c r="C51" t="inlineStr">
        <is>
          <t>m</t>
        </is>
      </c>
      <c r="F51" s="8">
        <f>CHOOSE('01_CONTROL'!$F$10,F13,F26,F39)</f>
        <v/>
      </c>
      <c r="G51" s="8">
        <f>CHOOSE('01_CONTROL'!$F$10,G13,G26,G39)</f>
        <v/>
      </c>
      <c r="H51" s="8">
        <f>CHOOSE('01_CONTROL'!$F$10,H13,H26,H39)</f>
        <v/>
      </c>
      <c r="I51" s="8">
        <f>CHOOSE('01_CONTROL'!$F$10,I13,I26,I39)</f>
        <v/>
      </c>
      <c r="J51" s="8">
        <f>CHOOSE('01_CONTROL'!$F$10,J13,J26,J39)</f>
        <v/>
      </c>
      <c r="K51" s="8">
        <f>CHOOSE('01_CONTROL'!$F$10,K13,K26,K39)</f>
        <v/>
      </c>
      <c r="L51" s="8">
        <f>CHOOSE('01_CONTROL'!$F$10,L13,L26,L39)</f>
        <v/>
      </c>
      <c r="M51" s="8">
        <f>CHOOSE('01_CONTROL'!$F$10,M13,M26,M39)</f>
        <v/>
      </c>
      <c r="N51" s="8">
        <f>CHOOSE('01_CONTROL'!$F$10,N13,N26,N39)</f>
        <v/>
      </c>
      <c r="O51" s="8">
        <f>CHOOSE('01_CONTROL'!$F$10,O13,O26,O39)</f>
        <v/>
      </c>
      <c r="P51" s="8">
        <f>CHOOSE('01_CONTROL'!$F$10,P13,P26,P39)</f>
        <v/>
      </c>
    </row>
    <row r="52" ht="16" customHeight="1">
      <c r="B52" s="15" t="inlineStr">
        <is>
          <t>EBITDA</t>
        </is>
      </c>
      <c r="C52" t="inlineStr">
        <is>
          <t>m</t>
        </is>
      </c>
      <c r="F52" s="8">
        <f>CHOOSE('01_CONTROL'!$F$10,F14,F27,F40)</f>
        <v/>
      </c>
      <c r="G52" s="8">
        <f>CHOOSE('01_CONTROL'!$F$10,G14,G27,G40)</f>
        <v/>
      </c>
      <c r="H52" s="8">
        <f>CHOOSE('01_CONTROL'!$F$10,H14,H27,H40)</f>
        <v/>
      </c>
      <c r="I52" s="8">
        <f>CHOOSE('01_CONTROL'!$F$10,I14,I27,I40)</f>
        <v/>
      </c>
      <c r="J52" s="8">
        <f>CHOOSE('01_CONTROL'!$F$10,J14,J27,J40)</f>
        <v/>
      </c>
      <c r="K52" s="8">
        <f>CHOOSE('01_CONTROL'!$F$10,K14,K27,K40)</f>
        <v/>
      </c>
      <c r="L52" s="8">
        <f>CHOOSE('01_CONTROL'!$F$10,L14,L27,L40)</f>
        <v/>
      </c>
      <c r="M52" s="8">
        <f>CHOOSE('01_CONTROL'!$F$10,M14,M27,M40)</f>
        <v/>
      </c>
      <c r="N52" s="8">
        <f>CHOOSE('01_CONTROL'!$F$10,N14,N27,N40)</f>
        <v/>
      </c>
      <c r="O52" s="8">
        <f>CHOOSE('01_CONTROL'!$F$10,O14,O27,O40)</f>
        <v/>
      </c>
      <c r="P52" s="8">
        <f>CHOOSE('01_CONTROL'!$F$10,P14,P27,P40)</f>
        <v/>
      </c>
    </row>
    <row r="53" ht="16" customHeight="1">
      <c r="B53" s="15" t="inlineStr">
        <is>
          <t>D&amp;A</t>
        </is>
      </c>
      <c r="C53" t="inlineStr">
        <is>
          <t>m</t>
        </is>
      </c>
      <c r="F53" s="8">
        <f>CHOOSE('01_CONTROL'!$F$10,F15,F28,F41)</f>
        <v/>
      </c>
      <c r="G53" s="8">
        <f>CHOOSE('01_CONTROL'!$F$10,G15,G28,G41)</f>
        <v/>
      </c>
      <c r="H53" s="8">
        <f>CHOOSE('01_CONTROL'!$F$10,H15,H28,H41)</f>
        <v/>
      </c>
      <c r="I53" s="8">
        <f>CHOOSE('01_CONTROL'!$F$10,I15,I28,I41)</f>
        <v/>
      </c>
      <c r="J53" s="8">
        <f>CHOOSE('01_CONTROL'!$F$10,J15,J28,J41)</f>
        <v/>
      </c>
      <c r="K53" s="8">
        <f>CHOOSE('01_CONTROL'!$F$10,K15,K28,K41)</f>
        <v/>
      </c>
      <c r="L53" s="8">
        <f>CHOOSE('01_CONTROL'!$F$10,L15,L28,L41)</f>
        <v/>
      </c>
      <c r="M53" s="8">
        <f>CHOOSE('01_CONTROL'!$F$10,M15,M28,M41)</f>
        <v/>
      </c>
      <c r="N53" s="8">
        <f>CHOOSE('01_CONTROL'!$F$10,N15,N28,N41)</f>
        <v/>
      </c>
      <c r="O53" s="8">
        <f>CHOOSE('01_CONTROL'!$F$10,O15,O28,O41)</f>
        <v/>
      </c>
      <c r="P53" s="8">
        <f>CHOOSE('01_CONTROL'!$F$10,P15,P28,P41)</f>
        <v/>
      </c>
    </row>
    <row r="54" ht="16" customHeight="1">
      <c r="B54" s="15" t="inlineStr">
        <is>
          <t>EBIT</t>
        </is>
      </c>
      <c r="C54" t="inlineStr">
        <is>
          <t>m</t>
        </is>
      </c>
      <c r="F54" s="8">
        <f>CHOOSE('01_CONTROL'!$F$10,F16,F29,F42)</f>
        <v/>
      </c>
      <c r="G54" s="8">
        <f>CHOOSE('01_CONTROL'!$F$10,G16,G29,G42)</f>
        <v/>
      </c>
      <c r="H54" s="8">
        <f>CHOOSE('01_CONTROL'!$F$10,H16,H29,H42)</f>
        <v/>
      </c>
      <c r="I54" s="8">
        <f>CHOOSE('01_CONTROL'!$F$10,I16,I29,I42)</f>
        <v/>
      </c>
      <c r="J54" s="8">
        <f>CHOOSE('01_CONTROL'!$F$10,J16,J29,J42)</f>
        <v/>
      </c>
      <c r="K54" s="8">
        <f>CHOOSE('01_CONTROL'!$F$10,K16,K29,K42)</f>
        <v/>
      </c>
      <c r="L54" s="8">
        <f>CHOOSE('01_CONTROL'!$F$10,L16,L29,L42)</f>
        <v/>
      </c>
      <c r="M54" s="8">
        <f>CHOOSE('01_CONTROL'!$F$10,M16,M29,M42)</f>
        <v/>
      </c>
      <c r="N54" s="8">
        <f>CHOOSE('01_CONTROL'!$F$10,N16,N29,N42)</f>
        <v/>
      </c>
      <c r="O54" s="8">
        <f>CHOOSE('01_CONTROL'!$F$10,O16,O29,O42)</f>
        <v/>
      </c>
      <c r="P54" s="8">
        <f>CHOOSE('01_CONTROL'!$F$10,P16,P29,P42)</f>
        <v/>
      </c>
    </row>
    <row r="55" ht="16" customHeight="1">
      <c r="B55" s="15" t="inlineStr">
        <is>
          <t>NOPAT</t>
        </is>
      </c>
      <c r="C55" t="inlineStr">
        <is>
          <t>m</t>
        </is>
      </c>
      <c r="F55" s="8">
        <f>CHOOSE('01_CONTROL'!$F$10,F18,F31,F44)</f>
        <v/>
      </c>
      <c r="G55" s="8">
        <f>CHOOSE('01_CONTROL'!$F$10,G18,G31,G44)</f>
        <v/>
      </c>
      <c r="H55" s="8">
        <f>CHOOSE('01_CONTROL'!$F$10,H18,H31,H44)</f>
        <v/>
      </c>
      <c r="I55" s="8">
        <f>CHOOSE('01_CONTROL'!$F$10,I18,I31,I44)</f>
        <v/>
      </c>
      <c r="J55" s="8">
        <f>CHOOSE('01_CONTROL'!$F$10,J18,J31,J44)</f>
        <v/>
      </c>
      <c r="K55" s="8">
        <f>CHOOSE('01_CONTROL'!$F$10,K18,K31,K44)</f>
        <v/>
      </c>
      <c r="L55" s="8">
        <f>CHOOSE('01_CONTROL'!$F$10,L18,L31,L44)</f>
        <v/>
      </c>
      <c r="M55" s="8">
        <f>CHOOSE('01_CONTROL'!$F$10,M18,M31,M44)</f>
        <v/>
      </c>
      <c r="N55" s="8">
        <f>CHOOSE('01_CONTROL'!$F$10,N18,N31,N44)</f>
        <v/>
      </c>
      <c r="O55" s="8">
        <f>CHOOSE('01_CONTROL'!$F$10,O18,O31,O44)</f>
        <v/>
      </c>
      <c r="P55" s="8">
        <f>CHOOSE('01_CONTROL'!$F$10,P18,P31,P44)</f>
        <v/>
      </c>
    </row>
    <row r="56" ht="16" customHeight="1">
      <c r="B56" s="15" t="inlineStr">
        <is>
          <t>Capex</t>
        </is>
      </c>
      <c r="C56" t="inlineStr">
        <is>
          <t>m</t>
        </is>
      </c>
      <c r="F56" s="8">
        <f>CHOOSE('01_CONTROL'!$F$10,F21,F34,F47)</f>
        <v/>
      </c>
      <c r="G56" s="8">
        <f>CHOOSE('01_CONTROL'!$F$10,G21,G34,G47)</f>
        <v/>
      </c>
      <c r="H56" s="8">
        <f>CHOOSE('01_CONTROL'!$F$10,H21,H34,H47)</f>
        <v/>
      </c>
      <c r="I56" s="8">
        <f>CHOOSE('01_CONTROL'!$F$10,I21,I34,I47)</f>
        <v/>
      </c>
      <c r="J56" s="8">
        <f>CHOOSE('01_CONTROL'!$F$10,J21,J34,J47)</f>
        <v/>
      </c>
      <c r="K56" s="8">
        <f>CHOOSE('01_CONTROL'!$F$10,K21,K34,K47)</f>
        <v/>
      </c>
      <c r="L56" s="8">
        <f>CHOOSE('01_CONTROL'!$F$10,L21,L34,L47)</f>
        <v/>
      </c>
      <c r="M56" s="8">
        <f>CHOOSE('01_CONTROL'!$F$10,M21,M34,M47)</f>
        <v/>
      </c>
      <c r="N56" s="8">
        <f>CHOOSE('01_CONTROL'!$F$10,N21,N34,N47)</f>
        <v/>
      </c>
      <c r="O56" s="8">
        <f>CHOOSE('01_CONTROL'!$F$10,O21,O34,O47)</f>
        <v/>
      </c>
      <c r="P56" s="8">
        <f>CHOOSE('01_CONTROL'!$F$10,P21,P34,P47)</f>
        <v/>
      </c>
    </row>
    <row r="57" ht="16" customHeight="1">
      <c r="B57" s="15" t="inlineStr">
        <is>
          <t>Change in NWC</t>
        </is>
      </c>
      <c r="C57" t="inlineStr">
        <is>
          <t>m</t>
        </is>
      </c>
      <c r="F57" s="8">
        <f>CHOOSE('01_CONTROL'!$F$10,F20,F33,F46)</f>
        <v/>
      </c>
      <c r="G57" s="8">
        <f>CHOOSE('01_CONTROL'!$F$10,G20,G33,G46)</f>
        <v/>
      </c>
      <c r="H57" s="8">
        <f>CHOOSE('01_CONTROL'!$F$10,H20,H33,H46)</f>
        <v/>
      </c>
      <c r="I57" s="8">
        <f>CHOOSE('01_CONTROL'!$F$10,I20,I33,I46)</f>
        <v/>
      </c>
      <c r="J57" s="8">
        <f>CHOOSE('01_CONTROL'!$F$10,J20,J33,J46)</f>
        <v/>
      </c>
      <c r="K57" s="8">
        <f>CHOOSE('01_CONTROL'!$F$10,K20,K33,K46)</f>
        <v/>
      </c>
      <c r="L57" s="8">
        <f>CHOOSE('01_CONTROL'!$F$10,L20,L33,L46)</f>
        <v/>
      </c>
      <c r="M57" s="8">
        <f>CHOOSE('01_CONTROL'!$F$10,M20,M33,M46)</f>
        <v/>
      </c>
      <c r="N57" s="8">
        <f>CHOOSE('01_CONTROL'!$F$10,N20,N33,N46)</f>
        <v/>
      </c>
      <c r="O57" s="8">
        <f>CHOOSE('01_CONTROL'!$F$10,O20,O33,O46)</f>
        <v/>
      </c>
      <c r="P57" s="8">
        <f>CHOOSE('01_CONTROL'!$F$10,P20,P33,P46)</f>
        <v/>
      </c>
    </row>
    <row r="58" ht="16" customHeight="1">
      <c r="B58" s="15" t="inlineStr">
        <is>
          <t>Unlevered FCF</t>
        </is>
      </c>
      <c r="C58" t="inlineStr">
        <is>
          <t>m</t>
        </is>
      </c>
      <c r="F58" s="8">
        <f>CHOOSE('01_CONTROL'!$F$10,F22,F35,F48)</f>
        <v/>
      </c>
      <c r="G58" s="8">
        <f>CHOOSE('01_CONTROL'!$F$10,G22,G35,G48)</f>
        <v/>
      </c>
      <c r="H58" s="8">
        <f>CHOOSE('01_CONTROL'!$F$10,H22,H35,H48)</f>
        <v/>
      </c>
      <c r="I58" s="8">
        <f>CHOOSE('01_CONTROL'!$F$10,I22,I35,I48)</f>
        <v/>
      </c>
      <c r="J58" s="8">
        <f>CHOOSE('01_CONTROL'!$F$10,J22,J35,J48)</f>
        <v/>
      </c>
      <c r="K58" s="8">
        <f>CHOOSE('01_CONTROL'!$F$10,K22,K35,K48)</f>
        <v/>
      </c>
      <c r="L58" s="8">
        <f>CHOOSE('01_CONTROL'!$F$10,L22,L35,L48)</f>
        <v/>
      </c>
      <c r="M58" s="8">
        <f>CHOOSE('01_CONTROL'!$F$10,M22,M35,M48)</f>
        <v/>
      </c>
      <c r="N58" s="8">
        <f>CHOOSE('01_CONTROL'!$F$10,N22,N35,N48)</f>
        <v/>
      </c>
      <c r="O58" s="8">
        <f>CHOOSE('01_CONTROL'!$F$10,O22,O35,O48)</f>
        <v/>
      </c>
      <c r="P58" s="8">
        <f>CHOOSE('01_CONTROL'!$F$10,P22,P35,P48)</f>
        <v/>
      </c>
    </row>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199"/>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05_TRADING_COMPS</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20" customHeight="1">
      <c r="B9" s="5" t="inlineStr">
        <is>
          <t>PEER SET AND MARKET DATA (USER INPUT)</t>
        </is>
      </c>
      <c r="C9" s="20" t="n"/>
      <c r="D9" s="20" t="n"/>
      <c r="E9" s="20" t="n"/>
    </row>
    <row r="10" ht="16" customHeight="1"/>
    <row r="11" ht="16" customHeight="1">
      <c r="B11" s="5" t="inlineStr">
        <is>
          <t>Company</t>
        </is>
      </c>
      <c r="C11" s="5" t="inlineStr">
        <is>
          <t>Ticker</t>
        </is>
      </c>
      <c r="D11" s="5" t="inlineStr">
        <is>
          <t>CCY</t>
        </is>
      </c>
      <c r="E11" s="50" t="inlineStr">
        <is>
          <t>Share price</t>
        </is>
      </c>
      <c r="F11" s="50" t="inlineStr">
        <is>
          <t>Shares (mm)</t>
        </is>
      </c>
      <c r="G11" s="50" t="inlineStr">
        <is>
          <t>Market cap</t>
        </is>
      </c>
      <c r="H11" s="50" t="inlineStr">
        <is>
          <t>Net debt</t>
        </is>
      </c>
      <c r="I11" s="50" t="inlineStr">
        <is>
          <t>EV</t>
        </is>
      </c>
      <c r="J11" s="50" t="inlineStr">
        <is>
          <t>LTM Rev</t>
        </is>
      </c>
      <c r="K11" s="50" t="inlineStr">
        <is>
          <t>LTM EBITDA</t>
        </is>
      </c>
      <c r="L11" s="50" t="inlineStr">
        <is>
          <t>LTM EBIT</t>
        </is>
      </c>
      <c r="M11" s="50" t="inlineStr">
        <is>
          <t>P/E (optional)</t>
        </is>
      </c>
      <c r="N11" s="50" t="inlineStr">
        <is>
          <t>EV/Rev</t>
        </is>
      </c>
      <c r="O11" s="50" t="inlineStr">
        <is>
          <t>EV/EBITDA</t>
        </is>
      </c>
      <c r="P11" s="50" t="inlineStr">
        <is>
          <t>EV/EBIT</t>
        </is>
      </c>
    </row>
    <row r="12" ht="16" customHeight="1">
      <c r="B12" s="16" t="n"/>
      <c r="C12" s="16" t="n"/>
      <c r="D12" s="16" t="n"/>
      <c r="E12" s="24" t="n"/>
      <c r="F12" s="24" t="n"/>
      <c r="G12" s="8">
        <f>IFERROR(E12*F12,"")</f>
        <v/>
      </c>
      <c r="H12" s="24" t="n"/>
      <c r="I12" s="8">
        <f>IFERROR(G12+H12,"")</f>
        <v/>
      </c>
      <c r="J12" s="24" t="n"/>
      <c r="K12" s="24" t="n"/>
      <c r="L12" s="24" t="n"/>
      <c r="M12" s="24" t="n"/>
      <c r="N12" s="8">
        <f>IFERROR(I12/J12,"")</f>
        <v/>
      </c>
      <c r="O12" s="8">
        <f>IFERROR(I12/K12,"")</f>
        <v/>
      </c>
      <c r="P12" s="8">
        <f>IFERROR(I12/L12,"")</f>
        <v/>
      </c>
    </row>
    <row r="13" ht="16" customHeight="1">
      <c r="B13" s="16" t="n"/>
      <c r="C13" s="16" t="n"/>
      <c r="D13" s="16" t="n"/>
      <c r="E13" s="24" t="n"/>
      <c r="F13" s="24" t="n"/>
      <c r="G13" s="8">
        <f>IFERROR(E13*F13,"")</f>
        <v/>
      </c>
      <c r="H13" s="24" t="n"/>
      <c r="I13" s="8">
        <f>IFERROR(G13+H13,"")</f>
        <v/>
      </c>
      <c r="J13" s="24" t="n"/>
      <c r="K13" s="24" t="n"/>
      <c r="L13" s="24" t="n"/>
      <c r="M13" s="24" t="n"/>
      <c r="N13" s="8">
        <f>IFERROR(I13/J13,"")</f>
        <v/>
      </c>
      <c r="O13" s="8">
        <f>IFERROR(I13/K13,"")</f>
        <v/>
      </c>
      <c r="P13" s="8">
        <f>IFERROR(I13/L13,"")</f>
        <v/>
      </c>
    </row>
    <row r="14" ht="16" customHeight="1">
      <c r="B14" s="16" t="n"/>
      <c r="C14" s="16" t="n"/>
      <c r="D14" s="16" t="n"/>
      <c r="E14" s="24" t="n"/>
      <c r="F14" s="24" t="n"/>
      <c r="G14" s="8">
        <f>IFERROR(E14*F14,"")</f>
        <v/>
      </c>
      <c r="H14" s="24" t="n"/>
      <c r="I14" s="8">
        <f>IFERROR(G14+H14,"")</f>
        <v/>
      </c>
      <c r="J14" s="24" t="n"/>
      <c r="K14" s="24" t="n"/>
      <c r="L14" s="24" t="n"/>
      <c r="M14" s="24" t="n"/>
      <c r="N14" s="8">
        <f>IFERROR(I14/J14,"")</f>
        <v/>
      </c>
      <c r="O14" s="8">
        <f>IFERROR(I14/K14,"")</f>
        <v/>
      </c>
      <c r="P14" s="8">
        <f>IFERROR(I14/L14,"")</f>
        <v/>
      </c>
    </row>
    <row r="15" ht="16" customHeight="1">
      <c r="B15" s="16" t="n"/>
      <c r="C15" s="16" t="n"/>
      <c r="D15" s="16" t="n"/>
      <c r="E15" s="24" t="n"/>
      <c r="F15" s="24" t="n"/>
      <c r="G15" s="8">
        <f>IFERROR(E15*F15,"")</f>
        <v/>
      </c>
      <c r="H15" s="24" t="n"/>
      <c r="I15" s="8">
        <f>IFERROR(G15+H15,"")</f>
        <v/>
      </c>
      <c r="J15" s="24" t="n"/>
      <c r="K15" s="24" t="n"/>
      <c r="L15" s="24" t="n"/>
      <c r="M15" s="24" t="n"/>
      <c r="N15" s="8">
        <f>IFERROR(I15/J15,"")</f>
        <v/>
      </c>
      <c r="O15" s="8">
        <f>IFERROR(I15/K15,"")</f>
        <v/>
      </c>
      <c r="P15" s="8">
        <f>IFERROR(I15/L15,"")</f>
        <v/>
      </c>
    </row>
    <row r="16" ht="16" customHeight="1">
      <c r="B16" s="16" t="n"/>
      <c r="C16" s="16" t="n"/>
      <c r="D16" s="16" t="n"/>
      <c r="E16" s="24" t="n"/>
      <c r="F16" s="24" t="n"/>
      <c r="G16" s="8">
        <f>IFERROR(E16*F16,"")</f>
        <v/>
      </c>
      <c r="H16" s="24" t="n"/>
      <c r="I16" s="8">
        <f>IFERROR(G16+H16,"")</f>
        <v/>
      </c>
      <c r="J16" s="24" t="n"/>
      <c r="K16" s="24" t="n"/>
      <c r="L16" s="24" t="n"/>
      <c r="M16" s="24" t="n"/>
      <c r="N16" s="8">
        <f>IFERROR(I16/J16,"")</f>
        <v/>
      </c>
      <c r="O16" s="8">
        <f>IFERROR(I16/K16,"")</f>
        <v/>
      </c>
      <c r="P16" s="8">
        <f>IFERROR(I16/L16,"")</f>
        <v/>
      </c>
    </row>
    <row r="17" ht="16" customHeight="1">
      <c r="B17" s="16" t="n"/>
      <c r="C17" s="16" t="n"/>
      <c r="D17" s="16" t="n"/>
      <c r="E17" s="24" t="n"/>
      <c r="F17" s="24" t="n"/>
      <c r="G17" s="8">
        <f>IFERROR(E17*F17,"")</f>
        <v/>
      </c>
      <c r="H17" s="24" t="n"/>
      <c r="I17" s="8">
        <f>IFERROR(G17+H17,"")</f>
        <v/>
      </c>
      <c r="J17" s="24" t="n"/>
      <c r="K17" s="24" t="n"/>
      <c r="L17" s="24" t="n"/>
      <c r="M17" s="24" t="n"/>
      <c r="N17" s="8">
        <f>IFERROR(I17/J17,"")</f>
        <v/>
      </c>
      <c r="O17" s="8">
        <f>IFERROR(I17/K17,"")</f>
        <v/>
      </c>
      <c r="P17" s="8">
        <f>IFERROR(I17/L17,"")</f>
        <v/>
      </c>
    </row>
    <row r="18" ht="16" customHeight="1">
      <c r="B18" s="16" t="n"/>
      <c r="C18" s="16" t="n"/>
      <c r="D18" s="16" t="n"/>
      <c r="E18" s="24" t="n"/>
      <c r="F18" s="24" t="n"/>
      <c r="G18" s="8">
        <f>IFERROR(E18*F18,"")</f>
        <v/>
      </c>
      <c r="H18" s="24" t="n"/>
      <c r="I18" s="8">
        <f>IFERROR(G18+H18,"")</f>
        <v/>
      </c>
      <c r="J18" s="24" t="n"/>
      <c r="K18" s="24" t="n"/>
      <c r="L18" s="24" t="n"/>
      <c r="M18" s="24" t="n"/>
      <c r="N18" s="8">
        <f>IFERROR(I18/J18,"")</f>
        <v/>
      </c>
      <c r="O18" s="8">
        <f>IFERROR(I18/K18,"")</f>
        <v/>
      </c>
      <c r="P18" s="8">
        <f>IFERROR(I18/L18,"")</f>
        <v/>
      </c>
    </row>
    <row r="19" ht="16" customHeight="1">
      <c r="B19" s="16" t="n"/>
      <c r="C19" s="16" t="n"/>
      <c r="D19" s="16" t="n"/>
      <c r="E19" s="24" t="n"/>
      <c r="F19" s="24" t="n"/>
      <c r="G19" s="8">
        <f>IFERROR(E19*F19,"")</f>
        <v/>
      </c>
      <c r="H19" s="24" t="n"/>
      <c r="I19" s="8">
        <f>IFERROR(G19+H19,"")</f>
        <v/>
      </c>
      <c r="J19" s="24" t="n"/>
      <c r="K19" s="24" t="n"/>
      <c r="L19" s="24" t="n"/>
      <c r="M19" s="24" t="n"/>
      <c r="N19" s="8">
        <f>IFERROR(I19/J19,"")</f>
        <v/>
      </c>
      <c r="O19" s="8">
        <f>IFERROR(I19/K19,"")</f>
        <v/>
      </c>
      <c r="P19" s="8">
        <f>IFERROR(I19/L19,"")</f>
        <v/>
      </c>
    </row>
    <row r="20" ht="16" customHeight="1">
      <c r="B20" s="16" t="n"/>
      <c r="C20" s="16" t="n"/>
      <c r="D20" s="16" t="n"/>
      <c r="E20" s="24" t="n"/>
      <c r="F20" s="24" t="n"/>
      <c r="G20" s="8">
        <f>IFERROR(E20*F20,"")</f>
        <v/>
      </c>
      <c r="H20" s="24" t="n"/>
      <c r="I20" s="8">
        <f>IFERROR(G20+H20,"")</f>
        <v/>
      </c>
      <c r="J20" s="24" t="n"/>
      <c r="K20" s="24" t="n"/>
      <c r="L20" s="24" t="n"/>
      <c r="M20" s="24" t="n"/>
      <c r="N20" s="8">
        <f>IFERROR(I20/J20,"")</f>
        <v/>
      </c>
      <c r="O20" s="8">
        <f>IFERROR(I20/K20,"")</f>
        <v/>
      </c>
      <c r="P20" s="8">
        <f>IFERROR(I20/L20,"")</f>
        <v/>
      </c>
    </row>
    <row r="21" ht="16" customHeight="1">
      <c r="B21" s="16" t="n"/>
      <c r="C21" s="16" t="n"/>
      <c r="D21" s="16" t="n"/>
      <c r="E21" s="24" t="n"/>
      <c r="F21" s="24" t="n"/>
      <c r="G21" s="8">
        <f>IFERROR(E21*F21,"")</f>
        <v/>
      </c>
      <c r="H21" s="24" t="n"/>
      <c r="I21" s="8">
        <f>IFERROR(G21+H21,"")</f>
        <v/>
      </c>
      <c r="J21" s="24" t="n"/>
      <c r="K21" s="24" t="n"/>
      <c r="L21" s="24" t="n"/>
      <c r="M21" s="24" t="n"/>
      <c r="N21" s="8">
        <f>IFERROR(I21/J21,"")</f>
        <v/>
      </c>
      <c r="O21" s="8">
        <f>IFERROR(I21/K21,"")</f>
        <v/>
      </c>
      <c r="P21" s="8">
        <f>IFERROR(I21/L21,"")</f>
        <v/>
      </c>
    </row>
    <row r="22" ht="16" customHeight="1">
      <c r="B22" s="16" t="n"/>
      <c r="C22" s="16" t="n"/>
      <c r="D22" s="16" t="n"/>
      <c r="E22" s="24" t="n"/>
      <c r="F22" s="24" t="n"/>
      <c r="G22" s="8">
        <f>IFERROR(E22*F22,"")</f>
        <v/>
      </c>
      <c r="H22" s="24" t="n"/>
      <c r="I22" s="8">
        <f>IFERROR(G22+H22,"")</f>
        <v/>
      </c>
      <c r="J22" s="24" t="n"/>
      <c r="K22" s="24" t="n"/>
      <c r="L22" s="24" t="n"/>
      <c r="M22" s="24" t="n"/>
      <c r="N22" s="8">
        <f>IFERROR(I22/J22,"")</f>
        <v/>
      </c>
      <c r="O22" s="8">
        <f>IFERROR(I22/K22,"")</f>
        <v/>
      </c>
      <c r="P22" s="8">
        <f>IFERROR(I22/L22,"")</f>
        <v/>
      </c>
    </row>
    <row r="23" ht="16" customHeight="1">
      <c r="B23" s="16" t="n"/>
      <c r="C23" s="16" t="n"/>
      <c r="D23" s="16" t="n"/>
      <c r="E23" s="24" t="n"/>
      <c r="F23" s="24" t="n"/>
      <c r="G23" s="8">
        <f>IFERROR(E23*F23,"")</f>
        <v/>
      </c>
      <c r="H23" s="24" t="n"/>
      <c r="I23" s="8">
        <f>IFERROR(G23+H23,"")</f>
        <v/>
      </c>
      <c r="J23" s="24" t="n"/>
      <c r="K23" s="24" t="n"/>
      <c r="L23" s="24" t="n"/>
      <c r="M23" s="24" t="n"/>
      <c r="N23" s="8">
        <f>IFERROR(I23/J23,"")</f>
        <v/>
      </c>
      <c r="O23" s="8">
        <f>IFERROR(I23/K23,"")</f>
        <v/>
      </c>
      <c r="P23" s="8">
        <f>IFERROR(I23/L23,"")</f>
        <v/>
      </c>
    </row>
    <row r="24" ht="16" customHeight="1"/>
    <row r="25" ht="16" customHeight="1"/>
    <row r="26" ht="20" customHeight="1">
      <c r="B26" s="5" t="inlineStr">
        <is>
          <t>SUMMARY STATISTICS (COMPUTED)</t>
        </is>
      </c>
      <c r="C26" s="20" t="n"/>
      <c r="D26" s="20" t="n"/>
      <c r="E26" s="20" t="n"/>
    </row>
    <row r="27" ht="16" customHeight="1">
      <c r="B27" s="15" t="inlineStr">
        <is>
          <t>EV/Rev</t>
        </is>
      </c>
      <c r="C27" t="inlineStr">
        <is>
          <t>x</t>
        </is>
      </c>
      <c r="D27" s="15" t="inlineStr">
        <is>
          <t>P25</t>
        </is>
      </c>
      <c r="E27" s="15" t="inlineStr">
        <is>
          <t>Median</t>
        </is>
      </c>
      <c r="F27" s="8">
        <f>IFERROR(QUARTILE.INC(N12:N23,1),"")</f>
        <v/>
      </c>
      <c r="G27" s="8">
        <f>IFERROR(MEDIAN(N12:N23),"")</f>
        <v/>
      </c>
      <c r="H27" s="8">
        <f>IFERROR(QUARTILE.INC(N12:N23,3),"")</f>
        <v/>
      </c>
    </row>
    <row r="28" ht="16" customHeight="1">
      <c r="B28" s="15" t="inlineStr">
        <is>
          <t>EV/EBITDA</t>
        </is>
      </c>
      <c r="C28" t="inlineStr">
        <is>
          <t>x</t>
        </is>
      </c>
      <c r="D28" s="15" t="inlineStr">
        <is>
          <t>P25</t>
        </is>
      </c>
      <c r="E28" s="15" t="inlineStr">
        <is>
          <t>Median</t>
        </is>
      </c>
      <c r="F28" s="8">
        <f>IFERROR(QUARTILE.INC(O12:O23,1),"")</f>
        <v/>
      </c>
      <c r="G28" s="8">
        <f>IFERROR(MEDIAN(O12:O23),"")</f>
        <v/>
      </c>
      <c r="H28" s="8">
        <f>IFERROR(QUARTILE.INC(O12:O23,3),"")</f>
        <v/>
      </c>
    </row>
    <row r="29" ht="16" customHeight="1">
      <c r="B29" s="15" t="inlineStr">
        <is>
          <t>EV/EBIT</t>
        </is>
      </c>
      <c r="C29" t="inlineStr">
        <is>
          <t>x</t>
        </is>
      </c>
      <c r="D29" s="15" t="inlineStr">
        <is>
          <t>P25</t>
        </is>
      </c>
      <c r="E29" s="15" t="inlineStr">
        <is>
          <t>Median</t>
        </is>
      </c>
      <c r="F29" s="8">
        <f>IFERROR(QUARTILE.INC(P12:P23,1),"")</f>
        <v/>
      </c>
      <c r="G29" s="8">
        <f>IFERROR(MEDIAN(P12:P23),"")</f>
        <v/>
      </c>
      <c r="H29" s="8">
        <f>IFERROR(QUARTILE.INC(P12:P23,3),"")</f>
        <v/>
      </c>
    </row>
    <row r="30" ht="16" customHeight="1"/>
    <row r="31" ht="20" customHeight="1">
      <c r="B31" s="5" t="inlineStr">
        <is>
          <t>SELECTED MULTIPLE(S) (BASE CASE)</t>
        </is>
      </c>
      <c r="C31" s="20" t="n"/>
      <c r="D31" s="20" t="n"/>
      <c r="E31" s="20" t="n"/>
    </row>
    <row r="32" ht="16" customHeight="1">
      <c r="B32" s="15" t="inlineStr">
        <is>
          <t>Selected EV/EBITDA multiple</t>
        </is>
      </c>
      <c r="C32" t="inlineStr">
        <is>
          <t>x</t>
        </is>
      </c>
      <c r="F32" s="67">
        <f>IF('01_CONTROL'!$F$84,'01_CONTROL'!$F$85,$G$28)</f>
        <v/>
      </c>
    </row>
    <row r="33" ht="16" customHeight="1"/>
    <row r="34" ht="20" customHeight="1">
      <c r="B34" s="5" t="inlineStr">
        <is>
          <t>IMPLIED VALUATION (COMPANY)</t>
        </is>
      </c>
      <c r="C34" s="20" t="n"/>
      <c r="D34" s="20" t="n"/>
      <c r="E34" s="20" t="n"/>
    </row>
    <row r="35" ht="16" customHeight="1">
      <c r="B35" s="15" t="inlineStr">
        <is>
          <t>Company LTM EBITDA</t>
        </is>
      </c>
      <c r="C35" t="inlineStr">
        <is>
          <t>m</t>
        </is>
      </c>
      <c r="F35" s="8">
        <f>'02_COMPANY_INPUTS'!$F$31</f>
        <v/>
      </c>
    </row>
    <row r="36" ht="16" customHeight="1">
      <c r="B36" s="15" t="inlineStr">
        <is>
          <t>Implied enterprise value</t>
        </is>
      </c>
      <c r="C36" t="inlineStr">
        <is>
          <t>m</t>
        </is>
      </c>
      <c r="F36" s="8">
        <f>IF($F$35="","",IFERROR($F$32*$F$35,""))</f>
        <v/>
      </c>
    </row>
    <row r="37" ht="16" customHeight="1">
      <c r="B37" s="15" t="inlineStr">
        <is>
          <t>Net debt (per toggles)</t>
        </is>
      </c>
      <c r="C37" t="inlineStr">
        <is>
          <t>m</t>
        </is>
      </c>
      <c r="F37" s="8">
        <f>'02_COMPANY_INPUTS'!$F$26</f>
        <v/>
      </c>
    </row>
    <row r="38" ht="16" customHeight="1">
      <c r="B38" s="15" t="inlineStr">
        <is>
          <t>Implied equity value</t>
        </is>
      </c>
      <c r="C38" t="inlineStr">
        <is>
          <t>m</t>
        </is>
      </c>
      <c r="F38" s="8">
        <f>IF($F$36="","",IFERROR($F$36-$F$37,""))</f>
        <v/>
      </c>
    </row>
    <row r="39" ht="16" customHeight="1">
      <c r="B39" s="15" t="inlineStr">
        <is>
          <t>Shares outstanding (mm)</t>
        </is>
      </c>
      <c r="C39" t="inlineStr">
        <is>
          <t>mm</t>
        </is>
      </c>
      <c r="F39" s="8">
        <f>'02_COMPANY_INPUTS'!$F$11</f>
        <v/>
      </c>
    </row>
    <row r="40" ht="16" customHeight="1">
      <c r="B40" s="15" t="inlineStr">
        <is>
          <t>Implied price per share</t>
        </is>
      </c>
      <c r="C40" t="inlineStr">
        <is>
          <t>CCY</t>
        </is>
      </c>
      <c r="F40" s="8">
        <f>IF(OR($F$38="",$F$39="", $F$39=0),"",IFERROR($F$38/$F$39,""))</f>
        <v/>
      </c>
    </row>
    <row r="41" ht="16" customHeight="1"/>
    <row r="42" ht="20" customHeight="1">
      <c r="B42" s="5" t="inlineStr">
        <is>
          <t>COMPS IMPLIED RANGE (EV/EBITDA)</t>
        </is>
      </c>
      <c r="C42" s="20" t="n"/>
      <c r="D42" s="20" t="n"/>
      <c r="E42" s="20" t="n"/>
    </row>
    <row r="43" ht="16" customHeight="1">
      <c r="B43" s="15" t="inlineStr">
        <is>
          <t>Equity value P25</t>
        </is>
      </c>
      <c r="C43" t="inlineStr">
        <is>
          <t>m</t>
        </is>
      </c>
      <c r="F43" s="8">
        <f>IF('02_COMPANY_INPUTS'!$F$31="","",IFERROR(F28*'02_COMPANY_INPUTS'!$F$31-'02_COMPANY_INPUTS'!$F$26,""))</f>
        <v/>
      </c>
    </row>
    <row r="44" ht="16" customHeight="1">
      <c r="B44" s="15" t="inlineStr">
        <is>
          <t>Equity value Median</t>
        </is>
      </c>
      <c r="C44" t="inlineStr">
        <is>
          <t>m</t>
        </is>
      </c>
      <c r="F44" s="8">
        <f>IF('02_COMPANY_INPUTS'!$F$31="","",IFERROR(G28*'02_COMPANY_INPUTS'!$F$31-'02_COMPANY_INPUTS'!$F$26,""))</f>
        <v/>
      </c>
    </row>
    <row r="45" ht="16" customHeight="1">
      <c r="B45" s="15" t="inlineStr">
        <is>
          <t>Equity value P75</t>
        </is>
      </c>
      <c r="C45" t="inlineStr">
        <is>
          <t>m</t>
        </is>
      </c>
      <c r="F45" s="8">
        <f>IF('02_COMPANY_INPUTS'!$F$31="","",IFERROR(H28*'02_COMPANY_INPUTS'!$F$31-'02_COMPANY_INPUTS'!$F$26,""))</f>
        <v/>
      </c>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T119"/>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06_DCF_WACC</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20" customHeight="1">
      <c r="B9" s="5" t="inlineStr">
        <is>
          <t>INPUTS (FROM 01_CONTROL)</t>
        </is>
      </c>
      <c r="C9" s="20" t="n"/>
      <c r="D9" s="20" t="n"/>
      <c r="E9" s="20" t="n"/>
    </row>
    <row r="10" ht="16" customHeight="1">
      <c r="B10" s="15" t="inlineStr">
        <is>
          <t>Tax rate</t>
        </is>
      </c>
      <c r="F10" s="9">
        <f>'01_CONTROL'!$F$24</f>
        <v/>
      </c>
    </row>
    <row r="11" ht="16" customHeight="1">
      <c r="B11" s="15" t="inlineStr">
        <is>
          <t>Risk-free rate</t>
        </is>
      </c>
      <c r="F11" s="9">
        <f>'01_CONTROL'!$F$25</f>
        <v/>
      </c>
    </row>
    <row r="12" ht="16" customHeight="1">
      <c r="B12" s="15" t="inlineStr">
        <is>
          <t>Equity risk premium</t>
        </is>
      </c>
      <c r="F12" s="9">
        <f>'01_CONTROL'!$F$26</f>
        <v/>
      </c>
    </row>
    <row r="13" ht="16" customHeight="1">
      <c r="B13" s="15" t="inlineStr">
        <is>
          <t>Beta</t>
        </is>
      </c>
      <c r="F13" s="8">
        <f>'01_CONTROL'!$F$27</f>
        <v/>
      </c>
    </row>
    <row r="14" ht="16" customHeight="1">
      <c r="B14" s="15" t="inlineStr">
        <is>
          <t>Size / country adj</t>
        </is>
      </c>
      <c r="F14" s="9">
        <f>'01_CONTROL'!$F$28</f>
        <v/>
      </c>
    </row>
    <row r="15" ht="16" customHeight="1">
      <c r="B15" s="15" t="inlineStr">
        <is>
          <t>Pre-tax cost of debt</t>
        </is>
      </c>
      <c r="F15" s="9">
        <f>'01_CONTROL'!$F$29</f>
        <v/>
      </c>
    </row>
    <row r="16" ht="16" customHeight="1">
      <c r="B16" s="15" t="inlineStr">
        <is>
          <t>Debt weight</t>
        </is>
      </c>
      <c r="F16" s="9">
        <f>'01_CONTROL'!$F$30</f>
        <v/>
      </c>
    </row>
    <row r="17" ht="16" customHeight="1">
      <c r="B17" s="15" t="inlineStr">
        <is>
          <t>Equity weight</t>
        </is>
      </c>
      <c r="F17" s="9">
        <f>'01_CONTROL'!$F$31</f>
        <v/>
      </c>
    </row>
    <row r="18" ht="16" customHeight="1"/>
    <row r="19" ht="20" customHeight="1">
      <c r="B19" s="5" t="inlineStr">
        <is>
          <t>WACC COMPUTATION</t>
        </is>
      </c>
      <c r="C19" s="20" t="n"/>
      <c r="D19" s="20" t="n"/>
      <c r="E19" s="20" t="n"/>
    </row>
    <row r="20" ht="16" customHeight="1">
      <c r="B20" s="15" t="inlineStr">
        <is>
          <t>WACC used (output)</t>
        </is>
      </c>
      <c r="C20" t="inlineStr">
        <is>
          <t>%</t>
        </is>
      </c>
      <c r="E20" s="61" t="inlineStr">
        <is>
          <t>WACC (output)</t>
        </is>
      </c>
      <c r="F20" s="9">
        <f>'01_CONTROL'!$F$36</f>
        <v/>
      </c>
    </row>
    <row r="21" ht="16" customHeight="1">
      <c r="B21" s="15" t="inlineStr">
        <is>
          <t>Cost of equity</t>
        </is>
      </c>
      <c r="C21" t="inlineStr">
        <is>
          <t>%</t>
        </is>
      </c>
      <c r="F21" s="9">
        <f>'01_CONTROL'!$F$34</f>
        <v/>
      </c>
    </row>
    <row r="22" ht="16" customHeight="1">
      <c r="B22" s="15" t="inlineStr">
        <is>
          <t>After-tax cost of debt</t>
        </is>
      </c>
      <c r="C22" t="inlineStr">
        <is>
          <t>%</t>
        </is>
      </c>
      <c r="F22" s="9">
        <f>'01_CONTROL'!$F$35</f>
        <v/>
      </c>
    </row>
    <row r="23" ht="16" customHeight="1"/>
    <row r="24" ht="20" customHeight="1">
      <c r="B24" s="5" t="inlineStr">
        <is>
          <t>SANITY CHECKS</t>
        </is>
      </c>
      <c r="C24" s="20" t="n"/>
      <c r="D24" s="20" t="n"/>
      <c r="E24" s="20" t="n"/>
    </row>
    <row r="25" ht="16" customHeight="1">
      <c r="B25" s="15" t="inlineStr">
        <is>
          <t>WACC min</t>
        </is>
      </c>
      <c r="C25" t="inlineStr">
        <is>
          <t>%</t>
        </is>
      </c>
      <c r="F25" s="59" t="n">
        <v>0.06</v>
      </c>
    </row>
    <row r="26" ht="16" customHeight="1">
      <c r="B26" s="15" t="inlineStr">
        <is>
          <t>WACC max</t>
        </is>
      </c>
      <c r="C26" t="inlineStr">
        <is>
          <t>%</t>
        </is>
      </c>
      <c r="F26" s="59" t="n">
        <v>0.12</v>
      </c>
    </row>
    <row r="27" ht="16" customHeight="1">
      <c r="B27" s="15" t="inlineStr">
        <is>
          <t>WACC within range</t>
        </is>
      </c>
      <c r="F27" s="12">
        <f>IF(AND($F$20&gt;=$F$25,$F$20&lt;=$F$26),1,0)</f>
        <v/>
      </c>
    </row>
    <row r="28" ht="16" customHeight="1"/>
    <row r="29" ht="16" customHeight="1"/>
    <row r="30" ht="16" customHeight="1"/>
    <row r="31" ht="16" customHeight="1"/>
    <row r="32" ht="16" customHeight="1"/>
    <row r="33" ht="16" customHeight="1"/>
    <row r="34" ht="16" customHeight="1"/>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99"/>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07_DCF_FCF_AND_VALUATION</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20" customHeight="1">
      <c r="B9" s="5" t="inlineStr">
        <is>
          <t>CALENDAR AND DISCOUNTING</t>
        </is>
      </c>
      <c r="C9" s="20" t="n"/>
      <c r="D9" s="20" t="n"/>
      <c r="E9" s="20" t="n"/>
    </row>
    <row r="10" ht="16" customHeight="1">
      <c r="B10" s="38" t="inlineStr">
        <is>
          <t>Fiscal year</t>
        </is>
      </c>
      <c r="F10" s="50">
        <f>'01_CONTROL'!F51</f>
        <v/>
      </c>
      <c r="G10" s="50">
        <f>'01_CONTROL'!G51</f>
        <v/>
      </c>
      <c r="H10" s="50">
        <f>'01_CONTROL'!H51</f>
        <v/>
      </c>
      <c r="I10" s="50">
        <f>'01_CONTROL'!I51</f>
        <v/>
      </c>
      <c r="J10" s="50">
        <f>'01_CONTROL'!J51</f>
        <v/>
      </c>
      <c r="K10" s="50">
        <f>'01_CONTROL'!K51</f>
        <v/>
      </c>
      <c r="L10" s="50">
        <f>'01_CONTROL'!L51</f>
        <v/>
      </c>
      <c r="M10" s="50">
        <f>'01_CONTROL'!M51</f>
        <v/>
      </c>
      <c r="N10" s="50">
        <f>'01_CONTROL'!N51</f>
        <v/>
      </c>
      <c r="O10" s="50">
        <f>'01_CONTROL'!O51</f>
        <v/>
      </c>
      <c r="P10" s="50">
        <f>'01_CONTROL'!P51</f>
        <v/>
      </c>
    </row>
    <row r="11" ht="16" customHeight="1">
      <c r="B11" s="15" t="inlineStr">
        <is>
          <t>t</t>
        </is>
      </c>
      <c r="F11" s="28">
        <f>'01_CONTROL'!F53</f>
        <v/>
      </c>
      <c r="G11" s="28">
        <f>'01_CONTROL'!G53</f>
        <v/>
      </c>
      <c r="H11" s="28">
        <f>'01_CONTROL'!H53</f>
        <v/>
      </c>
      <c r="I11" s="28">
        <f>'01_CONTROL'!I53</f>
        <v/>
      </c>
      <c r="J11" s="28">
        <f>'01_CONTROL'!J53</f>
        <v/>
      </c>
      <c r="K11" s="28">
        <f>'01_CONTROL'!K53</f>
        <v/>
      </c>
      <c r="L11" s="28">
        <f>'01_CONTROL'!L53</f>
        <v/>
      </c>
      <c r="M11" s="28">
        <f>'01_CONTROL'!M53</f>
        <v/>
      </c>
      <c r="N11" s="28">
        <f>'01_CONTROL'!N53</f>
        <v/>
      </c>
      <c r="O11" s="28">
        <f>'01_CONTROL'!O53</f>
        <v/>
      </c>
      <c r="P11" s="28">
        <f>'01_CONTROL'!P53</f>
        <v/>
      </c>
    </row>
    <row r="12" ht="16" customHeight="1">
      <c r="B12" s="15" t="inlineStr">
        <is>
          <t>Discount factor</t>
        </is>
      </c>
      <c r="F12" s="33" t="inlineStr"/>
      <c r="G12" s="39">
        <f>IF('01_CONTROL'!G52=1,1/(1+'06_DCF_WACC'!$F$20)^('01_CONTROL'!G53-IF('01_CONTROL'!$F$17=1,0.5,0)),"")</f>
        <v/>
      </c>
      <c r="H12" s="39">
        <f>IF('01_CONTROL'!H52=1,1/(1+'06_DCF_WACC'!$F$20)^('01_CONTROL'!H53-IF('01_CONTROL'!$F$17=1,0.5,0)),"")</f>
        <v/>
      </c>
      <c r="I12" s="39">
        <f>IF('01_CONTROL'!I52=1,1/(1+'06_DCF_WACC'!$F$20)^('01_CONTROL'!I53-IF('01_CONTROL'!$F$17=1,0.5,0)),"")</f>
        <v/>
      </c>
      <c r="J12" s="39">
        <f>IF('01_CONTROL'!J52=1,1/(1+'06_DCF_WACC'!$F$20)^('01_CONTROL'!J53-IF('01_CONTROL'!$F$17=1,0.5,0)),"")</f>
        <v/>
      </c>
      <c r="K12" s="39">
        <f>IF('01_CONTROL'!K52=1,1/(1+'06_DCF_WACC'!$F$20)^('01_CONTROL'!K53-IF('01_CONTROL'!$F$17=1,0.5,0)),"")</f>
        <v/>
      </c>
      <c r="L12" s="39">
        <f>IF('01_CONTROL'!L52=1,1/(1+'06_DCF_WACC'!$F$20)^('01_CONTROL'!L53-IF('01_CONTROL'!$F$17=1,0.5,0)),"")</f>
        <v/>
      </c>
      <c r="M12" s="39">
        <f>IF('01_CONTROL'!M52=1,1/(1+'06_DCF_WACC'!$F$20)^('01_CONTROL'!M53-IF('01_CONTROL'!$F$17=1,0.5,0)),"")</f>
        <v/>
      </c>
      <c r="N12" s="39">
        <f>IF('01_CONTROL'!N52=1,1/(1+'06_DCF_WACC'!$F$20)^('01_CONTROL'!N53-IF('01_CONTROL'!$F$17=1,0.5,0)),"")</f>
        <v/>
      </c>
      <c r="O12" s="39">
        <f>IF('01_CONTROL'!O52=1,1/(1+'06_DCF_WACC'!$F$20)^('01_CONTROL'!O53-IF('01_CONTROL'!$F$17=1,0.5,0)),"")</f>
        <v/>
      </c>
      <c r="P12" s="39">
        <f>IF('01_CONTROL'!P52=1,1/(1+'06_DCF_WACC'!$F$20)^('01_CONTROL'!P53-IF('01_CONTROL'!$F$17=1,0.5,0)),"")</f>
        <v/>
      </c>
    </row>
    <row r="13" ht="16" customHeight="1"/>
    <row r="14" ht="20" customHeight="1">
      <c r="B14" s="5" t="inlineStr">
        <is>
          <t>DCF DOWNSIDE</t>
        </is>
      </c>
      <c r="C14" s="20" t="n"/>
      <c r="D14" s="20" t="n"/>
      <c r="E14" s="20" t="n"/>
    </row>
    <row r="15" ht="16" customHeight="1">
      <c r="B15" s="15" t="inlineStr">
        <is>
          <t>EBITDA</t>
        </is>
      </c>
      <c r="C15" t="inlineStr">
        <is>
          <t>m</t>
        </is>
      </c>
      <c r="F15" s="8">
        <f>'04_DRIVERS_AND_FORECAST'!F40</f>
        <v/>
      </c>
      <c r="G15" s="8">
        <f>'04_DRIVERS_AND_FORECAST'!G40</f>
        <v/>
      </c>
      <c r="H15" s="8">
        <f>'04_DRIVERS_AND_FORECAST'!H40</f>
        <v/>
      </c>
      <c r="I15" s="8">
        <f>'04_DRIVERS_AND_FORECAST'!I40</f>
        <v/>
      </c>
      <c r="J15" s="8">
        <f>'04_DRIVERS_AND_FORECAST'!J40</f>
        <v/>
      </c>
      <c r="K15" s="8">
        <f>'04_DRIVERS_AND_FORECAST'!K40</f>
        <v/>
      </c>
      <c r="L15" s="8">
        <f>'04_DRIVERS_AND_FORECAST'!L40</f>
        <v/>
      </c>
      <c r="M15" s="8">
        <f>'04_DRIVERS_AND_FORECAST'!M40</f>
        <v/>
      </c>
      <c r="N15" s="8">
        <f>'04_DRIVERS_AND_FORECAST'!N40</f>
        <v/>
      </c>
      <c r="O15" s="8">
        <f>'04_DRIVERS_AND_FORECAST'!O40</f>
        <v/>
      </c>
      <c r="P15" s="8">
        <f>'04_DRIVERS_AND_FORECAST'!P40</f>
        <v/>
      </c>
    </row>
    <row r="16" ht="16" customHeight="1">
      <c r="B16" s="15" t="inlineStr">
        <is>
          <t>Unlevered FCF</t>
        </is>
      </c>
      <c r="C16" t="inlineStr">
        <is>
          <t>m</t>
        </is>
      </c>
      <c r="F16" s="8">
        <f>'04_DRIVERS_AND_FORECAST'!F48</f>
        <v/>
      </c>
      <c r="G16" s="8">
        <f>'04_DRIVERS_AND_FORECAST'!G48</f>
        <v/>
      </c>
      <c r="H16" s="8">
        <f>'04_DRIVERS_AND_FORECAST'!H48</f>
        <v/>
      </c>
      <c r="I16" s="8">
        <f>'04_DRIVERS_AND_FORECAST'!I48</f>
        <v/>
      </c>
      <c r="J16" s="8">
        <f>'04_DRIVERS_AND_FORECAST'!J48</f>
        <v/>
      </c>
      <c r="K16" s="8">
        <f>'04_DRIVERS_AND_FORECAST'!K48</f>
        <v/>
      </c>
      <c r="L16" s="8">
        <f>'04_DRIVERS_AND_FORECAST'!L48</f>
        <v/>
      </c>
      <c r="M16" s="8">
        <f>'04_DRIVERS_AND_FORECAST'!M48</f>
        <v/>
      </c>
      <c r="N16" s="8">
        <f>'04_DRIVERS_AND_FORECAST'!N48</f>
        <v/>
      </c>
      <c r="O16" s="8">
        <f>'04_DRIVERS_AND_FORECAST'!O48</f>
        <v/>
      </c>
      <c r="P16" s="8">
        <f>'04_DRIVERS_AND_FORECAST'!P48</f>
        <v/>
      </c>
    </row>
    <row r="17" ht="16" customHeight="1">
      <c r="B17" s="15" t="inlineStr">
        <is>
          <t>PV of FCF</t>
        </is>
      </c>
      <c r="C17" t="inlineStr">
        <is>
          <t>m</t>
        </is>
      </c>
      <c r="F17" s="33" t="inlineStr"/>
      <c r="G17" s="8">
        <f>IF('01_CONTROL'!G52=1,IF(G16="","",G16*G12),"")</f>
        <v/>
      </c>
      <c r="H17" s="8">
        <f>IF('01_CONTROL'!H52=1,IF(H16="","",H16*H12),"")</f>
        <v/>
      </c>
      <c r="I17" s="8">
        <f>IF('01_CONTROL'!I52=1,IF(I16="","",I16*I12),"")</f>
        <v/>
      </c>
      <c r="J17" s="8">
        <f>IF('01_CONTROL'!J52=1,IF(J16="","",J16*J12),"")</f>
        <v/>
      </c>
      <c r="K17" s="8">
        <f>IF('01_CONTROL'!K52=1,IF(K16="","",K16*K12),"")</f>
        <v/>
      </c>
      <c r="L17" s="8">
        <f>IF('01_CONTROL'!L52=1,IF(L16="","",L16*L12),"")</f>
        <v/>
      </c>
      <c r="M17" s="8">
        <f>IF('01_CONTROL'!M52=1,IF(M16="","",M16*M12),"")</f>
        <v/>
      </c>
      <c r="N17" s="8">
        <f>IF('01_CONTROL'!N52=1,IF(N16="","",N16*N12),"")</f>
        <v/>
      </c>
      <c r="O17" s="8">
        <f>IF('01_CONTROL'!O52=1,IF(O16="","",O16*O12),"")</f>
        <v/>
      </c>
      <c r="P17" s="8">
        <f>IF('01_CONTROL'!P52=1,IF(P16="","",P16*P12),"")</f>
        <v/>
      </c>
    </row>
    <row r="18" ht="16" customHeight="1"/>
    <row r="19" ht="16" customHeight="1">
      <c r="B19" s="15" t="inlineStr">
        <is>
          <t>PV of FCFs (sum)</t>
        </is>
      </c>
      <c r="C19" t="inlineStr">
        <is>
          <t>m</t>
        </is>
      </c>
      <c r="F19" s="8">
        <f>IF(OR('01_CONTROL'!$F$13&lt;&gt;1,'02_COMPANY_INPUTS'!$F$30=""),"",SUMPRODUCT(G17:P17,'01_CONTROL'!$G$52:$P$52))</f>
        <v/>
      </c>
    </row>
    <row r="20" ht="16" customHeight="1">
      <c r="B20" s="15" t="inlineStr">
        <is>
          <t>Terminal value</t>
        </is>
      </c>
      <c r="C20" t="inlineStr">
        <is>
          <t>m</t>
        </is>
      </c>
      <c r="F20" s="8">
        <f>IF('01_CONTROL'!$F$13=1,IF('01_CONTROL'!$F$15=1,IFERROR(INDEX($G$16:$P$16,'01_CONTROL'!$F$11)*(1+'01_CONTROL'!$AD$67)/('06_DCF_WACC'!$F$20-'01_CONTROL'!$AD$67),""),IFERROR(INDEX($G$15:$P$15,'01_CONTROL'!$F$11)*'01_CONTROL'!$AD$68,"")),"")</f>
        <v/>
      </c>
    </row>
    <row r="21" ht="16" customHeight="1">
      <c r="B21" s="15" t="inlineStr">
        <is>
          <t>PV of TV</t>
        </is>
      </c>
      <c r="C21" t="inlineStr">
        <is>
          <t>m</t>
        </is>
      </c>
      <c r="F21" s="8">
        <f>IF($F20="","",IFERROR($F20*INDEX($G$12:$P$12,'01_CONTROL'!$F$11),""))</f>
        <v/>
      </c>
    </row>
    <row r="22" ht="16" customHeight="1">
      <c r="B22" s="15" t="inlineStr">
        <is>
          <t>Enterprise value (DCF)</t>
        </is>
      </c>
      <c r="C22" t="inlineStr">
        <is>
          <t>m</t>
        </is>
      </c>
      <c r="F22" s="8">
        <f>IF($F19="","",IFERROR($F19+$F21,""))</f>
        <v/>
      </c>
    </row>
    <row r="23" ht="16" customHeight="1">
      <c r="B23" s="15" t="inlineStr">
        <is>
          <t>Equity value (DCF)</t>
        </is>
      </c>
      <c r="C23" t="inlineStr">
        <is>
          <t>m</t>
        </is>
      </c>
      <c r="F23" s="8">
        <f>IF($F22="","",IFERROR($F22-'02_COMPANY_INPUTS'!$F$26,""))</f>
        <v/>
      </c>
    </row>
    <row r="24" ht="16" customHeight="1">
      <c r="B24" s="15" t="inlineStr">
        <is>
          <t>Implied price per share (DCF)</t>
        </is>
      </c>
      <c r="C24" t="inlineStr">
        <is>
          <t>CCY</t>
        </is>
      </c>
      <c r="F24" s="8">
        <f>IF($F23="","",IFERROR($F23/'02_COMPANY_INPUTS'!$F$11,""))</f>
        <v/>
      </c>
    </row>
    <row r="25" ht="16" customHeight="1">
      <c r="B25" s="15" t="inlineStr">
        <is>
          <t>TV as % of EV</t>
        </is>
      </c>
      <c r="C25" t="inlineStr">
        <is>
          <t>%</t>
        </is>
      </c>
      <c r="F25" s="9">
        <f>IF($F22="","",IFERROR($F21/$F22,""))</f>
        <v/>
      </c>
    </row>
    <row r="26" ht="16" customHeight="1"/>
    <row r="27" ht="16" customHeight="1"/>
    <row r="28" ht="20" customHeight="1">
      <c r="B28" s="5" t="inlineStr">
        <is>
          <t>DCF BASE</t>
        </is>
      </c>
      <c r="C28" s="20" t="n"/>
      <c r="D28" s="20" t="n"/>
      <c r="E28" s="20" t="n"/>
    </row>
    <row r="29" ht="16" customHeight="1">
      <c r="B29" s="15" t="inlineStr">
        <is>
          <t>EBITDA</t>
        </is>
      </c>
      <c r="C29" t="inlineStr">
        <is>
          <t>m</t>
        </is>
      </c>
      <c r="F29" s="8">
        <f>'04_DRIVERS_AND_FORECAST'!F14</f>
        <v/>
      </c>
      <c r="G29" s="8">
        <f>'04_DRIVERS_AND_FORECAST'!G14</f>
        <v/>
      </c>
      <c r="H29" s="8">
        <f>'04_DRIVERS_AND_FORECAST'!H14</f>
        <v/>
      </c>
      <c r="I29" s="8">
        <f>'04_DRIVERS_AND_FORECAST'!I14</f>
        <v/>
      </c>
      <c r="J29" s="8">
        <f>'04_DRIVERS_AND_FORECAST'!J14</f>
        <v/>
      </c>
      <c r="K29" s="8">
        <f>'04_DRIVERS_AND_FORECAST'!K14</f>
        <v/>
      </c>
      <c r="L29" s="8">
        <f>'04_DRIVERS_AND_FORECAST'!L14</f>
        <v/>
      </c>
      <c r="M29" s="8">
        <f>'04_DRIVERS_AND_FORECAST'!M14</f>
        <v/>
      </c>
      <c r="N29" s="8">
        <f>'04_DRIVERS_AND_FORECAST'!N14</f>
        <v/>
      </c>
      <c r="O29" s="8">
        <f>'04_DRIVERS_AND_FORECAST'!O14</f>
        <v/>
      </c>
      <c r="P29" s="8">
        <f>'04_DRIVERS_AND_FORECAST'!P14</f>
        <v/>
      </c>
    </row>
    <row r="30" ht="16" customHeight="1">
      <c r="B30" s="15" t="inlineStr">
        <is>
          <t>Unlevered FCF</t>
        </is>
      </c>
      <c r="C30" t="inlineStr">
        <is>
          <t>m</t>
        </is>
      </c>
      <c r="F30" s="8">
        <f>'04_DRIVERS_AND_FORECAST'!F22</f>
        <v/>
      </c>
      <c r="G30" s="8">
        <f>'04_DRIVERS_AND_FORECAST'!G22</f>
        <v/>
      </c>
      <c r="H30" s="8">
        <f>'04_DRIVERS_AND_FORECAST'!H22</f>
        <v/>
      </c>
      <c r="I30" s="8">
        <f>'04_DRIVERS_AND_FORECAST'!I22</f>
        <v/>
      </c>
      <c r="J30" s="8">
        <f>'04_DRIVERS_AND_FORECAST'!J22</f>
        <v/>
      </c>
      <c r="K30" s="8">
        <f>'04_DRIVERS_AND_FORECAST'!K22</f>
        <v/>
      </c>
      <c r="L30" s="8">
        <f>'04_DRIVERS_AND_FORECAST'!L22</f>
        <v/>
      </c>
      <c r="M30" s="8">
        <f>'04_DRIVERS_AND_FORECAST'!M22</f>
        <v/>
      </c>
      <c r="N30" s="8">
        <f>'04_DRIVERS_AND_FORECAST'!N22</f>
        <v/>
      </c>
      <c r="O30" s="8">
        <f>'04_DRIVERS_AND_FORECAST'!O22</f>
        <v/>
      </c>
      <c r="P30" s="8">
        <f>'04_DRIVERS_AND_FORECAST'!P22</f>
        <v/>
      </c>
    </row>
    <row r="31" ht="16" customHeight="1">
      <c r="B31" s="15" t="inlineStr">
        <is>
          <t>PV of FCF</t>
        </is>
      </c>
      <c r="C31" t="inlineStr">
        <is>
          <t>m</t>
        </is>
      </c>
      <c r="F31" s="33" t="inlineStr"/>
      <c r="G31" s="8">
        <f>IF('01_CONTROL'!G52=1,IF(G30="","",G30*G12),"")</f>
        <v/>
      </c>
      <c r="H31" s="8">
        <f>IF('01_CONTROL'!H52=1,IF(H30="","",H30*H12),"")</f>
        <v/>
      </c>
      <c r="I31" s="8">
        <f>IF('01_CONTROL'!I52=1,IF(I30="","",I30*I12),"")</f>
        <v/>
      </c>
      <c r="J31" s="8">
        <f>IF('01_CONTROL'!J52=1,IF(J30="","",J30*J12),"")</f>
        <v/>
      </c>
      <c r="K31" s="8">
        <f>IF('01_CONTROL'!K52=1,IF(K30="","",K30*K12),"")</f>
        <v/>
      </c>
      <c r="L31" s="8">
        <f>IF('01_CONTROL'!L52=1,IF(L30="","",L30*L12),"")</f>
        <v/>
      </c>
      <c r="M31" s="8">
        <f>IF('01_CONTROL'!M52=1,IF(M30="","",M30*M12),"")</f>
        <v/>
      </c>
      <c r="N31" s="8">
        <f>IF('01_CONTROL'!N52=1,IF(N30="","",N30*N12),"")</f>
        <v/>
      </c>
      <c r="O31" s="8">
        <f>IF('01_CONTROL'!O52=1,IF(O30="","",O30*O12),"")</f>
        <v/>
      </c>
      <c r="P31" s="8">
        <f>IF('01_CONTROL'!P52=1,IF(P30="","",P30*P12),"")</f>
        <v/>
      </c>
    </row>
    <row r="32" ht="16" customHeight="1"/>
    <row r="33" ht="16" customHeight="1">
      <c r="B33" s="15" t="inlineStr">
        <is>
          <t>PV of FCFs (sum)</t>
        </is>
      </c>
      <c r="C33" t="inlineStr">
        <is>
          <t>m</t>
        </is>
      </c>
      <c r="F33" s="8">
        <f>IF(OR('01_CONTROL'!$F$13&lt;&gt;1,'02_COMPANY_INPUTS'!$F$30=""),"",SUMPRODUCT(G31:P31,'01_CONTROL'!$G$52:$P$52))</f>
        <v/>
      </c>
    </row>
    <row r="34" ht="16" customHeight="1">
      <c r="B34" s="15" t="inlineStr">
        <is>
          <t>Terminal value</t>
        </is>
      </c>
      <c r="C34" t="inlineStr">
        <is>
          <t>m</t>
        </is>
      </c>
      <c r="F34" s="8">
        <f>IF('01_CONTROL'!$F$13=1,IF('01_CONTROL'!$F$15=1,IFERROR(INDEX($G$30:$P$30,'01_CONTROL'!$F$11)*(1+'01_CONTROL'!$F$67)/('06_DCF_WACC'!$F$20-'01_CONTROL'!$F$67),""),IFERROR(INDEX($G$29:$P$29,'01_CONTROL'!$F$11)*'01_CONTROL'!$F$68,"")),"")</f>
        <v/>
      </c>
    </row>
    <row r="35" ht="16" customHeight="1">
      <c r="B35" s="15" t="inlineStr">
        <is>
          <t>PV of TV</t>
        </is>
      </c>
      <c r="C35" t="inlineStr">
        <is>
          <t>m</t>
        </is>
      </c>
      <c r="F35" s="8">
        <f>IF($F34="","",IFERROR($F34*INDEX($G$12:$P$12,'01_CONTROL'!$F$11),""))</f>
        <v/>
      </c>
    </row>
    <row r="36" ht="16" customHeight="1">
      <c r="B36" s="15" t="inlineStr">
        <is>
          <t>Enterprise value (DCF)</t>
        </is>
      </c>
      <c r="C36" t="inlineStr">
        <is>
          <t>m</t>
        </is>
      </c>
      <c r="F36" s="8">
        <f>IF($F33="","",IFERROR($F33+$F35,""))</f>
        <v/>
      </c>
    </row>
    <row r="37" ht="16" customHeight="1">
      <c r="B37" s="15" t="inlineStr">
        <is>
          <t>Equity value (DCF)</t>
        </is>
      </c>
      <c r="C37" t="inlineStr">
        <is>
          <t>m</t>
        </is>
      </c>
      <c r="F37" s="8">
        <f>IF($F36="","",IFERROR($F36-'02_COMPANY_INPUTS'!$F$26,""))</f>
        <v/>
      </c>
    </row>
    <row r="38" ht="16" customHeight="1">
      <c r="B38" s="15" t="inlineStr">
        <is>
          <t>Implied price per share (DCF)</t>
        </is>
      </c>
      <c r="C38" t="inlineStr">
        <is>
          <t>CCY</t>
        </is>
      </c>
      <c r="F38" s="8">
        <f>IF($F37="","",IFERROR($F37/'02_COMPANY_INPUTS'!$F$11,""))</f>
        <v/>
      </c>
    </row>
    <row r="39" ht="16" customHeight="1">
      <c r="B39" s="15" t="inlineStr">
        <is>
          <t>TV as % of EV</t>
        </is>
      </c>
      <c r="C39" t="inlineStr">
        <is>
          <t>%</t>
        </is>
      </c>
      <c r="F39" s="9">
        <f>IF($F36="","",IFERROR($F35/$F36,""))</f>
        <v/>
      </c>
    </row>
    <row r="40" ht="16" customHeight="1"/>
    <row r="41" ht="16" customHeight="1"/>
    <row r="42" ht="20" customHeight="1">
      <c r="B42" s="5" t="inlineStr">
        <is>
          <t>DCF UPSIDE</t>
        </is>
      </c>
      <c r="C42" s="20" t="n"/>
      <c r="D42" s="20" t="n"/>
      <c r="E42" s="20" t="n"/>
    </row>
    <row r="43" ht="16" customHeight="1">
      <c r="B43" s="15" t="inlineStr">
        <is>
          <t>EBITDA</t>
        </is>
      </c>
      <c r="C43" t="inlineStr">
        <is>
          <t>m</t>
        </is>
      </c>
      <c r="F43" s="8">
        <f>'04_DRIVERS_AND_FORECAST'!F27</f>
        <v/>
      </c>
      <c r="G43" s="8">
        <f>'04_DRIVERS_AND_FORECAST'!G27</f>
        <v/>
      </c>
      <c r="H43" s="8">
        <f>'04_DRIVERS_AND_FORECAST'!H27</f>
        <v/>
      </c>
      <c r="I43" s="8">
        <f>'04_DRIVERS_AND_FORECAST'!I27</f>
        <v/>
      </c>
      <c r="J43" s="8">
        <f>'04_DRIVERS_AND_FORECAST'!J27</f>
        <v/>
      </c>
      <c r="K43" s="8">
        <f>'04_DRIVERS_AND_FORECAST'!K27</f>
        <v/>
      </c>
      <c r="L43" s="8">
        <f>'04_DRIVERS_AND_FORECAST'!L27</f>
        <v/>
      </c>
      <c r="M43" s="8">
        <f>'04_DRIVERS_AND_FORECAST'!M27</f>
        <v/>
      </c>
      <c r="N43" s="8">
        <f>'04_DRIVERS_AND_FORECAST'!N27</f>
        <v/>
      </c>
      <c r="O43" s="8">
        <f>'04_DRIVERS_AND_FORECAST'!O27</f>
        <v/>
      </c>
      <c r="P43" s="8">
        <f>'04_DRIVERS_AND_FORECAST'!P27</f>
        <v/>
      </c>
    </row>
    <row r="44" ht="16" customHeight="1">
      <c r="B44" s="15" t="inlineStr">
        <is>
          <t>Unlevered FCF</t>
        </is>
      </c>
      <c r="C44" t="inlineStr">
        <is>
          <t>m</t>
        </is>
      </c>
      <c r="F44" s="8">
        <f>'04_DRIVERS_AND_FORECAST'!F35</f>
        <v/>
      </c>
      <c r="G44" s="8">
        <f>'04_DRIVERS_AND_FORECAST'!G35</f>
        <v/>
      </c>
      <c r="H44" s="8">
        <f>'04_DRIVERS_AND_FORECAST'!H35</f>
        <v/>
      </c>
      <c r="I44" s="8">
        <f>'04_DRIVERS_AND_FORECAST'!I35</f>
        <v/>
      </c>
      <c r="J44" s="8">
        <f>'04_DRIVERS_AND_FORECAST'!J35</f>
        <v/>
      </c>
      <c r="K44" s="8">
        <f>'04_DRIVERS_AND_FORECAST'!K35</f>
        <v/>
      </c>
      <c r="L44" s="8">
        <f>'04_DRIVERS_AND_FORECAST'!L35</f>
        <v/>
      </c>
      <c r="M44" s="8">
        <f>'04_DRIVERS_AND_FORECAST'!M35</f>
        <v/>
      </c>
      <c r="N44" s="8">
        <f>'04_DRIVERS_AND_FORECAST'!N35</f>
        <v/>
      </c>
      <c r="O44" s="8">
        <f>'04_DRIVERS_AND_FORECAST'!O35</f>
        <v/>
      </c>
      <c r="P44" s="8">
        <f>'04_DRIVERS_AND_FORECAST'!P35</f>
        <v/>
      </c>
    </row>
    <row r="45" ht="16" customHeight="1">
      <c r="B45" s="15" t="inlineStr">
        <is>
          <t>PV of FCF</t>
        </is>
      </c>
      <c r="C45" t="inlineStr">
        <is>
          <t>m</t>
        </is>
      </c>
      <c r="F45" s="33" t="inlineStr"/>
      <c r="G45" s="8">
        <f>IF('01_CONTROL'!G52=1,IF(G44="","",G44*G12),"")</f>
        <v/>
      </c>
      <c r="H45" s="8">
        <f>IF('01_CONTROL'!H52=1,IF(H44="","",H44*H12),"")</f>
        <v/>
      </c>
      <c r="I45" s="8">
        <f>IF('01_CONTROL'!I52=1,IF(I44="","",I44*I12),"")</f>
        <v/>
      </c>
      <c r="J45" s="8">
        <f>IF('01_CONTROL'!J52=1,IF(J44="","",J44*J12),"")</f>
        <v/>
      </c>
      <c r="K45" s="8">
        <f>IF('01_CONTROL'!K52=1,IF(K44="","",K44*K12),"")</f>
        <v/>
      </c>
      <c r="L45" s="8">
        <f>IF('01_CONTROL'!L52=1,IF(L44="","",L44*L12),"")</f>
        <v/>
      </c>
      <c r="M45" s="8">
        <f>IF('01_CONTROL'!M52=1,IF(M44="","",M44*M12),"")</f>
        <v/>
      </c>
      <c r="N45" s="8">
        <f>IF('01_CONTROL'!N52=1,IF(N44="","",N44*N12),"")</f>
        <v/>
      </c>
      <c r="O45" s="8">
        <f>IF('01_CONTROL'!O52=1,IF(O44="","",O44*O12),"")</f>
        <v/>
      </c>
      <c r="P45" s="8">
        <f>IF('01_CONTROL'!P52=1,IF(P44="","",P44*P12),"")</f>
        <v/>
      </c>
    </row>
    <row r="46" ht="16" customHeight="1"/>
    <row r="47" ht="16" customHeight="1">
      <c r="B47" s="15" t="inlineStr">
        <is>
          <t>PV of FCFs (sum)</t>
        </is>
      </c>
      <c r="C47" t="inlineStr">
        <is>
          <t>m</t>
        </is>
      </c>
      <c r="F47" s="8">
        <f>IF(OR('01_CONTROL'!$F$13&lt;&gt;1,'02_COMPANY_INPUTS'!$F$30=""),"",SUMPRODUCT(G45:P45,'01_CONTROL'!$G$52:$P$52))</f>
        <v/>
      </c>
    </row>
    <row r="48" ht="16" customHeight="1">
      <c r="B48" s="15" t="inlineStr">
        <is>
          <t>Terminal value</t>
        </is>
      </c>
      <c r="C48" t="inlineStr">
        <is>
          <t>m</t>
        </is>
      </c>
      <c r="F48" s="8">
        <f>IF('01_CONTROL'!$F$13=1,IF('01_CONTROL'!$F$15=1,IFERROR(INDEX($G$44:$P$44,'01_CONTROL'!$F$11)*(1+'01_CONTROL'!$R$67)/('06_DCF_WACC'!$F$20-'01_CONTROL'!$R$67),""),IFERROR(INDEX($G$43:$P$43,'01_CONTROL'!$F$11)*'01_CONTROL'!$R$68,"")),"")</f>
        <v/>
      </c>
    </row>
    <row r="49" ht="16" customHeight="1">
      <c r="B49" s="15" t="inlineStr">
        <is>
          <t>PV of TV</t>
        </is>
      </c>
      <c r="C49" t="inlineStr">
        <is>
          <t>m</t>
        </is>
      </c>
      <c r="F49" s="8">
        <f>IF($F48="","",IFERROR($F48*INDEX($G$12:$P$12,'01_CONTROL'!$F$11),""))</f>
        <v/>
      </c>
    </row>
    <row r="50" ht="16" customHeight="1">
      <c r="B50" s="15" t="inlineStr">
        <is>
          <t>Enterprise value (DCF)</t>
        </is>
      </c>
      <c r="C50" t="inlineStr">
        <is>
          <t>m</t>
        </is>
      </c>
      <c r="F50" s="8">
        <f>IF($F47="","",IFERROR($F47+$F49,""))</f>
        <v/>
      </c>
    </row>
    <row r="51" ht="16" customHeight="1">
      <c r="B51" s="15" t="inlineStr">
        <is>
          <t>Equity value (DCF)</t>
        </is>
      </c>
      <c r="C51" t="inlineStr">
        <is>
          <t>m</t>
        </is>
      </c>
      <c r="F51" s="8">
        <f>IF($F50="","",IFERROR($F50-'02_COMPANY_INPUTS'!$F$26,""))</f>
        <v/>
      </c>
    </row>
    <row r="52" ht="16" customHeight="1">
      <c r="B52" s="15" t="inlineStr">
        <is>
          <t>Implied price per share (DCF)</t>
        </is>
      </c>
      <c r="C52" t="inlineStr">
        <is>
          <t>CCY</t>
        </is>
      </c>
      <c r="F52" s="8">
        <f>IF($F51="","",IFERROR($F51/'02_COMPANY_INPUTS'!$F$11,""))</f>
        <v/>
      </c>
    </row>
    <row r="53" ht="16" customHeight="1">
      <c r="B53" s="15" t="inlineStr">
        <is>
          <t>TV as % of EV</t>
        </is>
      </c>
      <c r="C53" t="inlineStr">
        <is>
          <t>%</t>
        </is>
      </c>
      <c r="F53" s="9">
        <f>IF($F50="","",IFERROR($F49/$F50,""))</f>
        <v/>
      </c>
    </row>
    <row r="54" ht="16" customHeight="1"/>
    <row r="55" ht="20" customHeight="1">
      <c r="B55" s="5" t="inlineStr">
        <is>
          <t>DCF OUTPUTS (SINGLE CELLS)</t>
        </is>
      </c>
      <c r="C55" s="20" t="n"/>
      <c r="D55" s="20" t="n"/>
      <c r="E55" s="20" t="n"/>
    </row>
    <row r="56" ht="16" customHeight="1">
      <c r="B56" s="15" t="inlineStr">
        <is>
          <t>Downside equity value</t>
        </is>
      </c>
      <c r="F56" s="8">
        <f>F23</f>
        <v/>
      </c>
    </row>
    <row r="57" ht="16" customHeight="1">
      <c r="B57" s="15" t="inlineStr">
        <is>
          <t>Base equity value</t>
        </is>
      </c>
      <c r="F57" s="8">
        <f>F37</f>
        <v/>
      </c>
    </row>
    <row r="58" ht="16" customHeight="1">
      <c r="B58" s="15" t="inlineStr">
        <is>
          <t>Upside equity value</t>
        </is>
      </c>
      <c r="F58" s="8">
        <f>F51</f>
        <v/>
      </c>
    </row>
    <row r="59" ht="16" customHeight="1"/>
    <row r="60" ht="16" customHeight="1">
      <c r="B60" s="15" t="inlineStr">
        <is>
          <t>Downside implied price</t>
        </is>
      </c>
      <c r="F60" s="8">
        <f>F24</f>
        <v/>
      </c>
    </row>
    <row r="61" ht="16" customHeight="1">
      <c r="B61" s="15" t="inlineStr">
        <is>
          <t>Base implied price</t>
        </is>
      </c>
      <c r="F61" s="8">
        <f>F38</f>
        <v/>
      </c>
    </row>
    <row r="62" ht="16" customHeight="1">
      <c r="B62" s="15" t="inlineStr">
        <is>
          <t>Upside implied price</t>
        </is>
      </c>
      <c r="F62" s="8">
        <f>F52</f>
        <v/>
      </c>
    </row>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T199"/>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08_TRIANGULATION_RANGE</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20" customHeight="1">
      <c r="B9" s="5" t="inlineStr">
        <is>
          <t>COMPS OUTPUTS (FROM 05_TRADING_COMPS)</t>
        </is>
      </c>
      <c r="C9" s="20" t="n"/>
      <c r="D9" s="20" t="n"/>
      <c r="E9" s="20" t="n"/>
    </row>
    <row r="10" ht="16" customHeight="1">
      <c r="B10" s="15" t="inlineStr">
        <is>
          <t>Comps equity value P25</t>
        </is>
      </c>
      <c r="C10" t="inlineStr">
        <is>
          <t>m</t>
        </is>
      </c>
      <c r="F10" s="8">
        <f>'05_TRADING_COMPS'!$F$43</f>
        <v/>
      </c>
    </row>
    <row r="11" ht="16" customHeight="1">
      <c r="B11" s="15" t="inlineStr">
        <is>
          <t>Comps equity value Median</t>
        </is>
      </c>
      <c r="C11" t="inlineStr">
        <is>
          <t>m</t>
        </is>
      </c>
      <c r="F11" s="8">
        <f>'05_TRADING_COMPS'!$F$44</f>
        <v/>
      </c>
    </row>
    <row r="12" ht="16" customHeight="1">
      <c r="B12" s="15" t="inlineStr">
        <is>
          <t>Comps equity value P75</t>
        </is>
      </c>
      <c r="C12" t="inlineStr">
        <is>
          <t>m</t>
        </is>
      </c>
      <c r="F12" s="8">
        <f>'05_TRADING_COMPS'!$F$45</f>
        <v/>
      </c>
    </row>
    <row r="13" ht="16" customHeight="1"/>
    <row r="14" ht="16" customHeight="1">
      <c r="B14" s="15" t="inlineStr">
        <is>
          <t>Shares outstanding (mm)</t>
        </is>
      </c>
      <c r="C14" t="inlineStr">
        <is>
          <t>mm</t>
        </is>
      </c>
      <c r="F14" s="8">
        <f>IF('02_COMPANY_INPUTS'!$F$11="","",'02_COMPANY_INPUTS'!$F$11)</f>
        <v/>
      </c>
    </row>
    <row r="15" ht="16" customHeight="1"/>
    <row r="16" ht="16" customHeight="1">
      <c r="B16" s="15" t="inlineStr">
        <is>
          <t>Comps implied price P25</t>
        </is>
      </c>
      <c r="C16" t="inlineStr">
        <is>
          <t>CCY</t>
        </is>
      </c>
      <c r="F16" s="8">
        <f>IF(OR($F$10="",$F$14="",N($F$14)=0),"",IFERROR(N($F$10)/N($F$14),""))</f>
        <v/>
      </c>
    </row>
    <row r="17" ht="16" customHeight="1">
      <c r="B17" s="15" t="inlineStr">
        <is>
          <t>Comps implied price Median</t>
        </is>
      </c>
      <c r="C17" t="inlineStr">
        <is>
          <t>CCY</t>
        </is>
      </c>
      <c r="F17" s="8">
        <f>IF(OR($F$11="",$F$14="",N($F$14)=0),"",IFERROR(N($F$11)/N($F$14),""))</f>
        <v/>
      </c>
    </row>
    <row r="18" ht="16" customHeight="1">
      <c r="B18" s="15" t="inlineStr">
        <is>
          <t>Comps implied price P75</t>
        </is>
      </c>
      <c r="C18" t="inlineStr">
        <is>
          <t>CCY</t>
        </is>
      </c>
      <c r="F18" s="8">
        <f>IF(OR($F$12="",$F$14="",N($F$14)=0),"",IFERROR(N($F$12)/N($F$14),""))</f>
        <v/>
      </c>
    </row>
    <row r="19" ht="16" customHeight="1"/>
    <row r="20" ht="16" customHeight="1"/>
    <row r="21" ht="20" customHeight="1">
      <c r="B21" s="5" t="inlineStr">
        <is>
          <t>DCF OUTPUTS (FROM 07_DCF_FCF_AND_VALUATION)</t>
        </is>
      </c>
      <c r="C21" s="20" t="n"/>
      <c r="D21" s="20" t="n"/>
      <c r="E21" s="20" t="n"/>
    </row>
    <row r="22" ht="16" customHeight="1">
      <c r="B22" s="15" t="inlineStr">
        <is>
          <t>DCF equity value Downside</t>
        </is>
      </c>
      <c r="C22" t="inlineStr">
        <is>
          <t>m</t>
        </is>
      </c>
      <c r="F22" s="8">
        <f>'07_DCF_FCF_AND_VALUATION'!$F$56</f>
        <v/>
      </c>
    </row>
    <row r="23" ht="16" customHeight="1">
      <c r="B23" s="15" t="inlineStr">
        <is>
          <t>DCF equity value Base</t>
        </is>
      </c>
      <c r="C23" t="inlineStr">
        <is>
          <t>m</t>
        </is>
      </c>
      <c r="F23" s="8">
        <f>'07_DCF_FCF_AND_VALUATION'!$F$57</f>
        <v/>
      </c>
    </row>
    <row r="24" ht="16" customHeight="1">
      <c r="B24" s="15" t="inlineStr">
        <is>
          <t>DCF equity value Upside</t>
        </is>
      </c>
      <c r="C24" t="inlineStr">
        <is>
          <t>m</t>
        </is>
      </c>
      <c r="F24" s="8">
        <f>'07_DCF_FCF_AND_VALUATION'!$F$58</f>
        <v/>
      </c>
    </row>
    <row r="25" ht="16" customHeight="1"/>
    <row r="26" ht="16" customHeight="1">
      <c r="B26" s="15" t="inlineStr">
        <is>
          <t>DCF implied price Downside</t>
        </is>
      </c>
      <c r="C26" t="inlineStr">
        <is>
          <t>CCY</t>
        </is>
      </c>
      <c r="F26" s="8">
        <f>'07_DCF_FCF_AND_VALUATION'!$F$60</f>
        <v/>
      </c>
    </row>
    <row r="27" ht="16" customHeight="1">
      <c r="B27" s="15" t="inlineStr">
        <is>
          <t>DCF implied price Base</t>
        </is>
      </c>
      <c r="C27" t="inlineStr">
        <is>
          <t>CCY</t>
        </is>
      </c>
      <c r="F27" s="8">
        <f>'07_DCF_FCF_AND_VALUATION'!$F$61</f>
        <v/>
      </c>
    </row>
    <row r="28" ht="16" customHeight="1">
      <c r="B28" s="15" t="inlineStr">
        <is>
          <t>DCF implied price Upside</t>
        </is>
      </c>
      <c r="C28" t="inlineStr">
        <is>
          <t>CCY</t>
        </is>
      </c>
      <c r="F28" s="8">
        <f>'07_DCF_FCF_AND_VALUATION'!$F$62</f>
        <v/>
      </c>
    </row>
    <row r="29" ht="16" customHeight="1"/>
    <row r="30" ht="16" customHeight="1"/>
    <row r="31" ht="20" customHeight="1">
      <c r="B31" s="5" t="inlineStr">
        <is>
          <t>TRIANGULATION (OPTIONAL WEIGHTING)</t>
        </is>
      </c>
      <c r="C31" s="20" t="n"/>
      <c r="D31" s="20" t="n"/>
      <c r="E31" s="20" t="n"/>
    </row>
    <row r="32" ht="16" customHeight="1">
      <c r="B32" s="15" t="inlineStr">
        <is>
          <t>Weight DCF (0-1)</t>
        </is>
      </c>
      <c r="F32" s="60" t="n">
        <v>0.5</v>
      </c>
    </row>
    <row r="33" ht="16" customHeight="1"/>
    <row r="34" ht="16" customHeight="1">
      <c r="B34" s="15" t="inlineStr">
        <is>
          <t>Combined implied price Downside</t>
        </is>
      </c>
      <c r="C34" t="inlineStr">
        <is>
          <t>CCY</t>
        </is>
      </c>
      <c r="F34" s="8">
        <f>IF('01_CONTROL'!$F$13=1,IF(OR($F$26="",$F$16=""),"",IFERROR($F$32*N($F$26)+(1-$F$32)*N($F$16),"")),IF($F$16="","",N($F$16)))</f>
        <v/>
      </c>
    </row>
    <row r="35" ht="16" customHeight="1">
      <c r="B35" s="15" t="inlineStr">
        <is>
          <t>Combined implied price Base</t>
        </is>
      </c>
      <c r="C35" t="inlineStr">
        <is>
          <t>CCY</t>
        </is>
      </c>
      <c r="F35" s="8">
        <f>IF('01_CONTROL'!$F$13=1,IF(OR($F$27="",$F$17=""),"",IFERROR($F$32*N($F$27)+(1-$F$32)*N($F$17),"")),IF($F$17="","",N($F$17)))</f>
        <v/>
      </c>
    </row>
    <row r="36" ht="16" customHeight="1">
      <c r="B36" s="15" t="inlineStr">
        <is>
          <t>Combined implied price Upside</t>
        </is>
      </c>
      <c r="C36" t="inlineStr">
        <is>
          <t>CCY</t>
        </is>
      </c>
      <c r="F36" s="8">
        <f>IF('01_CONTROL'!$F$13=1,IF(OR($F$28="",$F$18=""),"",IFERROR($F$32*N($F$28)+(1-$F$32)*N($F$18),"")),IF($F$18="","",N($F$18)))</f>
        <v/>
      </c>
    </row>
    <row r="37" ht="16" customHeight="1"/>
    <row r="38" ht="16" customHeight="1"/>
    <row r="39" ht="20" customHeight="1">
      <c r="B39" s="5" t="inlineStr">
        <is>
          <t>REFERENCE POINT AND UPSIDE/DOWNSIDE</t>
        </is>
      </c>
      <c r="C39" s="20" t="n"/>
      <c r="D39" s="20" t="n"/>
      <c r="E39" s="20" t="n"/>
    </row>
    <row r="40" ht="16" customHeight="1">
      <c r="B40" s="15" t="inlineStr">
        <is>
          <t>Current share price</t>
        </is>
      </c>
      <c r="C40" t="inlineStr">
        <is>
          <t>CCY</t>
        </is>
      </c>
      <c r="F40" s="8">
        <f>IF('02_COMPANY_INPUTS'!$F$10="","",'02_COMPANY_INPUTS'!$F$10)</f>
        <v/>
      </c>
    </row>
    <row r="41" ht="16" customHeight="1">
      <c r="B41" s="15" t="inlineStr">
        <is>
          <t>Selected reference price (Base)</t>
        </is>
      </c>
      <c r="C41" t="inlineStr">
        <is>
          <t>CCY</t>
        </is>
      </c>
      <c r="F41" s="8">
        <f>$F$35</f>
        <v/>
      </c>
    </row>
    <row r="42" ht="16" customHeight="1">
      <c r="B42" s="15" t="inlineStr">
        <is>
          <t>Upside vs current</t>
        </is>
      </c>
      <c r="C42" t="inlineStr">
        <is>
          <t>%</t>
        </is>
      </c>
      <c r="F42" s="9">
        <f>IF(OR($F$41="",$F$40=""),"",IFERROR($F$41/$F$40-1,""))</f>
        <v/>
      </c>
    </row>
    <row r="43" ht="16" customHeight="1">
      <c r="B43" s="15" t="inlineStr">
        <is>
          <t>Downside vs current (Downside)</t>
        </is>
      </c>
      <c r="C43" t="inlineStr">
        <is>
          <t>%</t>
        </is>
      </c>
      <c r="F43" s="9">
        <f>IF(OR($F$34="",$F$40=""),"",IFERROR($F$34/$F$40-1,""))</f>
        <v/>
      </c>
    </row>
    <row r="44" ht="16" customHeight="1"/>
    <row r="45" ht="16" customHeight="1"/>
    <row r="46" ht="20" customHeight="1">
      <c r="B46" s="5" t="inlineStr">
        <is>
          <t>DASHBOARD SOURCE CELLS (SINGLE OUTPUTS)</t>
        </is>
      </c>
      <c r="C46" s="20" t="n"/>
      <c r="D46" s="20" t="n"/>
      <c r="E46" s="20" t="n"/>
    </row>
    <row r="47" ht="16" customHeight="1">
      <c r="B47" s="15" t="inlineStr">
        <is>
          <t>SRC_CurrentPrice</t>
        </is>
      </c>
      <c r="F47" s="40">
        <f>$F$40</f>
        <v/>
      </c>
    </row>
    <row r="48" ht="16" customHeight="1">
      <c r="B48" s="15" t="inlineStr">
        <is>
          <t>SRC_SharesMM</t>
        </is>
      </c>
      <c r="F48" s="40">
        <f>$F$14</f>
        <v/>
      </c>
    </row>
    <row r="49" ht="16" customHeight="1">
      <c r="B49" s="15" t="inlineStr">
        <is>
          <t>SRC_MarketCap</t>
        </is>
      </c>
      <c r="F49" s="40">
        <f>IF('02_COMPANY_INPUTS'!$F$12="","",'02_COMPANY_INPUTS'!$F$12)</f>
        <v/>
      </c>
    </row>
    <row r="50" ht="16" customHeight="1">
      <c r="B50" s="15" t="inlineStr">
        <is>
          <t>SRC_NetDebt</t>
        </is>
      </c>
      <c r="F50" s="40">
        <f>IF('02_COMPANY_INPUTS'!$F$26="","",'02_COMPANY_INPUTS'!$F$26)</f>
        <v/>
      </c>
    </row>
    <row r="51" ht="16" customHeight="1">
      <c r="B51" s="15" t="inlineStr">
        <is>
          <t>SRC_EnterpriseValue</t>
        </is>
      </c>
      <c r="F51" s="41">
        <f>IF(OR($F$49="",$F$50=""),"",$F$49+$F$50)</f>
        <v/>
      </c>
    </row>
    <row r="52" ht="16" customHeight="1">
      <c r="B52" s="15" t="inlineStr">
        <is>
          <t>SRC_ImpliedPrice_Base</t>
        </is>
      </c>
      <c r="F52" s="40">
        <f>$F$41</f>
        <v/>
      </c>
    </row>
    <row r="53" ht="16" customHeight="1">
      <c r="B53" s="15" t="inlineStr">
        <is>
          <t>SRC_UpsidePct</t>
        </is>
      </c>
      <c r="F53" s="40">
        <f>$F$42</f>
        <v/>
      </c>
    </row>
    <row r="54" ht="16" customHeight="1">
      <c r="B54" s="15" t="inlineStr">
        <is>
          <t>SRC_DownsidePct</t>
        </is>
      </c>
      <c r="F54" s="40">
        <f>$F$43</f>
        <v/>
      </c>
    </row>
    <row r="55" ht="16" customHeight="1">
      <c r="B55" s="15" t="inlineStr">
        <is>
          <t>SRC_CompsEq_P25</t>
        </is>
      </c>
      <c r="F55" s="40">
        <f>$F$10</f>
        <v/>
      </c>
    </row>
    <row r="56" ht="16" customHeight="1">
      <c r="B56" s="15" t="inlineStr">
        <is>
          <t>SRC_CompsEq_Median</t>
        </is>
      </c>
      <c r="F56" s="40">
        <f>$F$11</f>
        <v/>
      </c>
    </row>
    <row r="57" ht="16" customHeight="1">
      <c r="B57" s="15" t="inlineStr">
        <is>
          <t>SRC_CompsEq_P75</t>
        </is>
      </c>
      <c r="F57" s="40">
        <f>$F$12</f>
        <v/>
      </c>
    </row>
    <row r="58" ht="16" customHeight="1">
      <c r="B58" s="15" t="inlineStr">
        <is>
          <t>SRC_DCF_Eq_Down</t>
        </is>
      </c>
      <c r="F58" s="40">
        <f>$F$22</f>
        <v/>
      </c>
    </row>
    <row r="59" ht="16" customHeight="1">
      <c r="B59" s="15" t="inlineStr">
        <is>
          <t>SRC_DCF_Eq_Base</t>
        </is>
      </c>
      <c r="F59" s="40">
        <f>$F$23</f>
        <v/>
      </c>
    </row>
    <row r="60" ht="16" customHeight="1">
      <c r="B60" s="15" t="inlineStr">
        <is>
          <t>SRC_DCF_Eq_Up</t>
        </is>
      </c>
      <c r="F60" s="40">
        <f>$F$24</f>
        <v/>
      </c>
    </row>
    <row r="61" ht="16" customHeight="1">
      <c r="B61" s="15" t="inlineStr">
        <is>
          <t>SRC_Combined_Price_Down</t>
        </is>
      </c>
      <c r="F61" s="40">
        <f>$F$34</f>
        <v/>
      </c>
    </row>
    <row r="62" ht="16" customHeight="1">
      <c r="B62" s="15" t="inlineStr">
        <is>
          <t>SRC_Combined_Price_Base</t>
        </is>
      </c>
      <c r="F62" s="40">
        <f>$F$35</f>
        <v/>
      </c>
    </row>
    <row r="63" ht="16" customHeight="1">
      <c r="B63" s="31" t="inlineStr">
        <is>
          <t>SRC_Combined_Price_Up</t>
        </is>
      </c>
      <c r="C63" s="33" t="inlineStr">
        <is>
          <t>m</t>
        </is>
      </c>
      <c r="F63" s="8">
        <f>$F$36</f>
        <v/>
      </c>
    </row>
    <row r="64" ht="16" customHeight="1">
      <c r="B64" s="42" t="inlineStr">
        <is>
          <t>SRC_EquityValue_Base</t>
        </is>
      </c>
      <c r="C64" s="33" t="inlineStr">
        <is>
          <t>m</t>
        </is>
      </c>
      <c r="F64" s="43">
        <f>IF(OR($F$52="",$F$48=""),"",IFERROR(N($F$52)*N($F$48),""))</f>
        <v/>
      </c>
    </row>
    <row r="65" ht="16" customHeight="1">
      <c r="B65" s="66" t="inlineStr">
        <is>
          <t>DASHBOARD METADATA OUTPUTS</t>
        </is>
      </c>
      <c r="C65" s="66" t="n"/>
      <c r="D65" s="66" t="n"/>
      <c r="E65" s="66" t="n"/>
    </row>
    <row r="66" ht="16" customHeight="1">
      <c r="B66" s="7" t="inlineStr">
        <is>
          <t>SRC_DCF_Status</t>
        </is>
      </c>
      <c r="C66" s="1" t="inlineStr"/>
      <c r="D66" s="69" t="n"/>
      <c r="E66" s="69" t="n"/>
      <c r="F66" s="67">
        <f>01_CONTROL!F12</f>
        <v/>
      </c>
    </row>
    <row r="67" ht="16" customHeight="1">
      <c r="B67" s="7" t="inlineStr">
        <is>
          <t>SRC_WACC_Base</t>
        </is>
      </c>
      <c r="C67" s="1" t="inlineStr">
        <is>
          <t>%</t>
        </is>
      </c>
      <c r="D67" s="69" t="n"/>
      <c r="E67" s="69" t="n"/>
      <c r="F67" s="67">
        <f>01_CONTROL!F36</f>
        <v/>
      </c>
    </row>
    <row r="68" ht="16" customHeight="1">
      <c r="B68" s="7" t="inlineStr">
        <is>
          <t>SRC_CostOfEquity</t>
        </is>
      </c>
      <c r="C68" s="1" t="inlineStr">
        <is>
          <t>%</t>
        </is>
      </c>
      <c r="D68" s="69" t="n"/>
      <c r="E68" s="69" t="n"/>
      <c r="F68" s="67">
        <f>01_CONTROL!F34</f>
        <v/>
      </c>
    </row>
    <row r="69" ht="16" customHeight="1">
      <c r="B69" s="7" t="inlineStr">
        <is>
          <t>SRC_AfterTaxCostOfDebt</t>
        </is>
      </c>
      <c r="C69" s="1" t="inlineStr">
        <is>
          <t>%</t>
        </is>
      </c>
      <c r="D69" s="69" t="n"/>
      <c r="E69" s="69" t="n"/>
      <c r="F69" s="67">
        <f>01_CONTROL!F35</f>
        <v/>
      </c>
    </row>
    <row r="70" ht="16" customHeight="1">
      <c r="B70" s="7" t="inlineStr">
        <is>
          <t>SRC_Terminal_Method</t>
        </is>
      </c>
      <c r="C70" s="1" t="inlineStr"/>
      <c r="D70" s="69" t="n"/>
      <c r="E70" s="69" t="n"/>
      <c r="F70" s="67">
        <f>01_CONTROL!F14</f>
        <v/>
      </c>
    </row>
    <row r="71" ht="16" customHeight="1">
      <c r="B71" s="7" t="inlineStr">
        <is>
          <t>SRC_MidYear_Convention</t>
        </is>
      </c>
      <c r="C71" s="1" t="inlineStr"/>
      <c r="D71" s="69" t="n"/>
      <c r="E71" s="69" t="n"/>
      <c r="F71" s="67">
        <f>01_CONTROL!F16</f>
        <v/>
      </c>
    </row>
    <row r="72" ht="16" customHeight="1">
      <c r="B72" s="7" t="inlineStr">
        <is>
          <t>SRC_Selected_Comps_Multiple_EV_EBITDA</t>
        </is>
      </c>
      <c r="C72" s="1" t="inlineStr">
        <is>
          <t>x</t>
        </is>
      </c>
      <c r="D72" s="69" t="n"/>
      <c r="E72" s="69" t="n"/>
      <c r="F72" s="67">
        <f>05_TRADING_COMPS!F32</f>
        <v/>
      </c>
    </row>
    <row r="73" ht="16" customHeight="1">
      <c r="B73" s="7" t="inlineStr">
        <is>
          <t>SRC_Terminal_g_Used</t>
        </is>
      </c>
      <c r="C73" s="1" t="inlineStr">
        <is>
          <t>%</t>
        </is>
      </c>
      <c r="D73" s="69" t="n"/>
      <c r="E73" s="69" t="n"/>
      <c r="F73" s="67">
        <f>01_CONTROL!F79</f>
        <v/>
      </c>
    </row>
    <row r="74" ht="16" customHeight="1">
      <c r="B74" s="7" t="inlineStr">
        <is>
          <t>SRC_Terminal_ExitMultiple_Used</t>
        </is>
      </c>
      <c r="C74" s="1" t="inlineStr">
        <is>
          <t>x</t>
        </is>
      </c>
      <c r="D74" s="69" t="n"/>
      <c r="E74" s="69" t="n"/>
      <c r="F74" s="67">
        <f>01_CONTROL!F80</f>
        <v/>
      </c>
    </row>
    <row r="75" ht="16" customHeight="1">
      <c r="B75" s="7" t="inlineStr">
        <is>
          <t>SRC_TaxRate</t>
        </is>
      </c>
      <c r="C75" s="1" t="inlineStr">
        <is>
          <t>%</t>
        </is>
      </c>
      <c r="D75" s="69" t="n"/>
      <c r="E75" s="69" t="n"/>
      <c r="F75" s="67">
        <f>01_CONTROL!F24</f>
        <v/>
      </c>
    </row>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T80"/>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09_SENSITIVITIES</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20" customHeight="1">
      <c r="B9" s="5" t="inlineStr">
        <is>
          <t>SENSITIVITY SETUP</t>
        </is>
      </c>
      <c r="C9" s="20" t="n"/>
      <c r="D9" s="20" t="n"/>
      <c r="E9" s="20" t="n"/>
    </row>
    <row r="10" ht="16" customHeight="1">
      <c r="B10" s="15" t="inlineStr">
        <is>
          <t>Terminal method (from 01_CONTROL)</t>
        </is>
      </c>
      <c r="F10" s="40">
        <f>'01_CONTROL'!$F$14</f>
        <v/>
      </c>
    </row>
    <row r="11" ht="16" customHeight="1">
      <c r="B11" s="15" t="inlineStr">
        <is>
          <t>Mid-year convention (from 01_CONTROL)</t>
        </is>
      </c>
      <c r="F11" s="40">
        <f>'01_CONTROL'!$F$16</f>
        <v/>
      </c>
    </row>
    <row r="12" ht="16" customHeight="1"/>
    <row r="13" ht="16" customHeight="1"/>
    <row r="14" ht="20" customHeight="1">
      <c r="B14" s="5" t="inlineStr">
        <is>
          <t>DCF SENSITIVITY: WACC VS TERMINAL GROWTH (PERPETUITY)</t>
        </is>
      </c>
      <c r="C14" s="20" t="n"/>
      <c r="D14" s="20" t="n"/>
      <c r="E14" s="20" t="n"/>
    </row>
    <row r="15" ht="16" customHeight="1">
      <c r="F15" s="50" t="inlineStr">
        <is>
          <t>g \ WACC</t>
        </is>
      </c>
      <c r="G15" s="63">
        <f>'06_DCF_WACC'!$F$20+(-0.02)</f>
        <v/>
      </c>
      <c r="H15" s="63">
        <f>'06_DCF_WACC'!$F$20+(-0.01)</f>
        <v/>
      </c>
      <c r="I15" s="63">
        <f>'06_DCF_WACC'!$F$20+(0.0)</f>
        <v/>
      </c>
      <c r="J15" s="63">
        <f>'06_DCF_WACC'!$F$20+(0.01)</f>
        <v/>
      </c>
      <c r="K15" s="63">
        <f>'06_DCF_WACC'!$F$20+(0.02)</f>
        <v/>
      </c>
      <c r="L15" s="63">
        <f>'06_DCF_WACC'!$F$20+(0.03)</f>
        <v/>
      </c>
    </row>
    <row r="16" ht="16" customHeight="1">
      <c r="F16" s="63" t="n">
        <v>0.01</v>
      </c>
      <c r="G16" s="8">
        <f>IF(AND('01_CONTROL'!$F$13=1,'01_CONTROL'!$F$15=1),IFERROR(IFERROR(IFERROR(SUMPRODUCT('04_DRIVERS_AND_FORECAST'!$G$22:$P$22,1/(1+G15)^('01_CONTROL'!$G$53:$P$53-IF('01_CONTROL'!$F$17=1,0.5,0)),'01_CONTROL'!$G$52:$P$52)+IFERROR(IFERROR(INDEX('04_DRIVERS_AND_FORECAST'!$G$22:$P$22,'01_CONTROL'!$F$11)*(1+F16)/(G15-F16),"")*1/(1+G15)^('01_CONTROL'!$F$11-IF('01_CONTROL'!$F$17=1,0.5,0)),""),"")-'02_COMPANY_INPUTS'!$F$26,"")/'02_COMPANY_INPUTS'!$F$11,""),"")</f>
        <v/>
      </c>
      <c r="H16" s="8">
        <f>IF(AND('01_CONTROL'!$F$13=1,'01_CONTROL'!$F$15=1),IFERROR(IFERROR(IFERROR(SUMPRODUCT('04_DRIVERS_AND_FORECAST'!$G$22:$P$22,1/(1+H15)^('01_CONTROL'!$G$53:$P$53-IF('01_CONTROL'!$F$17=1,0.5,0)),'01_CONTROL'!$G$52:$P$52)+IFERROR(IFERROR(INDEX('04_DRIVERS_AND_FORECAST'!$G$22:$P$22,'01_CONTROL'!$F$11)*(1+F16)/(H15-F16),"")*1/(1+H15)^('01_CONTROL'!$F$11-IF('01_CONTROL'!$F$17=1,0.5,0)),""),"")-'02_COMPANY_INPUTS'!$F$26,"")/'02_COMPANY_INPUTS'!$F$11,""),"")</f>
        <v/>
      </c>
      <c r="I16" s="8">
        <f>IF(AND('01_CONTROL'!$F$13=1,'01_CONTROL'!$F$15=1),IFERROR(IFERROR(IFERROR(SUMPRODUCT('04_DRIVERS_AND_FORECAST'!$G$22:$P$22,1/(1+I15)^('01_CONTROL'!$G$53:$P$53-IF('01_CONTROL'!$F$17=1,0.5,0)),'01_CONTROL'!$G$52:$P$52)+IFERROR(IFERROR(INDEX('04_DRIVERS_AND_FORECAST'!$G$22:$P$22,'01_CONTROL'!$F$11)*(1+F16)/(I15-F16),"")*1/(1+I15)^('01_CONTROL'!$F$11-IF('01_CONTROL'!$F$17=1,0.5,0)),""),"")-'02_COMPANY_INPUTS'!$F$26,"")/'02_COMPANY_INPUTS'!$F$11,""),"")</f>
        <v/>
      </c>
      <c r="J16" s="8">
        <f>IF(AND('01_CONTROL'!$F$13=1,'01_CONTROL'!$F$15=1),IFERROR(IFERROR(IFERROR(SUMPRODUCT('04_DRIVERS_AND_FORECAST'!$G$22:$P$22,1/(1+J15)^('01_CONTROL'!$G$53:$P$53-IF('01_CONTROL'!$F$17=1,0.5,0)),'01_CONTROL'!$G$52:$P$52)+IFERROR(IFERROR(INDEX('04_DRIVERS_AND_FORECAST'!$G$22:$P$22,'01_CONTROL'!$F$11)*(1+F16)/(J15-F16),"")*1/(1+J15)^('01_CONTROL'!$F$11-IF('01_CONTROL'!$F$17=1,0.5,0)),""),"")-'02_COMPANY_INPUTS'!$F$26,"")/'02_COMPANY_INPUTS'!$F$11,""),"")</f>
        <v/>
      </c>
      <c r="K16" s="8">
        <f>IF(AND('01_CONTROL'!$F$13=1,'01_CONTROL'!$F$15=1),IFERROR(IFERROR(IFERROR(SUMPRODUCT('04_DRIVERS_AND_FORECAST'!$G$22:$P$22,1/(1+K15)^('01_CONTROL'!$G$53:$P$53-IF('01_CONTROL'!$F$17=1,0.5,0)),'01_CONTROL'!$G$52:$P$52)+IFERROR(IFERROR(INDEX('04_DRIVERS_AND_FORECAST'!$G$22:$P$22,'01_CONTROL'!$F$11)*(1+F16)/(K15-F16),"")*1/(1+K15)^('01_CONTROL'!$F$11-IF('01_CONTROL'!$F$17=1,0.5,0)),""),"")-'02_COMPANY_INPUTS'!$F$26,"")/'02_COMPANY_INPUTS'!$F$11,""),"")</f>
        <v/>
      </c>
      <c r="L16" s="8">
        <f>IF(AND('01_CONTROL'!$F$13=1,'01_CONTROL'!$F$15=1),IFERROR(IFERROR(IFERROR(SUMPRODUCT('04_DRIVERS_AND_FORECAST'!$G$22:$P$22,1/(1+L15)^('01_CONTROL'!$G$53:$P$53-IF('01_CONTROL'!$F$17=1,0.5,0)),'01_CONTROL'!$G$52:$P$52)+IFERROR(IFERROR(INDEX('04_DRIVERS_AND_FORECAST'!$G$22:$P$22,'01_CONTROL'!$F$11)*(1+F16)/(L15-F16),"")*1/(1+L15)^('01_CONTROL'!$F$11-IF('01_CONTROL'!$F$17=1,0.5,0)),""),"")-'02_COMPANY_INPUTS'!$F$26,"")/'02_COMPANY_INPUTS'!$F$11,""),"")</f>
        <v/>
      </c>
    </row>
    <row r="17" ht="16" customHeight="1">
      <c r="F17" s="63" t="n">
        <v>0.015</v>
      </c>
      <c r="G17" s="8">
        <f>IF(AND('01_CONTROL'!$F$13=1,'01_CONTROL'!$F$15=1),IFERROR(IFERROR(IFERROR(SUMPRODUCT('04_DRIVERS_AND_FORECAST'!$G$22:$P$22,1/(1+G15)^('01_CONTROL'!$G$53:$P$53-IF('01_CONTROL'!$F$17=1,0.5,0)),'01_CONTROL'!$G$52:$P$52)+IFERROR(IFERROR(INDEX('04_DRIVERS_AND_FORECAST'!$G$22:$P$22,'01_CONTROL'!$F$11)*(1+F17)/(G15-F17),"")*1/(1+G15)^('01_CONTROL'!$F$11-IF('01_CONTROL'!$F$17=1,0.5,0)),""),"")-'02_COMPANY_INPUTS'!$F$26,"")/'02_COMPANY_INPUTS'!$F$11,""),"")</f>
        <v/>
      </c>
      <c r="H17" s="8">
        <f>IF(AND('01_CONTROL'!$F$13=1,'01_CONTROL'!$F$15=1),IFERROR(IFERROR(IFERROR(SUMPRODUCT('04_DRIVERS_AND_FORECAST'!$G$22:$P$22,1/(1+H15)^('01_CONTROL'!$G$53:$P$53-IF('01_CONTROL'!$F$17=1,0.5,0)),'01_CONTROL'!$G$52:$P$52)+IFERROR(IFERROR(INDEX('04_DRIVERS_AND_FORECAST'!$G$22:$P$22,'01_CONTROL'!$F$11)*(1+F17)/(H15-F17),"")*1/(1+H15)^('01_CONTROL'!$F$11-IF('01_CONTROL'!$F$17=1,0.5,0)),""),"")-'02_COMPANY_INPUTS'!$F$26,"")/'02_COMPANY_INPUTS'!$F$11,""),"")</f>
        <v/>
      </c>
      <c r="I17" s="8">
        <f>IF(AND('01_CONTROL'!$F$13=1,'01_CONTROL'!$F$15=1),IFERROR(IFERROR(IFERROR(SUMPRODUCT('04_DRIVERS_AND_FORECAST'!$G$22:$P$22,1/(1+I15)^('01_CONTROL'!$G$53:$P$53-IF('01_CONTROL'!$F$17=1,0.5,0)),'01_CONTROL'!$G$52:$P$52)+IFERROR(IFERROR(INDEX('04_DRIVERS_AND_FORECAST'!$G$22:$P$22,'01_CONTROL'!$F$11)*(1+F17)/(I15-F17),"")*1/(1+I15)^('01_CONTROL'!$F$11-IF('01_CONTROL'!$F$17=1,0.5,0)),""),"")-'02_COMPANY_INPUTS'!$F$26,"")/'02_COMPANY_INPUTS'!$F$11,""),"")</f>
        <v/>
      </c>
      <c r="J17" s="8">
        <f>IF(AND('01_CONTROL'!$F$13=1,'01_CONTROL'!$F$15=1),IFERROR(IFERROR(IFERROR(SUMPRODUCT('04_DRIVERS_AND_FORECAST'!$G$22:$P$22,1/(1+J15)^('01_CONTROL'!$G$53:$P$53-IF('01_CONTROL'!$F$17=1,0.5,0)),'01_CONTROL'!$G$52:$P$52)+IFERROR(IFERROR(INDEX('04_DRIVERS_AND_FORECAST'!$G$22:$P$22,'01_CONTROL'!$F$11)*(1+F17)/(J15-F17),"")*1/(1+J15)^('01_CONTROL'!$F$11-IF('01_CONTROL'!$F$17=1,0.5,0)),""),"")-'02_COMPANY_INPUTS'!$F$26,"")/'02_COMPANY_INPUTS'!$F$11,""),"")</f>
        <v/>
      </c>
      <c r="K17" s="8">
        <f>IF(AND('01_CONTROL'!$F$13=1,'01_CONTROL'!$F$15=1),IFERROR(IFERROR(IFERROR(SUMPRODUCT('04_DRIVERS_AND_FORECAST'!$G$22:$P$22,1/(1+K15)^('01_CONTROL'!$G$53:$P$53-IF('01_CONTROL'!$F$17=1,0.5,0)),'01_CONTROL'!$G$52:$P$52)+IFERROR(IFERROR(INDEX('04_DRIVERS_AND_FORECAST'!$G$22:$P$22,'01_CONTROL'!$F$11)*(1+F17)/(K15-F17),"")*1/(1+K15)^('01_CONTROL'!$F$11-IF('01_CONTROL'!$F$17=1,0.5,0)),""),"")-'02_COMPANY_INPUTS'!$F$26,"")/'02_COMPANY_INPUTS'!$F$11,""),"")</f>
        <v/>
      </c>
      <c r="L17" s="8">
        <f>IF(AND('01_CONTROL'!$F$13=1,'01_CONTROL'!$F$15=1),IFERROR(IFERROR(IFERROR(SUMPRODUCT('04_DRIVERS_AND_FORECAST'!$G$22:$P$22,1/(1+L15)^('01_CONTROL'!$G$53:$P$53-IF('01_CONTROL'!$F$17=1,0.5,0)),'01_CONTROL'!$G$52:$P$52)+IFERROR(IFERROR(INDEX('04_DRIVERS_AND_FORECAST'!$G$22:$P$22,'01_CONTROL'!$F$11)*(1+F17)/(L15-F17),"")*1/(1+L15)^('01_CONTROL'!$F$11-IF('01_CONTROL'!$F$17=1,0.5,0)),""),"")-'02_COMPANY_INPUTS'!$F$26,"")/'02_COMPANY_INPUTS'!$F$11,""),"")</f>
        <v/>
      </c>
    </row>
    <row r="18" ht="16" customHeight="1">
      <c r="F18" s="63" t="n">
        <v>0.02</v>
      </c>
      <c r="G18" s="8">
        <f>IF(AND('01_CONTROL'!$F$13=1,'01_CONTROL'!$F$15=1),IFERROR(IFERROR(IFERROR(SUMPRODUCT('04_DRIVERS_AND_FORECAST'!$G$22:$P$22,1/(1+G15)^('01_CONTROL'!$G$53:$P$53-IF('01_CONTROL'!$F$17=1,0.5,0)),'01_CONTROL'!$G$52:$P$52)+IFERROR(IFERROR(INDEX('04_DRIVERS_AND_FORECAST'!$G$22:$P$22,'01_CONTROL'!$F$11)*(1+F18)/(G15-F18),"")*1/(1+G15)^('01_CONTROL'!$F$11-IF('01_CONTROL'!$F$17=1,0.5,0)),""),"")-'02_COMPANY_INPUTS'!$F$26,"")/'02_COMPANY_INPUTS'!$F$11,""),"")</f>
        <v/>
      </c>
      <c r="H18" s="8">
        <f>IF(AND('01_CONTROL'!$F$13=1,'01_CONTROL'!$F$15=1),IFERROR(IFERROR(IFERROR(SUMPRODUCT('04_DRIVERS_AND_FORECAST'!$G$22:$P$22,1/(1+H15)^('01_CONTROL'!$G$53:$P$53-IF('01_CONTROL'!$F$17=1,0.5,0)),'01_CONTROL'!$G$52:$P$52)+IFERROR(IFERROR(INDEX('04_DRIVERS_AND_FORECAST'!$G$22:$P$22,'01_CONTROL'!$F$11)*(1+F18)/(H15-F18),"")*1/(1+H15)^('01_CONTROL'!$F$11-IF('01_CONTROL'!$F$17=1,0.5,0)),""),"")-'02_COMPANY_INPUTS'!$F$26,"")/'02_COMPANY_INPUTS'!$F$11,""),"")</f>
        <v/>
      </c>
      <c r="I18" s="8">
        <f>IF(AND('01_CONTROL'!$F$13=1,'01_CONTROL'!$F$15=1),IFERROR(IFERROR(IFERROR(SUMPRODUCT('04_DRIVERS_AND_FORECAST'!$G$22:$P$22,1/(1+I15)^('01_CONTROL'!$G$53:$P$53-IF('01_CONTROL'!$F$17=1,0.5,0)),'01_CONTROL'!$G$52:$P$52)+IFERROR(IFERROR(INDEX('04_DRIVERS_AND_FORECAST'!$G$22:$P$22,'01_CONTROL'!$F$11)*(1+F18)/(I15-F18),"")*1/(1+I15)^('01_CONTROL'!$F$11-IF('01_CONTROL'!$F$17=1,0.5,0)),""),"")-'02_COMPANY_INPUTS'!$F$26,"")/'02_COMPANY_INPUTS'!$F$11,""),"")</f>
        <v/>
      </c>
      <c r="J18" s="8">
        <f>IF(AND('01_CONTROL'!$F$13=1,'01_CONTROL'!$F$15=1),IFERROR(IFERROR(IFERROR(SUMPRODUCT('04_DRIVERS_AND_FORECAST'!$G$22:$P$22,1/(1+J15)^('01_CONTROL'!$G$53:$P$53-IF('01_CONTROL'!$F$17=1,0.5,0)),'01_CONTROL'!$G$52:$P$52)+IFERROR(IFERROR(INDEX('04_DRIVERS_AND_FORECAST'!$G$22:$P$22,'01_CONTROL'!$F$11)*(1+F18)/(J15-F18),"")*1/(1+J15)^('01_CONTROL'!$F$11-IF('01_CONTROL'!$F$17=1,0.5,0)),""),"")-'02_COMPANY_INPUTS'!$F$26,"")/'02_COMPANY_INPUTS'!$F$11,""),"")</f>
        <v/>
      </c>
      <c r="K18" s="8">
        <f>IF(AND('01_CONTROL'!$F$13=1,'01_CONTROL'!$F$15=1),IFERROR(IFERROR(IFERROR(SUMPRODUCT('04_DRIVERS_AND_FORECAST'!$G$22:$P$22,1/(1+K15)^('01_CONTROL'!$G$53:$P$53-IF('01_CONTROL'!$F$17=1,0.5,0)),'01_CONTROL'!$G$52:$P$52)+IFERROR(IFERROR(INDEX('04_DRIVERS_AND_FORECAST'!$G$22:$P$22,'01_CONTROL'!$F$11)*(1+F18)/(K15-F18),"")*1/(1+K15)^('01_CONTROL'!$F$11-IF('01_CONTROL'!$F$17=1,0.5,0)),""),"")-'02_COMPANY_INPUTS'!$F$26,"")/'02_COMPANY_INPUTS'!$F$11,""),"")</f>
        <v/>
      </c>
      <c r="L18" s="8">
        <f>IF(AND('01_CONTROL'!$F$13=1,'01_CONTROL'!$F$15=1),IFERROR(IFERROR(IFERROR(SUMPRODUCT('04_DRIVERS_AND_FORECAST'!$G$22:$P$22,1/(1+L15)^('01_CONTROL'!$G$53:$P$53-IF('01_CONTROL'!$F$17=1,0.5,0)),'01_CONTROL'!$G$52:$P$52)+IFERROR(IFERROR(INDEX('04_DRIVERS_AND_FORECAST'!$G$22:$P$22,'01_CONTROL'!$F$11)*(1+F18)/(L15-F18),"")*1/(1+L15)^('01_CONTROL'!$F$11-IF('01_CONTROL'!$F$17=1,0.5,0)),""),"")-'02_COMPANY_INPUTS'!$F$26,"")/'02_COMPANY_INPUTS'!$F$11,""),"")</f>
        <v/>
      </c>
    </row>
    <row r="19" ht="16" customHeight="1">
      <c r="F19" s="63" t="n">
        <v>0.025</v>
      </c>
      <c r="G19" s="8">
        <f>IF(AND('01_CONTROL'!$F$13=1,'01_CONTROL'!$F$15=1),IFERROR(IFERROR(IFERROR(SUMPRODUCT('04_DRIVERS_AND_FORECAST'!$G$22:$P$22,1/(1+G15)^('01_CONTROL'!$G$53:$P$53-IF('01_CONTROL'!$F$17=1,0.5,0)),'01_CONTROL'!$G$52:$P$52)+IFERROR(IFERROR(INDEX('04_DRIVERS_AND_FORECAST'!$G$22:$P$22,'01_CONTROL'!$F$11)*(1+F19)/(G15-F19),"")*1/(1+G15)^('01_CONTROL'!$F$11-IF('01_CONTROL'!$F$17=1,0.5,0)),""),"")-'02_COMPANY_INPUTS'!$F$26,"")/'02_COMPANY_INPUTS'!$F$11,""),"")</f>
        <v/>
      </c>
      <c r="H19" s="8">
        <f>IF(AND('01_CONTROL'!$F$13=1,'01_CONTROL'!$F$15=1),IFERROR(IFERROR(IFERROR(SUMPRODUCT('04_DRIVERS_AND_FORECAST'!$G$22:$P$22,1/(1+H15)^('01_CONTROL'!$G$53:$P$53-IF('01_CONTROL'!$F$17=1,0.5,0)),'01_CONTROL'!$G$52:$P$52)+IFERROR(IFERROR(INDEX('04_DRIVERS_AND_FORECAST'!$G$22:$P$22,'01_CONTROL'!$F$11)*(1+F19)/(H15-F19),"")*1/(1+H15)^('01_CONTROL'!$F$11-IF('01_CONTROL'!$F$17=1,0.5,0)),""),"")-'02_COMPANY_INPUTS'!$F$26,"")/'02_COMPANY_INPUTS'!$F$11,""),"")</f>
        <v/>
      </c>
      <c r="I19" s="8">
        <f>IF(AND('01_CONTROL'!$F$13=1,'01_CONTROL'!$F$15=1),IFERROR(IFERROR(IFERROR(SUMPRODUCT('04_DRIVERS_AND_FORECAST'!$G$22:$P$22,1/(1+I15)^('01_CONTROL'!$G$53:$P$53-IF('01_CONTROL'!$F$17=1,0.5,0)),'01_CONTROL'!$G$52:$P$52)+IFERROR(IFERROR(INDEX('04_DRIVERS_AND_FORECAST'!$G$22:$P$22,'01_CONTROL'!$F$11)*(1+F19)/(I15-F19),"")*1/(1+I15)^('01_CONTROL'!$F$11-IF('01_CONTROL'!$F$17=1,0.5,0)),""),"")-'02_COMPANY_INPUTS'!$F$26,"")/'02_COMPANY_INPUTS'!$F$11,""),"")</f>
        <v/>
      </c>
      <c r="J19" s="8">
        <f>IF(AND('01_CONTROL'!$F$13=1,'01_CONTROL'!$F$15=1),IFERROR(IFERROR(IFERROR(SUMPRODUCT('04_DRIVERS_AND_FORECAST'!$G$22:$P$22,1/(1+J15)^('01_CONTROL'!$G$53:$P$53-IF('01_CONTROL'!$F$17=1,0.5,0)),'01_CONTROL'!$G$52:$P$52)+IFERROR(IFERROR(INDEX('04_DRIVERS_AND_FORECAST'!$G$22:$P$22,'01_CONTROL'!$F$11)*(1+F19)/(J15-F19),"")*1/(1+J15)^('01_CONTROL'!$F$11-IF('01_CONTROL'!$F$17=1,0.5,0)),""),"")-'02_COMPANY_INPUTS'!$F$26,"")/'02_COMPANY_INPUTS'!$F$11,""),"")</f>
        <v/>
      </c>
      <c r="K19" s="8">
        <f>IF(AND('01_CONTROL'!$F$13=1,'01_CONTROL'!$F$15=1),IFERROR(IFERROR(IFERROR(SUMPRODUCT('04_DRIVERS_AND_FORECAST'!$G$22:$P$22,1/(1+K15)^('01_CONTROL'!$G$53:$P$53-IF('01_CONTROL'!$F$17=1,0.5,0)),'01_CONTROL'!$G$52:$P$52)+IFERROR(IFERROR(INDEX('04_DRIVERS_AND_FORECAST'!$G$22:$P$22,'01_CONTROL'!$F$11)*(1+F19)/(K15-F19),"")*1/(1+K15)^('01_CONTROL'!$F$11-IF('01_CONTROL'!$F$17=1,0.5,0)),""),"")-'02_COMPANY_INPUTS'!$F$26,"")/'02_COMPANY_INPUTS'!$F$11,""),"")</f>
        <v/>
      </c>
      <c r="L19" s="8">
        <f>IF(AND('01_CONTROL'!$F$13=1,'01_CONTROL'!$F$15=1),IFERROR(IFERROR(IFERROR(SUMPRODUCT('04_DRIVERS_AND_FORECAST'!$G$22:$P$22,1/(1+L15)^('01_CONTROL'!$G$53:$P$53-IF('01_CONTROL'!$F$17=1,0.5,0)),'01_CONTROL'!$G$52:$P$52)+IFERROR(IFERROR(INDEX('04_DRIVERS_AND_FORECAST'!$G$22:$P$22,'01_CONTROL'!$F$11)*(1+F19)/(L15-F19),"")*1/(1+L15)^('01_CONTROL'!$F$11-IF('01_CONTROL'!$F$17=1,0.5,0)),""),"")-'02_COMPANY_INPUTS'!$F$26,"")/'02_COMPANY_INPUTS'!$F$11,""),"")</f>
        <v/>
      </c>
    </row>
    <row r="20" ht="16" customHeight="1">
      <c r="F20" s="63" t="n">
        <v>0.03</v>
      </c>
      <c r="G20" s="8">
        <f>IF(AND('01_CONTROL'!$F$13=1,'01_CONTROL'!$F$15=1),IFERROR(IFERROR(IFERROR(SUMPRODUCT('04_DRIVERS_AND_FORECAST'!$G$22:$P$22,1/(1+G15)^('01_CONTROL'!$G$53:$P$53-IF('01_CONTROL'!$F$17=1,0.5,0)),'01_CONTROL'!$G$52:$P$52)+IFERROR(IFERROR(INDEX('04_DRIVERS_AND_FORECAST'!$G$22:$P$22,'01_CONTROL'!$F$11)*(1+F20)/(G15-F20),"")*1/(1+G15)^('01_CONTROL'!$F$11-IF('01_CONTROL'!$F$17=1,0.5,0)),""),"")-'02_COMPANY_INPUTS'!$F$26,"")/'02_COMPANY_INPUTS'!$F$11,""),"")</f>
        <v/>
      </c>
      <c r="H20" s="8">
        <f>IF(AND('01_CONTROL'!$F$13=1,'01_CONTROL'!$F$15=1),IFERROR(IFERROR(IFERROR(SUMPRODUCT('04_DRIVERS_AND_FORECAST'!$G$22:$P$22,1/(1+H15)^('01_CONTROL'!$G$53:$P$53-IF('01_CONTROL'!$F$17=1,0.5,0)),'01_CONTROL'!$G$52:$P$52)+IFERROR(IFERROR(INDEX('04_DRIVERS_AND_FORECAST'!$G$22:$P$22,'01_CONTROL'!$F$11)*(1+F20)/(H15-F20),"")*1/(1+H15)^('01_CONTROL'!$F$11-IF('01_CONTROL'!$F$17=1,0.5,0)),""),"")-'02_COMPANY_INPUTS'!$F$26,"")/'02_COMPANY_INPUTS'!$F$11,""),"")</f>
        <v/>
      </c>
      <c r="I20" s="8">
        <f>IF(AND('01_CONTROL'!$F$13=1,'01_CONTROL'!$F$15=1),IFERROR(IFERROR(IFERROR(SUMPRODUCT('04_DRIVERS_AND_FORECAST'!$G$22:$P$22,1/(1+I15)^('01_CONTROL'!$G$53:$P$53-IF('01_CONTROL'!$F$17=1,0.5,0)),'01_CONTROL'!$G$52:$P$52)+IFERROR(IFERROR(INDEX('04_DRIVERS_AND_FORECAST'!$G$22:$P$22,'01_CONTROL'!$F$11)*(1+F20)/(I15-F20),"")*1/(1+I15)^('01_CONTROL'!$F$11-IF('01_CONTROL'!$F$17=1,0.5,0)),""),"")-'02_COMPANY_INPUTS'!$F$26,"")/'02_COMPANY_INPUTS'!$F$11,""),"")</f>
        <v/>
      </c>
      <c r="J20" s="8">
        <f>IF(AND('01_CONTROL'!$F$13=1,'01_CONTROL'!$F$15=1),IFERROR(IFERROR(IFERROR(SUMPRODUCT('04_DRIVERS_AND_FORECAST'!$G$22:$P$22,1/(1+J15)^('01_CONTROL'!$G$53:$P$53-IF('01_CONTROL'!$F$17=1,0.5,0)),'01_CONTROL'!$G$52:$P$52)+IFERROR(IFERROR(INDEX('04_DRIVERS_AND_FORECAST'!$G$22:$P$22,'01_CONTROL'!$F$11)*(1+F20)/(J15-F20),"")*1/(1+J15)^('01_CONTROL'!$F$11-IF('01_CONTROL'!$F$17=1,0.5,0)),""),"")-'02_COMPANY_INPUTS'!$F$26,"")/'02_COMPANY_INPUTS'!$F$11,""),"")</f>
        <v/>
      </c>
      <c r="K20" s="8">
        <f>IF(AND('01_CONTROL'!$F$13=1,'01_CONTROL'!$F$15=1),IFERROR(IFERROR(IFERROR(SUMPRODUCT('04_DRIVERS_AND_FORECAST'!$G$22:$P$22,1/(1+K15)^('01_CONTROL'!$G$53:$P$53-IF('01_CONTROL'!$F$17=1,0.5,0)),'01_CONTROL'!$G$52:$P$52)+IFERROR(IFERROR(INDEX('04_DRIVERS_AND_FORECAST'!$G$22:$P$22,'01_CONTROL'!$F$11)*(1+F20)/(K15-F20),"")*1/(1+K15)^('01_CONTROL'!$F$11-IF('01_CONTROL'!$F$17=1,0.5,0)),""),"")-'02_COMPANY_INPUTS'!$F$26,"")/'02_COMPANY_INPUTS'!$F$11,""),"")</f>
        <v/>
      </c>
      <c r="L20" s="8">
        <f>IF(AND('01_CONTROL'!$F$13=1,'01_CONTROL'!$F$15=1),IFERROR(IFERROR(IFERROR(SUMPRODUCT('04_DRIVERS_AND_FORECAST'!$G$22:$P$22,1/(1+L15)^('01_CONTROL'!$G$53:$P$53-IF('01_CONTROL'!$F$17=1,0.5,0)),'01_CONTROL'!$G$52:$P$52)+IFERROR(IFERROR(INDEX('04_DRIVERS_AND_FORECAST'!$G$22:$P$22,'01_CONTROL'!$F$11)*(1+F20)/(L15-F20),"")*1/(1+L15)^('01_CONTROL'!$F$11-IF('01_CONTROL'!$F$17=1,0.5,0)),""),"")-'02_COMPANY_INPUTS'!$F$26,"")/'02_COMPANY_INPUTS'!$F$11,""),"")</f>
        <v/>
      </c>
    </row>
    <row r="21" ht="16" customHeight="1">
      <c r="F21" s="63" t="n">
        <v>0.035</v>
      </c>
      <c r="G21" s="8">
        <f>IF(AND('01_CONTROL'!$F$13=1,'01_CONTROL'!$F$15=1),IFERROR(IFERROR(IFERROR(SUMPRODUCT('04_DRIVERS_AND_FORECAST'!$G$22:$P$22,1/(1+G15)^('01_CONTROL'!$G$53:$P$53-IF('01_CONTROL'!$F$17=1,0.5,0)),'01_CONTROL'!$G$52:$P$52)+IFERROR(IFERROR(INDEX('04_DRIVERS_AND_FORECAST'!$G$22:$P$22,'01_CONTROL'!$F$11)*(1+F21)/(G15-F21),"")*1/(1+G15)^('01_CONTROL'!$F$11-IF('01_CONTROL'!$F$17=1,0.5,0)),""),"")-'02_COMPANY_INPUTS'!$F$26,"")/'02_COMPANY_INPUTS'!$F$11,""),"")</f>
        <v/>
      </c>
      <c r="H21" s="8">
        <f>IF(AND('01_CONTROL'!$F$13=1,'01_CONTROL'!$F$15=1),IFERROR(IFERROR(IFERROR(SUMPRODUCT('04_DRIVERS_AND_FORECAST'!$G$22:$P$22,1/(1+H15)^('01_CONTROL'!$G$53:$P$53-IF('01_CONTROL'!$F$17=1,0.5,0)),'01_CONTROL'!$G$52:$P$52)+IFERROR(IFERROR(INDEX('04_DRIVERS_AND_FORECAST'!$G$22:$P$22,'01_CONTROL'!$F$11)*(1+F21)/(H15-F21),"")*1/(1+H15)^('01_CONTROL'!$F$11-IF('01_CONTROL'!$F$17=1,0.5,0)),""),"")-'02_COMPANY_INPUTS'!$F$26,"")/'02_COMPANY_INPUTS'!$F$11,""),"")</f>
        <v/>
      </c>
      <c r="I21" s="8">
        <f>IF(AND('01_CONTROL'!$F$13=1,'01_CONTROL'!$F$15=1),IFERROR(IFERROR(IFERROR(SUMPRODUCT('04_DRIVERS_AND_FORECAST'!$G$22:$P$22,1/(1+I15)^('01_CONTROL'!$G$53:$P$53-IF('01_CONTROL'!$F$17=1,0.5,0)),'01_CONTROL'!$G$52:$P$52)+IFERROR(IFERROR(INDEX('04_DRIVERS_AND_FORECAST'!$G$22:$P$22,'01_CONTROL'!$F$11)*(1+F21)/(I15-F21),"")*1/(1+I15)^('01_CONTROL'!$F$11-IF('01_CONTROL'!$F$17=1,0.5,0)),""),"")-'02_COMPANY_INPUTS'!$F$26,"")/'02_COMPANY_INPUTS'!$F$11,""),"")</f>
        <v/>
      </c>
      <c r="J21" s="8">
        <f>IF(AND('01_CONTROL'!$F$13=1,'01_CONTROL'!$F$15=1),IFERROR(IFERROR(IFERROR(SUMPRODUCT('04_DRIVERS_AND_FORECAST'!$G$22:$P$22,1/(1+J15)^('01_CONTROL'!$G$53:$P$53-IF('01_CONTROL'!$F$17=1,0.5,0)),'01_CONTROL'!$G$52:$P$52)+IFERROR(IFERROR(INDEX('04_DRIVERS_AND_FORECAST'!$G$22:$P$22,'01_CONTROL'!$F$11)*(1+F21)/(J15-F21),"")*1/(1+J15)^('01_CONTROL'!$F$11-IF('01_CONTROL'!$F$17=1,0.5,0)),""),"")-'02_COMPANY_INPUTS'!$F$26,"")/'02_COMPANY_INPUTS'!$F$11,""),"")</f>
        <v/>
      </c>
      <c r="K21" s="8">
        <f>IF(AND('01_CONTROL'!$F$13=1,'01_CONTROL'!$F$15=1),IFERROR(IFERROR(IFERROR(SUMPRODUCT('04_DRIVERS_AND_FORECAST'!$G$22:$P$22,1/(1+K15)^('01_CONTROL'!$G$53:$P$53-IF('01_CONTROL'!$F$17=1,0.5,0)),'01_CONTROL'!$G$52:$P$52)+IFERROR(IFERROR(INDEX('04_DRIVERS_AND_FORECAST'!$G$22:$P$22,'01_CONTROL'!$F$11)*(1+F21)/(K15-F21),"")*1/(1+K15)^('01_CONTROL'!$F$11-IF('01_CONTROL'!$F$17=1,0.5,0)),""),"")-'02_COMPANY_INPUTS'!$F$26,"")/'02_COMPANY_INPUTS'!$F$11,""),"")</f>
        <v/>
      </c>
      <c r="L21" s="8">
        <f>IF(AND('01_CONTROL'!$F$13=1,'01_CONTROL'!$F$15=1),IFERROR(IFERROR(IFERROR(SUMPRODUCT('04_DRIVERS_AND_FORECAST'!$G$22:$P$22,1/(1+L15)^('01_CONTROL'!$G$53:$P$53-IF('01_CONTROL'!$F$17=1,0.5,0)),'01_CONTROL'!$G$52:$P$52)+IFERROR(IFERROR(INDEX('04_DRIVERS_AND_FORECAST'!$G$22:$P$22,'01_CONTROL'!$F$11)*(1+F21)/(L15-F21),"")*1/(1+L15)^('01_CONTROL'!$F$11-IF('01_CONTROL'!$F$17=1,0.5,0)),""),"")-'02_COMPANY_INPUTS'!$F$26,"")/'02_COMPANY_INPUTS'!$F$11,""),"")</f>
        <v/>
      </c>
    </row>
    <row r="22" ht="16" customHeight="1"/>
    <row r="23" ht="16" customHeight="1"/>
    <row r="24" ht="20" customHeight="1">
      <c r="B24" s="5" t="inlineStr">
        <is>
          <t>DCF SENSITIVITY: WACC VS EXIT MULTIPLE (EXIT MULTIPLE)</t>
        </is>
      </c>
      <c r="C24" s="20" t="n"/>
      <c r="D24" s="20" t="n"/>
      <c r="E24" s="20" t="n"/>
    </row>
    <row r="25" ht="16" customHeight="1">
      <c r="F25" s="50" t="inlineStr">
        <is>
          <t>Exit \ WACC</t>
        </is>
      </c>
      <c r="G25" s="63">
        <f>'06_DCF_WACC'!$F$20+(-0.02)</f>
        <v/>
      </c>
      <c r="H25" s="63">
        <f>'06_DCF_WACC'!$F$20+(-0.01)</f>
        <v/>
      </c>
      <c r="I25" s="63">
        <f>'06_DCF_WACC'!$F$20+(0.0)</f>
        <v/>
      </c>
      <c r="J25" s="63">
        <f>'06_DCF_WACC'!$F$20+(0.01)</f>
        <v/>
      </c>
      <c r="K25" s="63">
        <f>'06_DCF_WACC'!$F$20+(0.02)</f>
        <v/>
      </c>
      <c r="L25" s="63">
        <f>'06_DCF_WACC'!$F$20+(0.03)</f>
        <v/>
      </c>
    </row>
    <row r="26" ht="16" customHeight="1">
      <c r="F26" s="64" t="n">
        <v>8</v>
      </c>
      <c r="G26" s="8">
        <f>IF(AND('01_CONTROL'!$F$13=1,'01_CONTROL'!$F$15=0),IFERROR(IFERROR(IFERROR(SUMPRODUCT('04_DRIVERS_AND_FORECAST'!$G$22:$P$22,1/(1+G25)^('01_CONTROL'!$G$53:$P$53-IF('01_CONTROL'!$F$17=1,0.5,0)),'01_CONTROL'!$G$52:$P$52)+IFERROR(IFERROR(INDEX('04_DRIVERS_AND_FORECAST'!$G$14:$P$14,'01_CONTROL'!$F$11)*F26,"")*1/(1+G25)^('01_CONTROL'!$F$11-IF('01_CONTROL'!$F$17=1,0.5,0)),""),"")-'02_COMPANY_INPUTS'!$F$26,"")/'02_COMPANY_INPUTS'!$F$11,""),"")</f>
        <v/>
      </c>
      <c r="H26" s="8">
        <f>IF(AND('01_CONTROL'!$F$13=1,'01_CONTROL'!$F$15=0),IFERROR(IFERROR(IFERROR(SUMPRODUCT('04_DRIVERS_AND_FORECAST'!$G$22:$P$22,1/(1+H25)^('01_CONTROL'!$G$53:$P$53-IF('01_CONTROL'!$F$17=1,0.5,0)),'01_CONTROL'!$G$52:$P$52)+IFERROR(IFERROR(INDEX('04_DRIVERS_AND_FORECAST'!$G$14:$P$14,'01_CONTROL'!$F$11)*F26,"")*1/(1+H25)^('01_CONTROL'!$F$11-IF('01_CONTROL'!$F$17=1,0.5,0)),""),"")-'02_COMPANY_INPUTS'!$F$26,"")/'02_COMPANY_INPUTS'!$F$11,""),"")</f>
        <v/>
      </c>
      <c r="I26" s="8">
        <f>IF(AND('01_CONTROL'!$F$13=1,'01_CONTROL'!$F$15=0),IFERROR(IFERROR(IFERROR(SUMPRODUCT('04_DRIVERS_AND_FORECAST'!$G$22:$P$22,1/(1+I25)^('01_CONTROL'!$G$53:$P$53-IF('01_CONTROL'!$F$17=1,0.5,0)),'01_CONTROL'!$G$52:$P$52)+IFERROR(IFERROR(INDEX('04_DRIVERS_AND_FORECAST'!$G$14:$P$14,'01_CONTROL'!$F$11)*F26,"")*1/(1+I25)^('01_CONTROL'!$F$11-IF('01_CONTROL'!$F$17=1,0.5,0)),""),"")-'02_COMPANY_INPUTS'!$F$26,"")/'02_COMPANY_INPUTS'!$F$11,""),"")</f>
        <v/>
      </c>
      <c r="J26" s="8">
        <f>IF(AND('01_CONTROL'!$F$13=1,'01_CONTROL'!$F$15=0),IFERROR(IFERROR(IFERROR(SUMPRODUCT('04_DRIVERS_AND_FORECAST'!$G$22:$P$22,1/(1+J25)^('01_CONTROL'!$G$53:$P$53-IF('01_CONTROL'!$F$17=1,0.5,0)),'01_CONTROL'!$G$52:$P$52)+IFERROR(IFERROR(INDEX('04_DRIVERS_AND_FORECAST'!$G$14:$P$14,'01_CONTROL'!$F$11)*F26,"")*1/(1+J25)^('01_CONTROL'!$F$11-IF('01_CONTROL'!$F$17=1,0.5,0)),""),"")-'02_COMPANY_INPUTS'!$F$26,"")/'02_COMPANY_INPUTS'!$F$11,""),"")</f>
        <v/>
      </c>
      <c r="K26" s="8">
        <f>IF(AND('01_CONTROL'!$F$13=1,'01_CONTROL'!$F$15=0),IFERROR(IFERROR(IFERROR(SUMPRODUCT('04_DRIVERS_AND_FORECAST'!$G$22:$P$22,1/(1+K25)^('01_CONTROL'!$G$53:$P$53-IF('01_CONTROL'!$F$17=1,0.5,0)),'01_CONTROL'!$G$52:$P$52)+IFERROR(IFERROR(INDEX('04_DRIVERS_AND_FORECAST'!$G$14:$P$14,'01_CONTROL'!$F$11)*F26,"")*1/(1+K25)^('01_CONTROL'!$F$11-IF('01_CONTROL'!$F$17=1,0.5,0)),""),"")-'02_COMPANY_INPUTS'!$F$26,"")/'02_COMPANY_INPUTS'!$F$11,""),"")</f>
        <v/>
      </c>
      <c r="L26" s="8">
        <f>IF(AND('01_CONTROL'!$F$13=1,'01_CONTROL'!$F$15=0),IFERROR(IFERROR(IFERROR(SUMPRODUCT('04_DRIVERS_AND_FORECAST'!$G$22:$P$22,1/(1+L25)^('01_CONTROL'!$G$53:$P$53-IF('01_CONTROL'!$F$17=1,0.5,0)),'01_CONTROL'!$G$52:$P$52)+IFERROR(IFERROR(INDEX('04_DRIVERS_AND_FORECAST'!$G$14:$P$14,'01_CONTROL'!$F$11)*F26,"")*1/(1+L25)^('01_CONTROL'!$F$11-IF('01_CONTROL'!$F$17=1,0.5,0)),""),"")-'02_COMPANY_INPUTS'!$F$26,"")/'02_COMPANY_INPUTS'!$F$11,""),"")</f>
        <v/>
      </c>
    </row>
    <row r="27" ht="16" customHeight="1">
      <c r="F27" s="64" t="n">
        <v>9</v>
      </c>
      <c r="G27" s="8">
        <f>IF(AND('01_CONTROL'!$F$13=1,'01_CONTROL'!$F$15=0),IFERROR(IFERROR(IFERROR(SUMPRODUCT('04_DRIVERS_AND_FORECAST'!$G$22:$P$22,1/(1+G25)^('01_CONTROL'!$G$53:$P$53-IF('01_CONTROL'!$F$17=1,0.5,0)),'01_CONTROL'!$G$52:$P$52)+IFERROR(IFERROR(INDEX('04_DRIVERS_AND_FORECAST'!$G$14:$P$14,'01_CONTROL'!$F$11)*F27,"")*1/(1+G25)^('01_CONTROL'!$F$11-IF('01_CONTROL'!$F$17=1,0.5,0)),""),"")-'02_COMPANY_INPUTS'!$F$26,"")/'02_COMPANY_INPUTS'!$F$11,""),"")</f>
        <v/>
      </c>
      <c r="H27" s="8">
        <f>IF(AND('01_CONTROL'!$F$13=1,'01_CONTROL'!$F$15=0),IFERROR(IFERROR(IFERROR(SUMPRODUCT('04_DRIVERS_AND_FORECAST'!$G$22:$P$22,1/(1+H25)^('01_CONTROL'!$G$53:$P$53-IF('01_CONTROL'!$F$17=1,0.5,0)),'01_CONTROL'!$G$52:$P$52)+IFERROR(IFERROR(INDEX('04_DRIVERS_AND_FORECAST'!$G$14:$P$14,'01_CONTROL'!$F$11)*F27,"")*1/(1+H25)^('01_CONTROL'!$F$11-IF('01_CONTROL'!$F$17=1,0.5,0)),""),"")-'02_COMPANY_INPUTS'!$F$26,"")/'02_COMPANY_INPUTS'!$F$11,""),"")</f>
        <v/>
      </c>
      <c r="I27" s="8">
        <f>IF(AND('01_CONTROL'!$F$13=1,'01_CONTROL'!$F$15=0),IFERROR(IFERROR(IFERROR(SUMPRODUCT('04_DRIVERS_AND_FORECAST'!$G$22:$P$22,1/(1+I25)^('01_CONTROL'!$G$53:$P$53-IF('01_CONTROL'!$F$17=1,0.5,0)),'01_CONTROL'!$G$52:$P$52)+IFERROR(IFERROR(INDEX('04_DRIVERS_AND_FORECAST'!$G$14:$P$14,'01_CONTROL'!$F$11)*F27,"")*1/(1+I25)^('01_CONTROL'!$F$11-IF('01_CONTROL'!$F$17=1,0.5,0)),""),"")-'02_COMPANY_INPUTS'!$F$26,"")/'02_COMPANY_INPUTS'!$F$11,""),"")</f>
        <v/>
      </c>
      <c r="J27" s="8">
        <f>IF(AND('01_CONTROL'!$F$13=1,'01_CONTROL'!$F$15=0),IFERROR(IFERROR(IFERROR(SUMPRODUCT('04_DRIVERS_AND_FORECAST'!$G$22:$P$22,1/(1+J25)^('01_CONTROL'!$G$53:$P$53-IF('01_CONTROL'!$F$17=1,0.5,0)),'01_CONTROL'!$G$52:$P$52)+IFERROR(IFERROR(INDEX('04_DRIVERS_AND_FORECAST'!$G$14:$P$14,'01_CONTROL'!$F$11)*F27,"")*1/(1+J25)^('01_CONTROL'!$F$11-IF('01_CONTROL'!$F$17=1,0.5,0)),""),"")-'02_COMPANY_INPUTS'!$F$26,"")/'02_COMPANY_INPUTS'!$F$11,""),"")</f>
        <v/>
      </c>
      <c r="K27" s="8">
        <f>IF(AND('01_CONTROL'!$F$13=1,'01_CONTROL'!$F$15=0),IFERROR(IFERROR(IFERROR(SUMPRODUCT('04_DRIVERS_AND_FORECAST'!$G$22:$P$22,1/(1+K25)^('01_CONTROL'!$G$53:$P$53-IF('01_CONTROL'!$F$17=1,0.5,0)),'01_CONTROL'!$G$52:$P$52)+IFERROR(IFERROR(INDEX('04_DRIVERS_AND_FORECAST'!$G$14:$P$14,'01_CONTROL'!$F$11)*F27,"")*1/(1+K25)^('01_CONTROL'!$F$11-IF('01_CONTROL'!$F$17=1,0.5,0)),""),"")-'02_COMPANY_INPUTS'!$F$26,"")/'02_COMPANY_INPUTS'!$F$11,""),"")</f>
        <v/>
      </c>
      <c r="L27" s="8">
        <f>IF(AND('01_CONTROL'!$F$13=1,'01_CONTROL'!$F$15=0),IFERROR(IFERROR(IFERROR(SUMPRODUCT('04_DRIVERS_AND_FORECAST'!$G$22:$P$22,1/(1+L25)^('01_CONTROL'!$G$53:$P$53-IF('01_CONTROL'!$F$17=1,0.5,0)),'01_CONTROL'!$G$52:$P$52)+IFERROR(IFERROR(INDEX('04_DRIVERS_AND_FORECAST'!$G$14:$P$14,'01_CONTROL'!$F$11)*F27,"")*1/(1+L25)^('01_CONTROL'!$F$11-IF('01_CONTROL'!$F$17=1,0.5,0)),""),"")-'02_COMPANY_INPUTS'!$F$26,"")/'02_COMPANY_INPUTS'!$F$11,""),"")</f>
        <v/>
      </c>
    </row>
    <row r="28" ht="16" customHeight="1">
      <c r="F28" s="64" t="n">
        <v>10</v>
      </c>
      <c r="G28" s="8">
        <f>IF(AND('01_CONTROL'!$F$13=1,'01_CONTROL'!$F$15=0),IFERROR(IFERROR(IFERROR(SUMPRODUCT('04_DRIVERS_AND_FORECAST'!$G$22:$P$22,1/(1+G25)^('01_CONTROL'!$G$53:$P$53-IF('01_CONTROL'!$F$17=1,0.5,0)),'01_CONTROL'!$G$52:$P$52)+IFERROR(IFERROR(INDEX('04_DRIVERS_AND_FORECAST'!$G$14:$P$14,'01_CONTROL'!$F$11)*F28,"")*1/(1+G25)^('01_CONTROL'!$F$11-IF('01_CONTROL'!$F$17=1,0.5,0)),""),"")-'02_COMPANY_INPUTS'!$F$26,"")/'02_COMPANY_INPUTS'!$F$11,""),"")</f>
        <v/>
      </c>
      <c r="H28" s="8">
        <f>IF(AND('01_CONTROL'!$F$13=1,'01_CONTROL'!$F$15=0),IFERROR(IFERROR(IFERROR(SUMPRODUCT('04_DRIVERS_AND_FORECAST'!$G$22:$P$22,1/(1+H25)^('01_CONTROL'!$G$53:$P$53-IF('01_CONTROL'!$F$17=1,0.5,0)),'01_CONTROL'!$G$52:$P$52)+IFERROR(IFERROR(INDEX('04_DRIVERS_AND_FORECAST'!$G$14:$P$14,'01_CONTROL'!$F$11)*F28,"")*1/(1+H25)^('01_CONTROL'!$F$11-IF('01_CONTROL'!$F$17=1,0.5,0)),""),"")-'02_COMPANY_INPUTS'!$F$26,"")/'02_COMPANY_INPUTS'!$F$11,""),"")</f>
        <v/>
      </c>
      <c r="I28" s="8">
        <f>IF(AND('01_CONTROL'!$F$13=1,'01_CONTROL'!$F$15=0),IFERROR(IFERROR(IFERROR(SUMPRODUCT('04_DRIVERS_AND_FORECAST'!$G$22:$P$22,1/(1+I25)^('01_CONTROL'!$G$53:$P$53-IF('01_CONTROL'!$F$17=1,0.5,0)),'01_CONTROL'!$G$52:$P$52)+IFERROR(IFERROR(INDEX('04_DRIVERS_AND_FORECAST'!$G$14:$P$14,'01_CONTROL'!$F$11)*F28,"")*1/(1+I25)^('01_CONTROL'!$F$11-IF('01_CONTROL'!$F$17=1,0.5,0)),""),"")-'02_COMPANY_INPUTS'!$F$26,"")/'02_COMPANY_INPUTS'!$F$11,""),"")</f>
        <v/>
      </c>
      <c r="J28" s="8">
        <f>IF(AND('01_CONTROL'!$F$13=1,'01_CONTROL'!$F$15=0),IFERROR(IFERROR(IFERROR(SUMPRODUCT('04_DRIVERS_AND_FORECAST'!$G$22:$P$22,1/(1+J25)^('01_CONTROL'!$G$53:$P$53-IF('01_CONTROL'!$F$17=1,0.5,0)),'01_CONTROL'!$G$52:$P$52)+IFERROR(IFERROR(INDEX('04_DRIVERS_AND_FORECAST'!$G$14:$P$14,'01_CONTROL'!$F$11)*F28,"")*1/(1+J25)^('01_CONTROL'!$F$11-IF('01_CONTROL'!$F$17=1,0.5,0)),""),"")-'02_COMPANY_INPUTS'!$F$26,"")/'02_COMPANY_INPUTS'!$F$11,""),"")</f>
        <v/>
      </c>
      <c r="K28" s="8">
        <f>IF(AND('01_CONTROL'!$F$13=1,'01_CONTROL'!$F$15=0),IFERROR(IFERROR(IFERROR(SUMPRODUCT('04_DRIVERS_AND_FORECAST'!$G$22:$P$22,1/(1+K25)^('01_CONTROL'!$G$53:$P$53-IF('01_CONTROL'!$F$17=1,0.5,0)),'01_CONTROL'!$G$52:$P$52)+IFERROR(IFERROR(INDEX('04_DRIVERS_AND_FORECAST'!$G$14:$P$14,'01_CONTROL'!$F$11)*F28,"")*1/(1+K25)^('01_CONTROL'!$F$11-IF('01_CONTROL'!$F$17=1,0.5,0)),""),"")-'02_COMPANY_INPUTS'!$F$26,"")/'02_COMPANY_INPUTS'!$F$11,""),"")</f>
        <v/>
      </c>
      <c r="L28" s="8">
        <f>IF(AND('01_CONTROL'!$F$13=1,'01_CONTROL'!$F$15=0),IFERROR(IFERROR(IFERROR(SUMPRODUCT('04_DRIVERS_AND_FORECAST'!$G$22:$P$22,1/(1+L25)^('01_CONTROL'!$G$53:$P$53-IF('01_CONTROL'!$F$17=1,0.5,0)),'01_CONTROL'!$G$52:$P$52)+IFERROR(IFERROR(INDEX('04_DRIVERS_AND_FORECAST'!$G$14:$P$14,'01_CONTROL'!$F$11)*F28,"")*1/(1+L25)^('01_CONTROL'!$F$11-IF('01_CONTROL'!$F$17=1,0.5,0)),""),"")-'02_COMPANY_INPUTS'!$F$26,"")/'02_COMPANY_INPUTS'!$F$11,""),"")</f>
        <v/>
      </c>
    </row>
    <row r="29" ht="16" customHeight="1">
      <c r="F29" s="64" t="n">
        <v>11</v>
      </c>
      <c r="G29" s="8">
        <f>IF(AND('01_CONTROL'!$F$13=1,'01_CONTROL'!$F$15=0),IFERROR(IFERROR(IFERROR(SUMPRODUCT('04_DRIVERS_AND_FORECAST'!$G$22:$P$22,1/(1+G25)^('01_CONTROL'!$G$53:$P$53-IF('01_CONTROL'!$F$17=1,0.5,0)),'01_CONTROL'!$G$52:$P$52)+IFERROR(IFERROR(INDEX('04_DRIVERS_AND_FORECAST'!$G$14:$P$14,'01_CONTROL'!$F$11)*F29,"")*1/(1+G25)^('01_CONTROL'!$F$11-IF('01_CONTROL'!$F$17=1,0.5,0)),""),"")-'02_COMPANY_INPUTS'!$F$26,"")/'02_COMPANY_INPUTS'!$F$11,""),"")</f>
        <v/>
      </c>
      <c r="H29" s="8">
        <f>IF(AND('01_CONTROL'!$F$13=1,'01_CONTROL'!$F$15=0),IFERROR(IFERROR(IFERROR(SUMPRODUCT('04_DRIVERS_AND_FORECAST'!$G$22:$P$22,1/(1+H25)^('01_CONTROL'!$G$53:$P$53-IF('01_CONTROL'!$F$17=1,0.5,0)),'01_CONTROL'!$G$52:$P$52)+IFERROR(IFERROR(INDEX('04_DRIVERS_AND_FORECAST'!$G$14:$P$14,'01_CONTROL'!$F$11)*F29,"")*1/(1+H25)^('01_CONTROL'!$F$11-IF('01_CONTROL'!$F$17=1,0.5,0)),""),"")-'02_COMPANY_INPUTS'!$F$26,"")/'02_COMPANY_INPUTS'!$F$11,""),"")</f>
        <v/>
      </c>
      <c r="I29" s="8">
        <f>IF(AND('01_CONTROL'!$F$13=1,'01_CONTROL'!$F$15=0),IFERROR(IFERROR(IFERROR(SUMPRODUCT('04_DRIVERS_AND_FORECAST'!$G$22:$P$22,1/(1+I25)^('01_CONTROL'!$G$53:$P$53-IF('01_CONTROL'!$F$17=1,0.5,0)),'01_CONTROL'!$G$52:$P$52)+IFERROR(IFERROR(INDEX('04_DRIVERS_AND_FORECAST'!$G$14:$P$14,'01_CONTROL'!$F$11)*F29,"")*1/(1+I25)^('01_CONTROL'!$F$11-IF('01_CONTROL'!$F$17=1,0.5,0)),""),"")-'02_COMPANY_INPUTS'!$F$26,"")/'02_COMPANY_INPUTS'!$F$11,""),"")</f>
        <v/>
      </c>
      <c r="J29" s="8">
        <f>IF(AND('01_CONTROL'!$F$13=1,'01_CONTROL'!$F$15=0),IFERROR(IFERROR(IFERROR(SUMPRODUCT('04_DRIVERS_AND_FORECAST'!$G$22:$P$22,1/(1+J25)^('01_CONTROL'!$G$53:$P$53-IF('01_CONTROL'!$F$17=1,0.5,0)),'01_CONTROL'!$G$52:$P$52)+IFERROR(IFERROR(INDEX('04_DRIVERS_AND_FORECAST'!$G$14:$P$14,'01_CONTROL'!$F$11)*F29,"")*1/(1+J25)^('01_CONTROL'!$F$11-IF('01_CONTROL'!$F$17=1,0.5,0)),""),"")-'02_COMPANY_INPUTS'!$F$26,"")/'02_COMPANY_INPUTS'!$F$11,""),"")</f>
        <v/>
      </c>
      <c r="K29" s="8">
        <f>IF(AND('01_CONTROL'!$F$13=1,'01_CONTROL'!$F$15=0),IFERROR(IFERROR(IFERROR(SUMPRODUCT('04_DRIVERS_AND_FORECAST'!$G$22:$P$22,1/(1+K25)^('01_CONTROL'!$G$53:$P$53-IF('01_CONTROL'!$F$17=1,0.5,0)),'01_CONTROL'!$G$52:$P$52)+IFERROR(IFERROR(INDEX('04_DRIVERS_AND_FORECAST'!$G$14:$P$14,'01_CONTROL'!$F$11)*F29,"")*1/(1+K25)^('01_CONTROL'!$F$11-IF('01_CONTROL'!$F$17=1,0.5,0)),""),"")-'02_COMPANY_INPUTS'!$F$26,"")/'02_COMPANY_INPUTS'!$F$11,""),"")</f>
        <v/>
      </c>
      <c r="L29" s="8">
        <f>IF(AND('01_CONTROL'!$F$13=1,'01_CONTROL'!$F$15=0),IFERROR(IFERROR(IFERROR(SUMPRODUCT('04_DRIVERS_AND_FORECAST'!$G$22:$P$22,1/(1+L25)^('01_CONTROL'!$G$53:$P$53-IF('01_CONTROL'!$F$17=1,0.5,0)),'01_CONTROL'!$G$52:$P$52)+IFERROR(IFERROR(INDEX('04_DRIVERS_AND_FORECAST'!$G$14:$P$14,'01_CONTROL'!$F$11)*F29,"")*1/(1+L25)^('01_CONTROL'!$F$11-IF('01_CONTROL'!$F$17=1,0.5,0)),""),"")-'02_COMPANY_INPUTS'!$F$26,"")/'02_COMPANY_INPUTS'!$F$11,""),"")</f>
        <v/>
      </c>
    </row>
    <row r="30" ht="16" customHeight="1">
      <c r="F30" s="64" t="n">
        <v>12</v>
      </c>
      <c r="G30" s="8">
        <f>IF(AND('01_CONTROL'!$F$13=1,'01_CONTROL'!$F$15=0),IFERROR(IFERROR(IFERROR(SUMPRODUCT('04_DRIVERS_AND_FORECAST'!$G$22:$P$22,1/(1+G25)^('01_CONTROL'!$G$53:$P$53-IF('01_CONTROL'!$F$17=1,0.5,0)),'01_CONTROL'!$G$52:$P$52)+IFERROR(IFERROR(INDEX('04_DRIVERS_AND_FORECAST'!$G$14:$P$14,'01_CONTROL'!$F$11)*F30,"")*1/(1+G25)^('01_CONTROL'!$F$11-IF('01_CONTROL'!$F$17=1,0.5,0)),""),"")-'02_COMPANY_INPUTS'!$F$26,"")/'02_COMPANY_INPUTS'!$F$11,""),"")</f>
        <v/>
      </c>
      <c r="H30" s="8">
        <f>IF(AND('01_CONTROL'!$F$13=1,'01_CONTROL'!$F$15=0),IFERROR(IFERROR(IFERROR(SUMPRODUCT('04_DRIVERS_AND_FORECAST'!$G$22:$P$22,1/(1+H25)^('01_CONTROL'!$G$53:$P$53-IF('01_CONTROL'!$F$17=1,0.5,0)),'01_CONTROL'!$G$52:$P$52)+IFERROR(IFERROR(INDEX('04_DRIVERS_AND_FORECAST'!$G$14:$P$14,'01_CONTROL'!$F$11)*F30,"")*1/(1+H25)^('01_CONTROL'!$F$11-IF('01_CONTROL'!$F$17=1,0.5,0)),""),"")-'02_COMPANY_INPUTS'!$F$26,"")/'02_COMPANY_INPUTS'!$F$11,""),"")</f>
        <v/>
      </c>
      <c r="I30" s="8">
        <f>IF(AND('01_CONTROL'!$F$13=1,'01_CONTROL'!$F$15=0),IFERROR(IFERROR(IFERROR(SUMPRODUCT('04_DRIVERS_AND_FORECAST'!$G$22:$P$22,1/(1+I25)^('01_CONTROL'!$G$53:$P$53-IF('01_CONTROL'!$F$17=1,0.5,0)),'01_CONTROL'!$G$52:$P$52)+IFERROR(IFERROR(INDEX('04_DRIVERS_AND_FORECAST'!$G$14:$P$14,'01_CONTROL'!$F$11)*F30,"")*1/(1+I25)^('01_CONTROL'!$F$11-IF('01_CONTROL'!$F$17=1,0.5,0)),""),"")-'02_COMPANY_INPUTS'!$F$26,"")/'02_COMPANY_INPUTS'!$F$11,""),"")</f>
        <v/>
      </c>
      <c r="J30" s="8">
        <f>IF(AND('01_CONTROL'!$F$13=1,'01_CONTROL'!$F$15=0),IFERROR(IFERROR(IFERROR(SUMPRODUCT('04_DRIVERS_AND_FORECAST'!$G$22:$P$22,1/(1+J25)^('01_CONTROL'!$G$53:$P$53-IF('01_CONTROL'!$F$17=1,0.5,0)),'01_CONTROL'!$G$52:$P$52)+IFERROR(IFERROR(INDEX('04_DRIVERS_AND_FORECAST'!$G$14:$P$14,'01_CONTROL'!$F$11)*F30,"")*1/(1+J25)^('01_CONTROL'!$F$11-IF('01_CONTROL'!$F$17=1,0.5,0)),""),"")-'02_COMPANY_INPUTS'!$F$26,"")/'02_COMPANY_INPUTS'!$F$11,""),"")</f>
        <v/>
      </c>
      <c r="K30" s="8">
        <f>IF(AND('01_CONTROL'!$F$13=1,'01_CONTROL'!$F$15=0),IFERROR(IFERROR(IFERROR(SUMPRODUCT('04_DRIVERS_AND_FORECAST'!$G$22:$P$22,1/(1+K25)^('01_CONTROL'!$G$53:$P$53-IF('01_CONTROL'!$F$17=1,0.5,0)),'01_CONTROL'!$G$52:$P$52)+IFERROR(IFERROR(INDEX('04_DRIVERS_AND_FORECAST'!$G$14:$P$14,'01_CONTROL'!$F$11)*F30,"")*1/(1+K25)^('01_CONTROL'!$F$11-IF('01_CONTROL'!$F$17=1,0.5,0)),""),"")-'02_COMPANY_INPUTS'!$F$26,"")/'02_COMPANY_INPUTS'!$F$11,""),"")</f>
        <v/>
      </c>
      <c r="L30" s="8">
        <f>IF(AND('01_CONTROL'!$F$13=1,'01_CONTROL'!$F$15=0),IFERROR(IFERROR(IFERROR(SUMPRODUCT('04_DRIVERS_AND_FORECAST'!$G$22:$P$22,1/(1+L25)^('01_CONTROL'!$G$53:$P$53-IF('01_CONTROL'!$F$17=1,0.5,0)),'01_CONTROL'!$G$52:$P$52)+IFERROR(IFERROR(INDEX('04_DRIVERS_AND_FORECAST'!$G$14:$P$14,'01_CONTROL'!$F$11)*F30,"")*1/(1+L25)^('01_CONTROL'!$F$11-IF('01_CONTROL'!$F$17=1,0.5,0)),""),"")-'02_COMPANY_INPUTS'!$F$26,"")/'02_COMPANY_INPUTS'!$F$11,""),"")</f>
        <v/>
      </c>
    </row>
    <row r="31" ht="16" customHeight="1">
      <c r="F31" s="64" t="n">
        <v>13</v>
      </c>
      <c r="G31" s="8">
        <f>IF(AND('01_CONTROL'!$F$13=1,'01_CONTROL'!$F$15=0),IFERROR(IFERROR(IFERROR(SUMPRODUCT('04_DRIVERS_AND_FORECAST'!$G$22:$P$22,1/(1+G25)^('01_CONTROL'!$G$53:$P$53-IF('01_CONTROL'!$F$17=1,0.5,0)),'01_CONTROL'!$G$52:$P$52)+IFERROR(IFERROR(INDEX('04_DRIVERS_AND_FORECAST'!$G$14:$P$14,'01_CONTROL'!$F$11)*F31,"")*1/(1+G25)^('01_CONTROL'!$F$11-IF('01_CONTROL'!$F$17=1,0.5,0)),""),"")-'02_COMPANY_INPUTS'!$F$26,"")/'02_COMPANY_INPUTS'!$F$11,""),"")</f>
        <v/>
      </c>
      <c r="H31" s="8">
        <f>IF(AND('01_CONTROL'!$F$13=1,'01_CONTROL'!$F$15=0),IFERROR(IFERROR(IFERROR(SUMPRODUCT('04_DRIVERS_AND_FORECAST'!$G$22:$P$22,1/(1+H25)^('01_CONTROL'!$G$53:$P$53-IF('01_CONTROL'!$F$17=1,0.5,0)),'01_CONTROL'!$G$52:$P$52)+IFERROR(IFERROR(INDEX('04_DRIVERS_AND_FORECAST'!$G$14:$P$14,'01_CONTROL'!$F$11)*F31,"")*1/(1+H25)^('01_CONTROL'!$F$11-IF('01_CONTROL'!$F$17=1,0.5,0)),""),"")-'02_COMPANY_INPUTS'!$F$26,"")/'02_COMPANY_INPUTS'!$F$11,""),"")</f>
        <v/>
      </c>
      <c r="I31" s="8">
        <f>IF(AND('01_CONTROL'!$F$13=1,'01_CONTROL'!$F$15=0),IFERROR(IFERROR(IFERROR(SUMPRODUCT('04_DRIVERS_AND_FORECAST'!$G$22:$P$22,1/(1+I25)^('01_CONTROL'!$G$53:$P$53-IF('01_CONTROL'!$F$17=1,0.5,0)),'01_CONTROL'!$G$52:$P$52)+IFERROR(IFERROR(INDEX('04_DRIVERS_AND_FORECAST'!$G$14:$P$14,'01_CONTROL'!$F$11)*F31,"")*1/(1+I25)^('01_CONTROL'!$F$11-IF('01_CONTROL'!$F$17=1,0.5,0)),""),"")-'02_COMPANY_INPUTS'!$F$26,"")/'02_COMPANY_INPUTS'!$F$11,""),"")</f>
        <v/>
      </c>
      <c r="J31" s="8">
        <f>IF(AND('01_CONTROL'!$F$13=1,'01_CONTROL'!$F$15=0),IFERROR(IFERROR(IFERROR(SUMPRODUCT('04_DRIVERS_AND_FORECAST'!$G$22:$P$22,1/(1+J25)^('01_CONTROL'!$G$53:$P$53-IF('01_CONTROL'!$F$17=1,0.5,0)),'01_CONTROL'!$G$52:$P$52)+IFERROR(IFERROR(INDEX('04_DRIVERS_AND_FORECAST'!$G$14:$P$14,'01_CONTROL'!$F$11)*F31,"")*1/(1+J25)^('01_CONTROL'!$F$11-IF('01_CONTROL'!$F$17=1,0.5,0)),""),"")-'02_COMPANY_INPUTS'!$F$26,"")/'02_COMPANY_INPUTS'!$F$11,""),"")</f>
        <v/>
      </c>
      <c r="K31" s="8">
        <f>IF(AND('01_CONTROL'!$F$13=1,'01_CONTROL'!$F$15=0),IFERROR(IFERROR(IFERROR(SUMPRODUCT('04_DRIVERS_AND_FORECAST'!$G$22:$P$22,1/(1+K25)^('01_CONTROL'!$G$53:$P$53-IF('01_CONTROL'!$F$17=1,0.5,0)),'01_CONTROL'!$G$52:$P$52)+IFERROR(IFERROR(INDEX('04_DRIVERS_AND_FORECAST'!$G$14:$P$14,'01_CONTROL'!$F$11)*F31,"")*1/(1+K25)^('01_CONTROL'!$F$11-IF('01_CONTROL'!$F$17=1,0.5,0)),""),"")-'02_COMPANY_INPUTS'!$F$26,"")/'02_COMPANY_INPUTS'!$F$11,""),"")</f>
        <v/>
      </c>
      <c r="L31" s="8">
        <f>IF(AND('01_CONTROL'!$F$13=1,'01_CONTROL'!$F$15=0),IFERROR(IFERROR(IFERROR(SUMPRODUCT('04_DRIVERS_AND_FORECAST'!$G$22:$P$22,1/(1+L25)^('01_CONTROL'!$G$53:$P$53-IF('01_CONTROL'!$F$17=1,0.5,0)),'01_CONTROL'!$G$52:$P$52)+IFERROR(IFERROR(INDEX('04_DRIVERS_AND_FORECAST'!$G$14:$P$14,'01_CONTROL'!$F$11)*F31,"")*1/(1+L25)^('01_CONTROL'!$F$11-IF('01_CONTROL'!$F$17=1,0.5,0)),""),"")-'02_COMPANY_INPUTS'!$F$26,"")/'02_COMPANY_INPUTS'!$F$11,""),"")</f>
        <v/>
      </c>
    </row>
    <row r="32" ht="16" customHeight="1"/>
    <row r="33" ht="16" customHeight="1"/>
    <row r="34" ht="20" customHeight="1">
      <c r="B34" s="5" t="inlineStr">
        <is>
          <t>OPERATING SENSITIVITY (QUICK): GROWTH DELTA VS EBITDA MARGIN DELTA (EV/EBITDA)</t>
        </is>
      </c>
      <c r="C34" s="20" t="n"/>
      <c r="D34" s="20" t="n"/>
      <c r="E34" s="20" t="n"/>
    </row>
    <row r="35" ht="16" customHeight="1">
      <c r="F35" s="50" t="inlineStr">
        <is>
          <t>Margin Δ \ Growth Δ</t>
        </is>
      </c>
      <c r="G35" s="63" t="n">
        <v>-0.02</v>
      </c>
      <c r="H35" s="63" t="n">
        <v>-0.01</v>
      </c>
      <c r="I35" s="63" t="n">
        <v>0</v>
      </c>
      <c r="J35" s="63" t="n">
        <v>0.01</v>
      </c>
      <c r="K35" s="63" t="n">
        <v>0.02</v>
      </c>
    </row>
    <row r="36" ht="16" customHeight="1">
      <c r="F36" s="63" t="n">
        <v>-0.02</v>
      </c>
      <c r="G36" s="8" t="inlineStr">
        <is>
          <t>IFERROR(IFERROR(IFERROR('05_TRADING_COMPS'!$F$32*IFERROR(IFERROR('02_COMPANY_INPUTS'!$F$30*(1+'01_CONTROL'!$G$71+G35),"")*('01_CONTROL'!$G$72+F36),""),"")-'02_COMPANY_INPUTS'!$F$26,"")/'02_COMPANY_INPUTS'!$F$11,"")</t>
        </is>
      </c>
      <c r="H36" s="8" t="inlineStr">
        <is>
          <t>IFERROR(IFERROR(IFERROR('05_TRADING_COMPS'!$F$32*IFERROR(IFERROR('02_COMPANY_INPUTS'!$F$30*(1+'01_CONTROL'!$G$71+H35),"")*('01_CONTROL'!$G$72+F36),""),"")-'02_COMPANY_INPUTS'!$F$26,"")/'02_COMPANY_INPUTS'!$F$11,"")</t>
        </is>
      </c>
      <c r="I36" s="8" t="inlineStr">
        <is>
          <t>IFERROR(IFERROR(IFERROR('05_TRADING_COMPS'!$F$32*IFERROR(IFERROR('02_COMPANY_INPUTS'!$F$30*(1+'01_CONTROL'!$G$71+I35),"")*('01_CONTROL'!$G$72+F36),""),"")-'02_COMPANY_INPUTS'!$F$26,"")/'02_COMPANY_INPUTS'!$F$11,"")</t>
        </is>
      </c>
      <c r="J36" s="8" t="inlineStr">
        <is>
          <t>IFERROR(IFERROR(IFERROR('05_TRADING_COMPS'!$F$32*IFERROR(IFERROR('02_COMPANY_INPUTS'!$F$30*(1+'01_CONTROL'!$G$71+J35),"")*('01_CONTROL'!$G$72+F36),""),"")-'02_COMPANY_INPUTS'!$F$26,"")/'02_COMPANY_INPUTS'!$F$11,"")</t>
        </is>
      </c>
      <c r="K36" s="8" t="inlineStr">
        <is>
          <t>IFERROR(IFERROR(IFERROR('05_TRADING_COMPS'!$F$32*IFERROR(IFERROR('02_COMPANY_INPUTS'!$F$30*(1+'01_CONTROL'!$G$71+K35),"")*('01_CONTROL'!$G$72+F36),""),"")-'02_COMPANY_INPUTS'!$F$26,"")/'02_COMPANY_INPUTS'!$F$11,"")</t>
        </is>
      </c>
    </row>
    <row r="37" ht="16" customHeight="1">
      <c r="F37" s="63" t="n">
        <v>-0.01</v>
      </c>
      <c r="G37" s="8" t="inlineStr">
        <is>
          <t>IFERROR(IFERROR(IFERROR('05_TRADING_COMPS'!$F$32*IFERROR(IFERROR('02_COMPANY_INPUTS'!$F$30*(1+'01_CONTROL'!$G$71+G35),"")*('01_CONTROL'!$G$72+F37),""),"")-'02_COMPANY_INPUTS'!$F$26,"")/'02_COMPANY_INPUTS'!$F$11,"")</t>
        </is>
      </c>
      <c r="H37" s="8" t="inlineStr">
        <is>
          <t>IFERROR(IFERROR(IFERROR('05_TRADING_COMPS'!$F$32*IFERROR(IFERROR('02_COMPANY_INPUTS'!$F$30*(1+'01_CONTROL'!$G$71+H35),"")*('01_CONTROL'!$G$72+F37),""),"")-'02_COMPANY_INPUTS'!$F$26,"")/'02_COMPANY_INPUTS'!$F$11,"")</t>
        </is>
      </c>
      <c r="I37" s="8" t="inlineStr">
        <is>
          <t>IFERROR(IFERROR(IFERROR('05_TRADING_COMPS'!$F$32*IFERROR(IFERROR('02_COMPANY_INPUTS'!$F$30*(1+'01_CONTROL'!$G$71+I35),"")*('01_CONTROL'!$G$72+F37),""),"")-'02_COMPANY_INPUTS'!$F$26,"")/'02_COMPANY_INPUTS'!$F$11,"")</t>
        </is>
      </c>
      <c r="J37" s="8" t="inlineStr">
        <is>
          <t>IFERROR(IFERROR(IFERROR('05_TRADING_COMPS'!$F$32*IFERROR(IFERROR('02_COMPANY_INPUTS'!$F$30*(1+'01_CONTROL'!$G$71+J35),"")*('01_CONTROL'!$G$72+F37),""),"")-'02_COMPANY_INPUTS'!$F$26,"")/'02_COMPANY_INPUTS'!$F$11,"")</t>
        </is>
      </c>
      <c r="K37" s="8" t="inlineStr">
        <is>
          <t>IFERROR(IFERROR(IFERROR('05_TRADING_COMPS'!$F$32*IFERROR(IFERROR('02_COMPANY_INPUTS'!$F$30*(1+'01_CONTROL'!$G$71+K35),"")*('01_CONTROL'!$G$72+F37),""),"")-'02_COMPANY_INPUTS'!$F$26,"")/'02_COMPANY_INPUTS'!$F$11,"")</t>
        </is>
      </c>
    </row>
    <row r="38" ht="16" customHeight="1">
      <c r="F38" s="63" t="n">
        <v>0</v>
      </c>
      <c r="G38" s="8" t="inlineStr">
        <is>
          <t>IFERROR(IFERROR(IFERROR('05_TRADING_COMPS'!$F$32*IFERROR(IFERROR('02_COMPANY_INPUTS'!$F$30*(1+'01_CONTROL'!$G$71+G35),"")*('01_CONTROL'!$G$72+F38),""),"")-'02_COMPANY_INPUTS'!$F$26,"")/'02_COMPANY_INPUTS'!$F$11,"")</t>
        </is>
      </c>
      <c r="H38" s="8" t="inlineStr">
        <is>
          <t>IFERROR(IFERROR(IFERROR('05_TRADING_COMPS'!$F$32*IFERROR(IFERROR('02_COMPANY_INPUTS'!$F$30*(1+'01_CONTROL'!$G$71+H35),"")*('01_CONTROL'!$G$72+F38),""),"")-'02_COMPANY_INPUTS'!$F$26,"")/'02_COMPANY_INPUTS'!$F$11,"")</t>
        </is>
      </c>
      <c r="I38" s="8" t="inlineStr">
        <is>
          <t>IFERROR(IFERROR(IFERROR('05_TRADING_COMPS'!$F$32*IFERROR(IFERROR('02_COMPANY_INPUTS'!$F$30*(1+'01_CONTROL'!$G$71+I35),"")*('01_CONTROL'!$G$72+F38),""),"")-'02_COMPANY_INPUTS'!$F$26,"")/'02_COMPANY_INPUTS'!$F$11,"")</t>
        </is>
      </c>
      <c r="J38" s="8" t="inlineStr">
        <is>
          <t>IFERROR(IFERROR(IFERROR('05_TRADING_COMPS'!$F$32*IFERROR(IFERROR('02_COMPANY_INPUTS'!$F$30*(1+'01_CONTROL'!$G$71+J35),"")*('01_CONTROL'!$G$72+F38),""),"")-'02_COMPANY_INPUTS'!$F$26,"")/'02_COMPANY_INPUTS'!$F$11,"")</t>
        </is>
      </c>
      <c r="K38" s="8" t="inlineStr">
        <is>
          <t>IFERROR(IFERROR(IFERROR('05_TRADING_COMPS'!$F$32*IFERROR(IFERROR('02_COMPANY_INPUTS'!$F$30*(1+'01_CONTROL'!$G$71+K35),"")*('01_CONTROL'!$G$72+F38),""),"")-'02_COMPANY_INPUTS'!$F$26,"")/'02_COMPANY_INPUTS'!$F$11,"")</t>
        </is>
      </c>
    </row>
    <row r="39" ht="16" customHeight="1">
      <c r="F39" s="63" t="n">
        <v>0.01</v>
      </c>
      <c r="G39" s="8" t="inlineStr">
        <is>
          <t>IFERROR(IFERROR(IFERROR('05_TRADING_COMPS'!$F$32*IFERROR(IFERROR('02_COMPANY_INPUTS'!$F$30*(1+'01_CONTROL'!$G$71+G35),"")*('01_CONTROL'!$G$72+F39),""),"")-'02_COMPANY_INPUTS'!$F$26,"")/'02_COMPANY_INPUTS'!$F$11,"")</t>
        </is>
      </c>
      <c r="H39" s="8" t="inlineStr">
        <is>
          <t>IFERROR(IFERROR(IFERROR('05_TRADING_COMPS'!$F$32*IFERROR(IFERROR('02_COMPANY_INPUTS'!$F$30*(1+'01_CONTROL'!$G$71+H35),"")*('01_CONTROL'!$G$72+F39),""),"")-'02_COMPANY_INPUTS'!$F$26,"")/'02_COMPANY_INPUTS'!$F$11,"")</t>
        </is>
      </c>
      <c r="I39" s="8" t="inlineStr">
        <is>
          <t>IFERROR(IFERROR(IFERROR('05_TRADING_COMPS'!$F$32*IFERROR(IFERROR('02_COMPANY_INPUTS'!$F$30*(1+'01_CONTROL'!$G$71+I35),"")*('01_CONTROL'!$G$72+F39),""),"")-'02_COMPANY_INPUTS'!$F$26,"")/'02_COMPANY_INPUTS'!$F$11,"")</t>
        </is>
      </c>
      <c r="J39" s="8" t="inlineStr">
        <is>
          <t>IFERROR(IFERROR(IFERROR('05_TRADING_COMPS'!$F$32*IFERROR(IFERROR('02_COMPANY_INPUTS'!$F$30*(1+'01_CONTROL'!$G$71+J35),"")*('01_CONTROL'!$G$72+F39),""),"")-'02_COMPANY_INPUTS'!$F$26,"")/'02_COMPANY_INPUTS'!$F$11,"")</t>
        </is>
      </c>
      <c r="K39" s="8" t="inlineStr">
        <is>
          <t>IFERROR(IFERROR(IFERROR('05_TRADING_COMPS'!$F$32*IFERROR(IFERROR('02_COMPANY_INPUTS'!$F$30*(1+'01_CONTROL'!$G$71+K35),"")*('01_CONTROL'!$G$72+F39),""),"")-'02_COMPANY_INPUTS'!$F$26,"")/'02_COMPANY_INPUTS'!$F$11,"")</t>
        </is>
      </c>
    </row>
    <row r="40" ht="16" customHeight="1">
      <c r="F40" s="63" t="n">
        <v>0.02</v>
      </c>
      <c r="G40" s="8" t="inlineStr">
        <is>
          <t>IFERROR(IFERROR(IFERROR('05_TRADING_COMPS'!$F$32*IFERROR(IFERROR('02_COMPANY_INPUTS'!$F$30*(1+'01_CONTROL'!$G$71+G35),"")*('01_CONTROL'!$G$72+F40),""),"")-'02_COMPANY_INPUTS'!$F$26,"")/'02_COMPANY_INPUTS'!$F$11,"")</t>
        </is>
      </c>
      <c r="H40" s="8" t="inlineStr">
        <is>
          <t>IFERROR(IFERROR(IFERROR('05_TRADING_COMPS'!$F$32*IFERROR(IFERROR('02_COMPANY_INPUTS'!$F$30*(1+'01_CONTROL'!$G$71+H35),"")*('01_CONTROL'!$G$72+F40),""),"")-'02_COMPANY_INPUTS'!$F$26,"")/'02_COMPANY_INPUTS'!$F$11,"")</t>
        </is>
      </c>
      <c r="I40" s="8" t="inlineStr">
        <is>
          <t>IFERROR(IFERROR(IFERROR('05_TRADING_COMPS'!$F$32*IFERROR(IFERROR('02_COMPANY_INPUTS'!$F$30*(1+'01_CONTROL'!$G$71+I35),"")*('01_CONTROL'!$G$72+F40),""),"")-'02_COMPANY_INPUTS'!$F$26,"")/'02_COMPANY_INPUTS'!$F$11,"")</t>
        </is>
      </c>
      <c r="J40" s="8" t="inlineStr">
        <is>
          <t>IFERROR(IFERROR(IFERROR('05_TRADING_COMPS'!$F$32*IFERROR(IFERROR('02_COMPANY_INPUTS'!$F$30*(1+'01_CONTROL'!$G$71+J35),"")*('01_CONTROL'!$G$72+F40),""),"")-'02_COMPANY_INPUTS'!$F$26,"")/'02_COMPANY_INPUTS'!$F$11,"")</t>
        </is>
      </c>
      <c r="K40" s="8" t="inlineStr">
        <is>
          <t>IFERROR(IFERROR(IFERROR('05_TRADING_COMPS'!$F$32*IFERROR(IFERROR('02_COMPANY_INPUTS'!$F$30*(1+'01_CONTROL'!$G$71+K35),"")*('01_CONTROL'!$G$72+F40),""),"")-'02_COMPANY_INPUTS'!$F$26,"")/'02_COMPANY_INPUTS'!$F$11,"")</t>
        </is>
      </c>
    </row>
    <row r="41" ht="16" customHeight="1"/>
    <row r="42" ht="16" customHeight="1"/>
    <row r="43" ht="20" customHeight="1">
      <c r="B43" s="5" t="inlineStr">
        <is>
          <t>COMPS SENSITIVITY (EV/EBITDA MULTIPLE QUARTILES)</t>
        </is>
      </c>
      <c r="C43" s="20" t="n"/>
      <c r="D43" s="20" t="n"/>
      <c r="E43" s="20" t="n"/>
    </row>
    <row r="44" ht="16" customHeight="1">
      <c r="B44" s="15" t="inlineStr">
        <is>
          <t>Implied price P25</t>
        </is>
      </c>
      <c r="C44" t="inlineStr">
        <is>
          <t>CCY</t>
        </is>
      </c>
      <c r="F44" s="8">
        <f>'08_TRIANGULATION_RANGE'!$F$16</f>
        <v/>
      </c>
    </row>
    <row r="45" ht="16" customHeight="1">
      <c r="B45" s="15" t="inlineStr">
        <is>
          <t>Implied price Median</t>
        </is>
      </c>
      <c r="C45" t="inlineStr">
        <is>
          <t>CCY</t>
        </is>
      </c>
      <c r="F45" s="8">
        <f>'08_TRIANGULATION_RANGE'!$F$17</f>
        <v/>
      </c>
    </row>
    <row r="46" ht="16" customHeight="1">
      <c r="B46" s="15" t="inlineStr">
        <is>
          <t>Implied price P75</t>
        </is>
      </c>
      <c r="C46" t="inlineStr">
        <is>
          <t>CCY</t>
        </is>
      </c>
      <c r="F46" s="8">
        <f>'08_TRIANGULATION_RANGE'!$F$18</f>
        <v/>
      </c>
    </row>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199"/>
  <sheetViews>
    <sheetView workbookViewId="0">
      <pane xSplit="5" ySplit="7" topLeftCell="F8"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22" customWidth="1" min="3" max="3"/>
    <col width="40" customWidth="1" min="4" max="4"/>
    <col width="40" customWidth="1" min="5" max="5"/>
    <col width="40" customWidth="1" min="6" max="6"/>
    <col width="40" customWidth="1" min="7" max="7"/>
    <col width="40" customWidth="1" min="8" max="8"/>
    <col width="40" customWidth="1" min="9" max="9"/>
    <col width="18" customWidth="1" min="10" max="10"/>
  </cols>
  <sheetData>
    <row r="1" ht="15" customHeight="1"/>
    <row r="2" ht="15" customHeight="1">
      <c r="B2" s="66" t="inlineStr">
        <is>
          <t>80 Valuation Explainability Map</t>
        </is>
      </c>
    </row>
    <row r="3" ht="15" customHeight="1">
      <c r="B3" s="70" t="inlineStr">
        <is>
          <t>Top KPIs and how to explain them in a deal setting.</t>
        </is>
      </c>
    </row>
    <row r="4" ht="15" customHeight="1"/>
    <row r="5" ht="15" customHeight="1">
      <c r="B5" s="71" t="inlineStr">
        <is>
          <t>Learning Layer (additive). All refs tie to model cells. Do not edit calculation tabs unless fixing a confirmed error.</t>
        </is>
      </c>
    </row>
    <row r="6"/>
    <row r="7" ht="18" customHeight="1">
      <c r="B7" s="66" t="inlineStr">
        <is>
          <t>CONTENT</t>
        </is>
      </c>
    </row>
    <row r="8"/>
    <row r="9">
      <c r="B9" s="66" t="inlineStr">
        <is>
          <t>KPI / output</t>
        </is>
      </c>
      <c r="C9" s="66" t="inlineStr">
        <is>
          <t>Model ref</t>
        </is>
      </c>
      <c r="D9" s="66" t="inlineStr">
        <is>
          <t>Definition (what it is)</t>
        </is>
      </c>
      <c r="E9" s="66" t="inlineStr">
        <is>
          <t>Primary drivers (where to look)</t>
        </is>
      </c>
      <c r="F9" s="66" t="inlineStr">
        <is>
          <t>Directional intuition (what increases it)</t>
        </is>
      </c>
      <c r="G9" s="66" t="inlineStr">
        <is>
          <t>Common pitfalls</t>
        </is>
      </c>
      <c r="H9" s="66" t="inlineStr">
        <is>
          <t>Sanity checks (quick)</t>
        </is>
      </c>
      <c r="I9" s="66" t="inlineStr">
        <is>
          <t>VP/client script (how to say it)</t>
        </is>
      </c>
    </row>
    <row r="10" ht="60" customHeight="1">
      <c r="B10" s="72" t="inlineStr">
        <is>
          <t>Current share price</t>
        </is>
      </c>
      <c r="C10" s="73" t="inlineStr">
        <is>
          <t>08_TRIANGULATION_RANGE!F47</t>
        </is>
      </c>
      <c r="D10" s="74" t="inlineStr">
        <is>
          <t>Spot price used to compute market cap and upside/downside.</t>
        </is>
      </c>
      <c r="E10" s="74" t="inlineStr">
        <is>
          <t>02_COMPANY_INPUTS: share price input (if public); check data source + date.</t>
        </is>
      </c>
      <c r="F10" s="74" t="inlineStr">
        <is>
          <t>Higher price increases market cap, reduces upside % at same implied price.</t>
        </is>
      </c>
      <c r="G10" s="74" t="inlineStr">
        <is>
          <t>Using stale price or wrong currency; mixing ADR vs local listing.</t>
        </is>
      </c>
      <c r="H10" s="74" t="inlineStr">
        <is>
          <t>Matches Bloomberg/Refinitiv as-of date; currency matches model.</t>
        </is>
      </c>
      <c r="I10" s="74" t="inlineStr">
        <is>
          <t>We anchor to the current spot price to express upside/downside versus market.</t>
        </is>
      </c>
    </row>
    <row r="11" ht="60" customHeight="1">
      <c r="B11" s="72" t="inlineStr">
        <is>
          <t>Shares outstanding (mm)</t>
        </is>
      </c>
      <c r="C11" s="73" t="inlineStr">
        <is>
          <t>08_TRIANGULATION_RANGE!F48</t>
        </is>
      </c>
      <c r="D11" s="74" t="inlineStr">
        <is>
          <t>Basic share count in millions used to convert equity value to price per share.</t>
        </is>
      </c>
      <c r="E11" s="74" t="inlineStr">
        <is>
          <t>02_COMPANY_INPUTS: diluted vs basic; include options/convertibles if relevant.</t>
        </is>
      </c>
      <c r="F11" s="74" t="inlineStr">
        <is>
          <t>More shares lowers implied price per share for the same equity value.</t>
        </is>
      </c>
      <c r="G11" s="74" t="inlineStr">
        <is>
          <t>Mixing basic and fully diluted; forgetting treasury stock / buybacks.</t>
        </is>
      </c>
      <c r="H11" s="74" t="inlineStr">
        <is>
          <t>Market cap / share price ≈ shares; reconcile to latest filings.</t>
        </is>
      </c>
      <c r="I11" s="74" t="inlineStr">
        <is>
          <t>Share count drives the per share translation. We use the fully diluted count for decision making.</t>
        </is>
      </c>
    </row>
    <row r="12" ht="60" customHeight="1">
      <c r="B12" s="72" t="inlineStr">
        <is>
          <t>Market cap</t>
        </is>
      </c>
      <c r="C12" s="73" t="inlineStr">
        <is>
          <t>08_TRIANGULATION_RANGE!F49</t>
        </is>
      </c>
      <c r="D12" s="74" t="inlineStr">
        <is>
          <t>Equity value at spot price: price × shares.</t>
        </is>
      </c>
      <c r="E12" s="74" t="inlineStr">
        <is>
          <t>Current price + shares outstanding.</t>
        </is>
      </c>
      <c r="F12" s="74" t="inlineStr">
        <is>
          <t>Moves one-for-one with price; also moves with share count changes.</t>
        </is>
      </c>
      <c r="G12" s="74" t="inlineStr">
        <is>
          <t>Currency mismatch; wrong share class included/excluded.</t>
        </is>
      </c>
      <c r="H12" s="74" t="inlineStr">
        <is>
          <t>Matches public market cap; confirm float vs total shares distinction.</t>
        </is>
      </c>
      <c r="I12" s="74" t="inlineStr">
        <is>
          <t>Market cap is today’s equity value, the starting point for our upside math.</t>
        </is>
      </c>
    </row>
    <row r="13" ht="60" customHeight="1">
      <c r="B13" s="72" t="inlineStr">
        <is>
          <t>Net debt (as defined)</t>
        </is>
      </c>
      <c r="C13" s="73" t="inlineStr">
        <is>
          <t>08_TRIANGULATION_RANGE!F50</t>
        </is>
      </c>
      <c r="D13" s="74" t="inlineStr">
        <is>
          <t>Debt minus cash plus/minus selected adjustments (leases, pensions, minorities, investments).</t>
        </is>
      </c>
      <c r="E13" s="74" t="inlineStr">
        <is>
          <t>02_COMPANY_INPUTS net debt bridge + 01_CONTROL toggles for adjustments.</t>
        </is>
      </c>
      <c r="F13" s="74" t="inlineStr">
        <is>
          <t>Higher net debt increases EV at constant equity, reduces equity value at constant EV.</t>
        </is>
      </c>
      <c r="G13" s="74" t="inlineStr">
        <is>
          <t>Double counting leases; mixing gross vs net; inconsistent peer definitions.</t>
        </is>
      </c>
      <c r="H13" s="74" t="inlineStr">
        <is>
          <t>Net debt/EBITDA within sector norms; tie to latest balance sheet date.</t>
        </is>
      </c>
      <c r="I13" s="74" t="inlineStr">
        <is>
          <t>Net debt is the bridge between EV and equity. The definition must match peers.</t>
        </is>
      </c>
    </row>
    <row r="14" ht="60" customHeight="1">
      <c r="B14" s="72" t="inlineStr">
        <is>
          <t>Enterprise value (EV)</t>
        </is>
      </c>
      <c r="C14" s="73" t="inlineStr">
        <is>
          <t>08_TRIANGULATION_RANGE!F51</t>
        </is>
      </c>
      <c r="D14" s="74" t="inlineStr">
        <is>
          <t>Total firm value: market cap + net debt (plus/minus adjustments if included).</t>
        </is>
      </c>
      <c r="E14" s="74" t="inlineStr">
        <is>
          <t>Market cap + net debt; definition toggles.</t>
        </is>
      </c>
      <c r="F14" s="74" t="inlineStr">
        <is>
          <t>Higher EV implies higher multiple at constant EBITDA; or higher implied price at constant multiple.</t>
        </is>
      </c>
      <c r="G14" s="74" t="inlineStr">
        <is>
          <t>Using equity multiple to value EV; inconsistent treatment of minorities/associates.</t>
        </is>
      </c>
      <c r="H14" s="74" t="inlineStr">
        <is>
          <t>EV/EBITDA implied by spot price is sensible vs comps range.</t>
        </is>
      </c>
      <c r="I14" s="74" t="inlineStr">
        <is>
          <t>EV is the value of the operating business irrespective of capital structure.</t>
        </is>
      </c>
    </row>
    <row r="15" ht="60" customHeight="1">
      <c r="B15" s="72" t="inlineStr">
        <is>
          <t>Trading comps multiple used (EV/EBITDA)</t>
        </is>
      </c>
      <c r="C15" s="73" t="inlineStr">
        <is>
          <t>08_TRIANGULATION_RANGE!F72</t>
        </is>
      </c>
      <c r="D15" s="74" t="inlineStr">
        <is>
          <t>Selected EV/EBITDA multiple used to imply valuation from peer set.</t>
        </is>
      </c>
      <c r="E15" s="74" t="inlineStr">
        <is>
          <t>05_TRADING_COMPS peer list + outlier handling; selection choice (median vs adjusted).</t>
        </is>
      </c>
      <c r="F15" s="74" t="inlineStr">
        <is>
          <t>Higher multiple increases implied EV and implied price (all else equal).</t>
        </is>
      </c>
      <c r="G15" s="74" t="inlineStr">
        <is>
          <t>Selecting a multiple inconsistent with growth/margins; ignoring cycle/one-offs.</t>
        </is>
      </c>
      <c r="H15" s="74" t="inlineStr">
        <is>
          <t>Selected multiple sits within P25–P75 unless justified; check peer dispersion.</t>
        </is>
      </c>
      <c r="I15" s="74" t="inlineStr">
        <is>
          <t>We value the business off a peer multiple that reflects its growth and margin profile.</t>
        </is>
      </c>
    </row>
    <row r="16" ht="60" customHeight="1">
      <c r="B16" s="72" t="inlineStr">
        <is>
          <t>Comps implied EV (P25)</t>
        </is>
      </c>
      <c r="C16" s="73" t="inlineStr">
        <is>
          <t>05_TRADING_COMPS!F40</t>
        </is>
      </c>
      <c r="D16" s="74" t="inlineStr">
        <is>
          <t>Implied EV using P25 peer multiple × company EBITDA.</t>
        </is>
      </c>
      <c r="E16" s="74" t="inlineStr">
        <is>
          <t>Peer P25 multiple + company LTM EBITDA input.</t>
        </is>
      </c>
      <c r="F16" s="74" t="inlineStr">
        <is>
          <t>Higher EBITDA or higher P25 multiple increases implied EV.</t>
        </is>
      </c>
      <c r="G16" s="74" t="inlineStr">
        <is>
          <t>Using unadjusted EBITDA when peers are adjusted; non-comparable LTM periods.</t>
        </is>
      </c>
      <c r="H16" s="74" t="inlineStr">
        <is>
          <t>Company EBITDA is LTM and consistent with peers’ definition.</t>
        </is>
      </c>
      <c r="I16" s="74" t="inlineStr">
        <is>
          <t>On the low end, applying the peer P25 multiple implies an EV of X.</t>
        </is>
      </c>
    </row>
    <row r="17" ht="60" customHeight="1">
      <c r="B17" s="72" t="inlineStr">
        <is>
          <t>Comps implied EV (Median)</t>
        </is>
      </c>
      <c r="C17" s="73" t="inlineStr">
        <is>
          <t>05_TRADING_COMPS!G40</t>
        </is>
      </c>
      <c r="D17" s="74" t="inlineStr">
        <is>
          <t>Implied EV using median peer multiple × company EBITDA.</t>
        </is>
      </c>
      <c r="E17" s="74" t="inlineStr">
        <is>
          <t>Median peer multiple + company LTM EBITDA.</t>
        </is>
      </c>
      <c r="F17" s="74" t="inlineStr">
        <is>
          <t>Same as above; median is the neutral anchor.</t>
        </is>
      </c>
      <c r="G17" s="74" t="inlineStr">
        <is>
          <t>Median distorted by a few extreme peers; check distribution.</t>
        </is>
      </c>
      <c r="H17" s="74" t="inlineStr">
        <is>
          <t>Median multiple aligns with business quality vs peers.</t>
        </is>
      </c>
      <c r="I17" s="74" t="inlineStr">
        <is>
          <t>Our midpoint comps anchor is the peer median multiple, which implies EV of X.</t>
        </is>
      </c>
    </row>
    <row r="18" ht="60" customHeight="1">
      <c r="B18" s="72" t="inlineStr">
        <is>
          <t>Comps implied EV (P75)</t>
        </is>
      </c>
      <c r="C18" s="73" t="inlineStr">
        <is>
          <t>05_TRADING_COMPS!H40</t>
        </is>
      </c>
      <c r="D18" s="74" t="inlineStr">
        <is>
          <t>Implied EV using P75 peer multiple × company EBITDA.</t>
        </is>
      </c>
      <c r="E18" s="74" t="inlineStr">
        <is>
          <t>Peer P75 multiple + company LTM EBITDA.</t>
        </is>
      </c>
      <c r="F18" s="74" t="inlineStr">
        <is>
          <t>Higher implied EV drives higher implied price.</t>
        </is>
      </c>
      <c r="G18" s="74" t="inlineStr">
        <is>
          <t>Using high-end multiple without a catalyst narrative.</t>
        </is>
      </c>
      <c r="H18" s="74" t="inlineStr">
        <is>
          <t>High-end multiple justified by growth / margin / scarcity premium.</t>
        </is>
      </c>
      <c r="I18" s="74" t="inlineStr">
        <is>
          <t>On the high end, the peer P75 multiple implies EV of X, requiring clear upside drivers.</t>
        </is>
      </c>
    </row>
    <row r="19" ht="60" customHeight="1">
      <c r="B19" s="72" t="inlineStr">
        <is>
          <t>Comps equity value (Median)</t>
        </is>
      </c>
      <c r="C19" s="73" t="inlineStr">
        <is>
          <t>08_TRIANGULATION_RANGE!F58</t>
        </is>
      </c>
      <c r="D19" s="74" t="inlineStr">
        <is>
          <t>Implied equity value from comps EV minus net debt.</t>
        </is>
      </c>
      <c r="E19" s="74" t="inlineStr">
        <is>
          <t>Comps EV + net debt definition.</t>
        </is>
      </c>
      <c r="F19" s="74" t="inlineStr">
        <is>
          <t>Higher net debt reduces equity value; higher EV increases it.</t>
        </is>
      </c>
      <c r="G19" s="74" t="inlineStr">
        <is>
          <t>Inconsistent net debt vs peers; using wrong share count for per share translation.</t>
        </is>
      </c>
      <c r="H19" s="74" t="inlineStr">
        <is>
          <t>Equity value + net debt = EV (bridge holds).</t>
        </is>
      </c>
      <c r="I19" s="74" t="inlineStr">
        <is>
          <t>Translating EV to equity, we subtract net debt under a consistent definition.</t>
        </is>
      </c>
    </row>
    <row r="20" ht="60" customHeight="1">
      <c r="B20" s="72" t="inlineStr">
        <is>
          <t>Comps implied price (Median)</t>
        </is>
      </c>
      <c r="C20" s="73" t="inlineStr">
        <is>
          <t>08_TRIANGULATION_RANGE!F14</t>
        </is>
      </c>
      <c r="D20" s="74" t="inlineStr">
        <is>
          <t>Comps equity value divided by shares outstanding.</t>
        </is>
      </c>
      <c r="E20" s="74" t="inlineStr">
        <is>
          <t>Comps equity value + shares outstanding.</t>
        </is>
      </c>
      <c r="F20" s="74" t="inlineStr">
        <is>
          <t>More shares lowers price; higher equity value increases price.</t>
        </is>
      </c>
      <c r="G20" s="74" t="inlineStr">
        <is>
          <t>Basic vs diluted share count mismatch; wrong currency per share.</t>
        </is>
      </c>
      <c r="H20" s="74" t="inlineStr">
        <is>
          <t>Implied market cap = implied price × shares (check).</t>
        </is>
      </c>
      <c r="I20" s="74" t="inlineStr">
        <is>
          <t>On a per share basis, the comps midpoint implies a value of X per share.</t>
        </is>
      </c>
    </row>
    <row r="21" ht="60" customHeight="1">
      <c r="B21" s="72" t="inlineStr">
        <is>
          <t>DCF status (ON/OFF)</t>
        </is>
      </c>
      <c r="C21" s="73" t="inlineStr">
        <is>
          <t>08_TRIANGULATION_RANGE!F66</t>
        </is>
      </c>
      <c r="D21" s="74" t="inlineStr">
        <is>
          <t>Toggle determining whether DCF contributes to combined valuation.</t>
        </is>
      </c>
      <c r="E21" s="74" t="inlineStr">
        <is>
          <t>01_CONTROL DCF switch.</t>
        </is>
      </c>
      <c r="F21" s="74" t="inlineStr">
        <is>
          <t>Turning DCF ON makes combined valuation sensitive to WACC and terminal assumptions.</t>
        </is>
      </c>
      <c r="G21" s="74" t="inlineStr">
        <is>
          <t>Leaving DCF OFF unintentionally; forgetting to update sensitivity tables.</t>
        </is>
      </c>
      <c r="H21" s="74" t="inlineStr">
        <is>
          <t>Combined price reflects intended weighting between comps and DCF.</t>
        </is>
      </c>
      <c r="I21" s="74" t="inlineStr">
        <is>
          <t>We can include a DCF triangulation, but we keep the comps anchor front-and-center.</t>
        </is>
      </c>
    </row>
    <row r="22" ht="60" customHeight="1">
      <c r="B22" s="72" t="inlineStr">
        <is>
          <t>WACC used (Base)</t>
        </is>
      </c>
      <c r="C22" s="73" t="inlineStr">
        <is>
          <t>08_TRIANGULATION_RANGE!F67</t>
        </is>
      </c>
      <c r="D22" s="74" t="inlineStr">
        <is>
          <t>Discount rate applied to unlevered cash flows in DCF.</t>
        </is>
      </c>
      <c r="E22" s="74" t="inlineStr">
        <is>
          <t>Rf, ERP, beta, leverage weights, cost of debt, tax rate.</t>
        </is>
      </c>
      <c r="F22" s="74" t="inlineStr">
        <is>
          <t>Higher WACC lowers PV and implied valuation; biggest impact when terminal-heavy.</t>
        </is>
      </c>
      <c r="G22" s="74" t="inlineStr">
        <is>
          <t>Mixing nominal vs real; using wrong capital structure weights; stale inputs.</t>
        </is>
      </c>
      <c r="H22" s="74" t="inlineStr">
        <is>
          <t>WACC consistent with sector and geography; compare to peers’ WACC range.</t>
        </is>
      </c>
      <c r="I22" s="74" t="inlineStr">
        <is>
          <t>DCF is sensitive to WACC, so we sanity-check it against market-implied discount rates.</t>
        </is>
      </c>
    </row>
    <row r="23" ht="60" customHeight="1">
      <c r="B23" s="72" t="inlineStr">
        <is>
          <t>DCF enterprise value (Base)</t>
        </is>
      </c>
      <c r="C23" s="73" t="inlineStr">
        <is>
          <t>08_TRIANGULATION_RANGE!F21</t>
        </is>
      </c>
      <c r="D23" s="74" t="inlineStr">
        <is>
          <t>PV of explicit forecast FCFs + PV of terminal value.</t>
        </is>
      </c>
      <c r="E23" s="74" t="inlineStr">
        <is>
          <t>Forecast cash flows, WACC, terminal value method and parameters.</t>
        </is>
      </c>
      <c r="F23" s="74" t="inlineStr">
        <is>
          <t>Higher FCF increases EV; higher WACC decreases EV; more terminal dominance increases sensitivity.</t>
        </is>
      </c>
      <c r="G23" s="74" t="inlineStr">
        <is>
          <t>Over-optimistic terminal assumptions; forecast inconsistencies (margin, capex, NWC).</t>
        </is>
      </c>
      <c r="H23" s="74" t="inlineStr">
        <is>
          <t>TV % of EV within reasonable band; implied exit multiple / implied g sensible.</t>
        </is>
      </c>
      <c r="I23" s="74" t="inlineStr">
        <is>
          <t>DCF EV is the PV of explicit cash flows plus a terminal value, which we sanity-check via implied multiples.</t>
        </is>
      </c>
    </row>
    <row r="24" ht="60" customHeight="1">
      <c r="B24" s="72" t="inlineStr">
        <is>
          <t>DCF equity value (Base)</t>
        </is>
      </c>
      <c r="C24" s="73" t="inlineStr">
        <is>
          <t>08_TRIANGULATION_RANGE!F22</t>
        </is>
      </c>
      <c r="D24" s="74" t="inlineStr">
        <is>
          <t>DCF EV minus net debt (same bridge as comps).</t>
        </is>
      </c>
      <c r="E24" s="74" t="inlineStr">
        <is>
          <t>DCF EV + net debt definition.</t>
        </is>
      </c>
      <c r="F24" s="74" t="inlineStr">
        <is>
          <t>Higher net debt reduces DCF equity value.</t>
        </is>
      </c>
      <c r="G24" s="74" t="inlineStr">
        <is>
          <t>Net debt date mismatch vs forecast start; including/excluding leases inconsistently.</t>
        </is>
      </c>
      <c r="H24" s="74" t="inlineStr">
        <is>
          <t>DCF equity value + net debt = DCF EV.</t>
        </is>
      </c>
      <c r="I24" s="74" t="inlineStr">
        <is>
          <t>We translate DCF EV to equity using the same net debt bridge as in comps.</t>
        </is>
      </c>
    </row>
    <row r="25" ht="60" customHeight="1">
      <c r="B25" s="72" t="inlineStr">
        <is>
          <t>DCF implied price (Base)</t>
        </is>
      </c>
      <c r="C25" s="73" t="inlineStr">
        <is>
          <t>08_TRIANGULATION_RANGE!F23</t>
        </is>
      </c>
      <c r="D25" s="74" t="inlineStr">
        <is>
          <t>DCF equity value divided by shares outstanding.</t>
        </is>
      </c>
      <c r="E25" s="74" t="inlineStr">
        <is>
          <t>DCF equity value + shares outstanding.</t>
        </is>
      </c>
      <c r="F25" s="74" t="inlineStr">
        <is>
          <t>Same mechanics as comps per share.</t>
        </is>
      </c>
      <c r="G25" s="74" t="inlineStr">
        <is>
          <t>Dilution treatment inconsistent with cash flow forecast assumptions.</t>
        </is>
      </c>
      <c r="H25" s="74" t="inlineStr">
        <is>
          <t>DCF implied market cap = implied price × shares.</t>
        </is>
      </c>
      <c r="I25" s="74" t="inlineStr">
        <is>
          <t>DCF implies X per share, giving a cross-check versus comps.</t>
        </is>
      </c>
    </row>
    <row r="26" ht="60" customHeight="1">
      <c r="B26" s="72" t="inlineStr">
        <is>
          <t>Combined valuation price (Base)</t>
        </is>
      </c>
      <c r="C26" s="73" t="inlineStr">
        <is>
          <t>08_TRIANGULATION_RANGE!F61</t>
        </is>
      </c>
      <c r="D26" s="74" t="inlineStr">
        <is>
          <t>Weighted/triangulated per share valuation combining comps and DCF (if ON).</t>
        </is>
      </c>
      <c r="E26" s="74" t="inlineStr">
        <is>
          <t>Comps midpoint, DCF base, weighting or inclusion rules.</t>
        </is>
      </c>
      <c r="F26" s="74" t="inlineStr">
        <is>
          <t>Moves with both comps multiple and DCF drivers; reduces reliance on a single method.</t>
        </is>
      </c>
      <c r="G26" s="74" t="inlineStr">
        <is>
          <t>Unclear weighting rationale; mixing scenario outputs inadvertently.</t>
        </is>
      </c>
      <c r="H26" s="74" t="inlineStr">
        <is>
          <t>Combined price sits between comps and DCF anchors; explain any deviation.</t>
        </is>
      </c>
      <c r="I26" s="74" t="inlineStr">
        <is>
          <t>We triangulate comps and DCF to arrive at a base case value of X per share.</t>
        </is>
      </c>
    </row>
    <row r="27" ht="60" customHeight="1">
      <c r="B27" s="72" t="inlineStr">
        <is>
          <t>Valuation range (Downside to Upside)</t>
        </is>
      </c>
      <c r="C27" s="73" t="inlineStr">
        <is>
          <t>08_TRIANGULATION_RANGE!F62</t>
        </is>
      </c>
      <c r="D27" s="74" t="inlineStr">
        <is>
          <t>Per share range from downside to upside scenario outputs.</t>
        </is>
      </c>
      <c r="E27" s="74" t="inlineStr">
        <is>
          <t>Scenario levers: multiple compression/expansion, WACC shifts, terminal assumptions, operating deltas.</t>
        </is>
      </c>
      <c r="F27" s="74" t="inlineStr">
        <is>
          <t>More volatile assumptions widen the range; tighter assumptions narrow it.</t>
        </is>
      </c>
      <c r="G27" s="74" t="inlineStr">
        <is>
          <t>Range driven by unrealistic terminal changes rather than core drivers.</t>
        </is>
      </c>
      <c r="H27" s="74" t="inlineStr">
        <is>
          <t>Range width matches business risk; downside not below liquidation logic (if applicable).</t>
        </is>
      </c>
      <c r="I27" s="74" t="inlineStr">
        <is>
          <t>We show a range to reflect uncertainty: downside X, base Y, upside Z.</t>
        </is>
      </c>
    </row>
    <row r="28" ht="60" customHeight="1">
      <c r="B28" s="72" t="inlineStr">
        <is>
          <t>Upside / downside (%)</t>
        </is>
      </c>
      <c r="C28" s="73" t="inlineStr">
        <is>
          <t>08_TRIANGULATION_RANGE!F53</t>
        </is>
      </c>
      <c r="D28" s="74" t="inlineStr">
        <is>
          <t>Percent difference between implied price and current price.</t>
        </is>
      </c>
      <c r="E28" s="74" t="inlineStr">
        <is>
          <t>Implied price vs spot price.</t>
        </is>
      </c>
      <c r="F28" s="74" t="inlineStr">
        <is>
          <t>Higher implied price increases upside; higher spot price reduces upside at constant implied.</t>
        </is>
      </c>
      <c r="G28" s="74" t="inlineStr">
        <is>
          <t>Using wrong reference price date; mixing currencies.</t>
        </is>
      </c>
      <c r="H28" s="74" t="inlineStr">
        <is>
          <t>Upside = implied/spot - 1.</t>
        </is>
      </c>
      <c r="I28" s="74" t="inlineStr">
        <is>
          <t>Relative to today’s price, our base case implies ~X% upside.</t>
        </is>
      </c>
    </row>
    <row r="29" ht="60" customHeight="1">
      <c r="B29" s="72" t="inlineStr">
        <is>
          <t>PV of explicit cash flows (Base)</t>
        </is>
      </c>
      <c r="C29" s="73" t="inlineStr">
        <is>
          <t>07_DCF_FCF_AND_VALUATION!F56</t>
        </is>
      </c>
      <c r="D29" s="74" t="inlineStr">
        <is>
          <t>Present value of forecast-period unlevered FCFs (excluding terminal).</t>
        </is>
      </c>
      <c r="E29" s="74" t="inlineStr">
        <is>
          <t>Forecast FCF profile + WACC + mid-year convention.</t>
        </is>
      </c>
      <c r="F29" s="74" t="inlineStr">
        <is>
          <t>Stronger near-term FCF raises PV; value is less sensitive than terminal PV.</t>
        </is>
      </c>
      <c r="G29" s="74" t="inlineStr">
        <is>
          <t>Incorrect discounting timing; mixing annual vs mid-year.</t>
        </is>
      </c>
      <c r="H29" s="74" t="inlineStr">
        <is>
          <t>PV of FCFs plus PV of TV equals EV.</t>
        </is>
      </c>
      <c r="I29" s="74" t="inlineStr">
        <is>
          <t>A healthy share of value should come from explicit cash flows, not just the terminal.</t>
        </is>
      </c>
    </row>
    <row r="30" ht="60" customHeight="1">
      <c r="B30" s="72" t="inlineStr">
        <is>
          <t>PV of terminal value (Base)</t>
        </is>
      </c>
      <c r="C30" s="73" t="inlineStr">
        <is>
          <t>07_DCF_FCF_AND_VALUATION!F57</t>
        </is>
      </c>
      <c r="D30" s="74" t="inlineStr">
        <is>
          <t>Present value of terminal value contribution to EV.</t>
        </is>
      </c>
      <c r="E30" s="74" t="inlineStr">
        <is>
          <t>Terminal method and parameter (g or exit multiple) + WACC.</t>
        </is>
      </c>
      <c r="F30" s="74" t="inlineStr">
        <is>
          <t>Small changes in g or WACC can materially change PV(TV).</t>
        </is>
      </c>
      <c r="G30" s="74" t="inlineStr">
        <is>
          <t>Terminal value dominates EV due to too-short forecast or aggressive terminal assumptions.</t>
        </is>
      </c>
      <c r="H30" s="74" t="inlineStr">
        <is>
          <t>TV % of EV in a reasonable band (see 86 module).</t>
        </is>
      </c>
      <c r="I30" s="74" t="inlineStr">
        <is>
          <t>We sanity-check terminal dominance and implied multiples to avoid overly optimistic DCFs.</t>
        </is>
      </c>
    </row>
    <row r="31" ht="60" customHeight="1">
      <c r="B31" s="72" t="inlineStr">
        <is>
          <t>TV % of EV (Base)</t>
        </is>
      </c>
      <c r="C31" s="73" t="inlineStr">
        <is>
          <t>86_VAL_SPECIAL_MODULE!D53</t>
        </is>
      </c>
      <c r="D31" s="74" t="inlineStr">
        <is>
          <t>PV(TV) divided by EV in the base DCF.</t>
        </is>
      </c>
      <c r="E31" s="74" t="inlineStr">
        <is>
          <t>Forecast length, cash flow ramp, terminal assumptions, WACC.</t>
        </is>
      </c>
      <c r="F31" s="74" t="inlineStr">
        <is>
          <t>Higher terminal dominance makes DCF more assumption-driven.</t>
        </is>
      </c>
      <c r="G31" s="74" t="inlineStr">
        <is>
          <t>Ignoring that 80–90%+ TV share often signals too-short horizon or aggressive g.</t>
        </is>
      </c>
      <c r="H31" s="74" t="inlineStr">
        <is>
          <t>Typically 50–80% depending on sector and maturity; justify out-of-band.</t>
        </is>
      </c>
      <c r="I31" s="74" t="inlineStr">
        <is>
          <t>Our terminal value contribution is X% of EV, which we view as [reasonable/high] given the business profile.</t>
        </is>
      </c>
    </row>
    <row r="32" ht="60" customHeight="1">
      <c r="B32" s="72" t="inlineStr">
        <is>
          <t>Implied exit multiple (Base DCF)</t>
        </is>
      </c>
      <c r="C32" s="73" t="inlineStr">
        <is>
          <t>86_VAL_SPECIAL_MODULE!D54</t>
        </is>
      </c>
      <c r="D32" s="74" t="inlineStr">
        <is>
          <t>Terminal value divided by terminal-year EBITDA (proxy).</t>
        </is>
      </c>
      <c r="E32" s="74" t="inlineStr">
        <is>
          <t>Terminal value and terminal-year EBITDA level.</t>
        </is>
      </c>
      <c r="F32" s="74" t="inlineStr">
        <is>
          <t>If implied multiple exceeds comps, you need a credible improvement narrative.</t>
        </is>
      </c>
      <c r="G32" s="74" t="inlineStr">
        <is>
          <t>Forgetting that DCF can imply an unrealistic exit multiple even if g looks modest.</t>
        </is>
      </c>
      <c r="H32" s="74" t="inlineStr">
        <is>
          <t>Compare implied multiple to peer range and transaction comps.</t>
        </is>
      </c>
      <c r="I32" s="74" t="inlineStr">
        <is>
          <t>As a cross-check, the DCF implies an exit multiple of ~Xx, in line with / above peers.</t>
        </is>
      </c>
    </row>
    <row r="33" ht="60" customHeight="1">
      <c r="B33" s="72" t="inlineStr">
        <is>
          <t>Implied terminal growth proxy (Base DCF)</t>
        </is>
      </c>
      <c r="C33" s="73" t="inlineStr">
        <is>
          <t>86_VAL_SPECIAL_MODULE!D55</t>
        </is>
      </c>
      <c r="D33" s="74" t="inlineStr">
        <is>
          <t>Proxy implied g using g = WACC - FCF_n / TV (using last-year FCF).</t>
        </is>
      </c>
      <c r="E33" s="74" t="inlineStr">
        <is>
          <t>WACC, terminal value size, terminal-year FCF level.</t>
        </is>
      </c>
      <c r="F33" s="74" t="inlineStr">
        <is>
          <t>If implied g is too high, the terminal is likely too optimistic.</t>
        </is>
      </c>
      <c r="G33" s="74" t="inlineStr">
        <is>
          <t>Interpreting proxy as exact; it’s a sanity check, not a forecast.</t>
        </is>
      </c>
      <c r="H33" s="74" t="inlineStr">
        <is>
          <t>Compare to long-run inflation + GDP for the market.</t>
        </is>
      </c>
      <c r="I33" s="74" t="inlineStr">
        <is>
          <t>The terminal assumptions translate to an implied long-run growth of ~X%, which we benchmark to macro growth.</t>
        </is>
      </c>
    </row>
    <row r="34" ht="60" customHeight="1">
      <c r="B34" s="72" t="inlineStr">
        <is>
          <t>Tax rate used</t>
        </is>
      </c>
      <c r="C34" s="73" t="inlineStr">
        <is>
          <t>08_TRIANGULATION_RANGE!F75</t>
        </is>
      </c>
      <c r="D34" s="74" t="inlineStr">
        <is>
          <t>Tax rate used for after-tax cost of debt and cash flow assumptions (where relevant).</t>
        </is>
      </c>
      <c r="E34" s="74" t="inlineStr">
        <is>
          <t>01_CONTROL tax rate input.</t>
        </is>
      </c>
      <c r="F34" s="74" t="inlineStr">
        <is>
          <t>Higher tax shield lowers after-tax debt cost, modestly lowering WACC.</t>
        </is>
      </c>
      <c r="G34" s="74" t="inlineStr">
        <is>
          <t>Using statutory when effective differs materially; ignoring loss carryforwards.</t>
        </is>
      </c>
      <c r="H34" s="74" t="inlineStr">
        <is>
          <t>Benchmark to country corporate tax + effective rate guidance.</t>
        </is>
      </c>
      <c r="I34" s="74" t="inlineStr">
        <is>
          <t>We use a tax rate of X% consistent with the company’s effective guidance and local regime.</t>
        </is>
      </c>
    </row>
    <row r="35" ht="60" customHeight="1">
      <c r="B35" s="72" t="inlineStr">
        <is>
          <t>Net debt definition toggles</t>
        </is>
      </c>
      <c r="C35" s="73" t="inlineStr">
        <is>
          <t>01_CONTROL!G43</t>
        </is>
      </c>
      <c r="D35" s="74" t="inlineStr">
        <is>
          <t>Switches controlling whether leases, pensions, minorities, associates are included in net debt.</t>
        </is>
      </c>
      <c r="E35" s="74" t="inlineStr">
        <is>
          <t>01_CONTROL toggles and 02_COMPANY_INPUTS net debt bridge.</t>
        </is>
      </c>
      <c r="F35" s="74" t="inlineStr">
        <is>
          <t>Including more items increases net debt, reduces equity value (for fixed EV).</t>
        </is>
      </c>
      <c r="G35" s="74" t="inlineStr">
        <is>
          <t>Definition differs across peers and target; leads to apples-to-oranges multiples.</t>
        </is>
      </c>
      <c r="H35" s="74" t="inlineStr">
        <is>
          <t>Document definition explicitly in output memo; reconcile to peer EV basis.</t>
        </is>
      </c>
      <c r="I35" s="74" t="inlineStr">
        <is>
          <t>We are explicit on net debt definition to keep EV/EBITDA comparable across the peer set.</t>
        </is>
      </c>
    </row>
    <row r="36" ht="60" customHeight="1">
      <c r="B36" s="72" t="inlineStr">
        <is>
          <t>DCF sensitivity table (WACC vs g)</t>
        </is>
      </c>
      <c r="C36" s="73" t="inlineStr">
        <is>
          <t>09_SENSITIVITIES!G16</t>
        </is>
      </c>
      <c r="D36" s="74" t="inlineStr">
        <is>
          <t>Heatmap of DCF implied price as WACC and terminal g move.</t>
        </is>
      </c>
      <c r="E36" s="74" t="inlineStr">
        <is>
          <t>Base cash flows + discount rate + terminal assumptions.</t>
        </is>
      </c>
      <c r="F36" s="74" t="inlineStr">
        <is>
          <t>Higher WACC and lower g reduce value; curvature increases near WACC≈g.</t>
        </is>
      </c>
      <c r="G36" s="74" t="inlineStr">
        <is>
          <t>Using g too close to WACC; interpreting a single point without range context.</t>
        </is>
      </c>
      <c r="H36" s="74" t="inlineStr">
        <is>
          <t>Base case cell matches DCF implied price (check).</t>
        </is>
      </c>
      <c r="I36" s="74" t="inlineStr">
        <is>
          <t>We show how sensitive the DCF is to WACC and terminal growth; this frames the debate around assumptions.</t>
        </is>
      </c>
    </row>
    <row r="37" ht="60" customHeight="1">
      <c r="B37" s="72" t="inlineStr">
        <is>
          <t>Overall model checks status</t>
        </is>
      </c>
      <c r="C37" s="73" t="inlineStr">
        <is>
          <t>90_CHECKS!F3</t>
        </is>
      </c>
      <c r="D37" s="74" t="inlineStr">
        <is>
          <t>PASS/FAIL summary for consistency checks across sheets.</t>
        </is>
      </c>
      <c r="E37" s="74" t="inlineStr">
        <is>
          <t>90_CHECKS diagnostics (top driver of fails: #N/A, mismatched time series, broken links).</t>
        </is>
      </c>
      <c r="F37" s="74" t="inlineStr">
        <is>
          <t>Model must be PASS before sharing outputs.</t>
        </is>
      </c>
      <c r="G37" s="74" t="inlineStr">
        <is>
          <t>Ignoring FAIL and pushing outputs; stakeholders lose trust.</t>
        </is>
      </c>
      <c r="H37" s="74" t="inlineStr">
        <is>
          <t>Fix fails or document intentional exceptions before IC.</t>
        </is>
      </c>
      <c r="I37" s="74" t="inlineStr">
        <is>
          <t>Before sharing, we ensure the model passes all checks to avoid silent errors.</t>
        </is>
      </c>
    </row>
    <row r="38" ht="60" customHeight="1">
      <c r="B38" s="72" t="inlineStr">
        <is>
          <t>Terminal method</t>
        </is>
      </c>
      <c r="C38" s="73" t="inlineStr">
        <is>
          <t>08_TRIANGULATION_RANGE!F70</t>
        </is>
      </c>
      <c r="D38" s="74" t="inlineStr">
        <is>
          <t>DCF terminal value approach: perpetuity growth or exit multiple.</t>
        </is>
      </c>
      <c r="E38" s="74" t="inlineStr">
        <is>
          <t>01_CONTROL terminal method toggle; links to terminal inputs and sensitivity tables.</t>
        </is>
      </c>
      <c r="F38" s="74" t="inlineStr">
        <is>
          <t>Perpetuity method is very sensitive to (WACC-g); exit multiple anchors to market comps.</t>
        </is>
      </c>
      <c r="G38" s="74" t="inlineStr">
        <is>
          <t>Switching method without updating assumptions; mixing g and multiple narratives.</t>
        </is>
      </c>
      <c r="H38" s="74" t="inlineStr">
        <is>
          <t>Implied exit multiple / implied g sanity (see 86).</t>
        </is>
      </c>
      <c r="I38" s="74" t="inlineStr">
        <is>
          <t>We use [perpetuity/exit multiple] terminal value, consistent with how the market prices the sector.</t>
        </is>
      </c>
    </row>
    <row r="39" ht="60" customHeight="1">
      <c r="B39" s="72" t="inlineStr">
        <is>
          <t>Terminal parameter used (g / exit multiple)</t>
        </is>
      </c>
      <c r="C39" s="73" t="inlineStr">
        <is>
          <t>08_TRIANGULATION_RANGE!F73</t>
        </is>
      </c>
      <c r="D39" s="74" t="inlineStr">
        <is>
          <t>Terminal g (if perpetuity) or exit multiple (if exit-multiple) used in DCF.</t>
        </is>
      </c>
      <c r="E39" s="74" t="inlineStr">
        <is>
          <t>01_CONTROL: terminal g inputs (base/up/down) and exit multiple inputs; scenario selection.</t>
        </is>
      </c>
      <c r="F39" s="74" t="inlineStr">
        <is>
          <t>Higher g increases terminal value; higher exit multiple increases terminal value.</t>
        </is>
      </c>
      <c r="G39" s="74" t="inlineStr">
        <is>
          <t>Setting g too high relative to macro growth; exit multiple inconsistent with comps range.</t>
        </is>
      </c>
      <c r="H39" s="74" t="inlineStr">
        <is>
          <t>Check implied g / implied exit multiple bands (86).</t>
        </is>
      </c>
      <c r="I39" s="74" t="inlineStr">
        <is>
          <t>Our terminal assumption corresponds to ~X% long-run growth / ~Yx exit multiple, aligned with peers and macro.</t>
        </is>
      </c>
    </row>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 xmlns:r="http://schemas.openxmlformats.org/officeDocument/2006/relationships" ref="C31" r:id="rId22"/>
    <hyperlink xmlns:r="http://schemas.openxmlformats.org/officeDocument/2006/relationships" ref="C32" r:id="rId23"/>
    <hyperlink xmlns:r="http://schemas.openxmlformats.org/officeDocument/2006/relationships" ref="C33" r:id="rId24"/>
    <hyperlink xmlns:r="http://schemas.openxmlformats.org/officeDocument/2006/relationships" ref="C34" r:id="rId25"/>
    <hyperlink xmlns:r="http://schemas.openxmlformats.org/officeDocument/2006/relationships" ref="C35" r:id="rId26"/>
    <hyperlink xmlns:r="http://schemas.openxmlformats.org/officeDocument/2006/relationships" ref="C36" r:id="rId27"/>
    <hyperlink xmlns:r="http://schemas.openxmlformats.org/officeDocument/2006/relationships" ref="C37" r:id="rId28"/>
    <hyperlink xmlns:r="http://schemas.openxmlformats.org/officeDocument/2006/relationships" ref="C38" r:id="rId29"/>
    <hyperlink xmlns:r="http://schemas.openxmlformats.org/officeDocument/2006/relationships" ref="C39" r:id="rId3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99"/>
  <sheetViews>
    <sheetView workbookViewId="0">
      <pane xSplit="5" ySplit="7" topLeftCell="F8"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22" customWidth="1" min="3" max="3"/>
    <col width="40" customWidth="1" min="4" max="4"/>
    <col width="40" customWidth="1" min="5" max="5"/>
    <col width="40" customWidth="1" min="6" max="6"/>
    <col width="40" customWidth="1" min="7" max="7"/>
    <col width="40" customWidth="1" min="8" max="8"/>
    <col width="40" customWidth="1" min="9" max="9"/>
    <col width="18" customWidth="1" min="10" max="10"/>
  </cols>
  <sheetData>
    <row r="1" ht="15" customHeight="1"/>
    <row r="2" ht="15" customHeight="1">
      <c r="B2" s="66" t="inlineStr">
        <is>
          <t>81 Formula Walkthrough</t>
        </is>
      </c>
    </row>
    <row r="3" ht="15" customHeight="1">
      <c r="B3" s="70" t="inlineStr">
        <is>
          <t>Key formulas: what they do, why they matter, and what breaks them.</t>
        </is>
      </c>
    </row>
    <row r="4" ht="15" customHeight="1"/>
    <row r="5" ht="15" customHeight="1">
      <c r="B5" s="71" t="inlineStr">
        <is>
          <t>Learning Layer (additive). All refs tie to model cells. Do not edit calculation tabs unless fixing a confirmed error.</t>
        </is>
      </c>
    </row>
    <row r="6"/>
    <row r="7" ht="18" customHeight="1">
      <c r="B7" s="66" t="inlineStr">
        <is>
          <t>CONTENT</t>
        </is>
      </c>
    </row>
    <row r="8"/>
    <row r="9">
      <c r="B9" s="66" t="inlineStr">
        <is>
          <t>Formula / concept</t>
        </is>
      </c>
      <c r="C9" s="66" t="inlineStr">
        <is>
          <t>Model ref</t>
        </is>
      </c>
      <c r="D9" s="66" t="inlineStr">
        <is>
          <t>Model formula (auto)</t>
        </is>
      </c>
      <c r="E9" s="66" t="inlineStr">
        <is>
          <t>Plain-English</t>
        </is>
      </c>
      <c r="F9" s="66" t="inlineStr">
        <is>
          <t>Why it matters</t>
        </is>
      </c>
      <c r="G9" s="66" t="inlineStr">
        <is>
          <t>Typical mistake</t>
        </is>
      </c>
      <c r="H9" s="66" t="inlineStr">
        <is>
          <t>Mini example / sanity</t>
        </is>
      </c>
    </row>
    <row r="10" ht="70" customHeight="1">
      <c r="B10" s="72" t="inlineStr">
        <is>
          <t>Market cap</t>
        </is>
      </c>
      <c r="C10" s="73" t="inlineStr">
        <is>
          <t>08_TRIANGULATION_RANGE!F49</t>
        </is>
      </c>
      <c r="D10" s="67">
        <f>IFERROR(FORMULATEXT('08_TRIANGULATION_RANGE'!F49),"")</f>
        <v/>
      </c>
      <c r="E10" s="74" t="inlineStr">
        <is>
          <t>Market cap = price × shares.</t>
        </is>
      </c>
      <c r="F10" s="74" t="inlineStr">
        <is>
          <t>Sets equity anchor and upside math.</t>
        </is>
      </c>
      <c r="G10" s="74" t="inlineStr">
        <is>
          <t>Wrong share count or currency.</t>
        </is>
      </c>
      <c r="H10" s="74" t="inlineStr">
        <is>
          <t>Check: Market cap / price ≈ shares.</t>
        </is>
      </c>
    </row>
    <row r="11" ht="70" customHeight="1">
      <c r="B11" s="72" t="inlineStr">
        <is>
          <t>Net debt (definition)</t>
        </is>
      </c>
      <c r="C11" s="73" t="inlineStr">
        <is>
          <t>02_COMPANY_INPUTS!F26</t>
        </is>
      </c>
      <c r="D11" s="67">
        <f>IFERROR(FORMULATEXT('02_COMPANY_INPUTS'!F26),"")</f>
        <v/>
      </c>
      <c r="E11" s="74" t="inlineStr">
        <is>
          <t>Net debt = Debt - Cash + selected adjustments.</t>
        </is>
      </c>
      <c r="F11" s="74" t="inlineStr">
        <is>
          <t>Bridges EV ↔ equity; affects multiples comparability.</t>
        </is>
      </c>
      <c r="G11" s="74" t="inlineStr">
        <is>
          <t>Inconsistent peer definition or double-counting leases.</t>
        </is>
      </c>
      <c r="H11" s="74" t="inlineStr">
        <is>
          <t>Check: Net debt/EBITDA vs peers.</t>
        </is>
      </c>
    </row>
    <row r="12" ht="70" customHeight="1">
      <c r="B12" s="72" t="inlineStr">
        <is>
          <t>Enterprise value (EV)</t>
        </is>
      </c>
      <c r="C12" s="73" t="inlineStr">
        <is>
          <t>08_TRIANGULATION_RANGE!F51</t>
        </is>
      </c>
      <c r="D12" s="67">
        <f>IFERROR(FORMULATEXT('08_TRIANGULATION_RANGE'!F51),"")</f>
        <v/>
      </c>
      <c r="E12" s="74" t="inlineStr">
        <is>
          <t>EV = market cap + net debt.</t>
        </is>
      </c>
      <c r="F12" s="74" t="inlineStr">
        <is>
          <t>Core valuation basis for EV multiples.</t>
        </is>
      </c>
      <c r="G12" s="74" t="inlineStr">
        <is>
          <t>Mixing equity multiples with EV basis.</t>
        </is>
      </c>
      <c r="H12" s="74" t="inlineStr">
        <is>
          <t>Check: EV - net debt = equity.</t>
        </is>
      </c>
    </row>
    <row r="13" ht="70" customHeight="1">
      <c r="B13" s="72" t="inlineStr">
        <is>
          <t>EV/EBITDA P25</t>
        </is>
      </c>
      <c r="C13" s="73" t="inlineStr">
        <is>
          <t>05_TRADING_COMPS!F28</t>
        </is>
      </c>
      <c r="D13" s="67">
        <f>IFERROR(FORMULATEXT('05_TRADING_COMPS'!F28),"")</f>
        <v/>
      </c>
      <c r="E13" s="74" t="inlineStr">
        <is>
          <t>25th percentile of peer EV/EBITDA.</t>
        </is>
      </c>
      <c r="F13" s="74" t="inlineStr">
        <is>
          <t>Defines low-end valuation anchor.</t>
        </is>
      </c>
      <c r="G13" s="74" t="inlineStr">
        <is>
          <t>Small peer set leads to unstable quartiles.</t>
        </is>
      </c>
      <c r="H13" s="74" t="inlineStr">
        <is>
          <t>Check: peer count ≥ 6 for quartiles.</t>
        </is>
      </c>
    </row>
    <row r="14" ht="70" customHeight="1">
      <c r="B14" s="72" t="inlineStr">
        <is>
          <t>EV/EBITDA Median</t>
        </is>
      </c>
      <c r="C14" s="73" t="inlineStr">
        <is>
          <t>05_TRADING_COMPS!G28</t>
        </is>
      </c>
      <c r="D14" s="67">
        <f>IFERROR(FORMULATEXT('05_TRADING_COMPS'!G28),"")</f>
        <v/>
      </c>
      <c r="E14" s="74" t="inlineStr">
        <is>
          <t>Median of peer EV/EBITDA.</t>
        </is>
      </c>
      <c r="F14" s="74" t="inlineStr">
        <is>
          <t>Neutral anchor for selection.</t>
        </is>
      </c>
      <c r="G14" s="74" t="inlineStr">
        <is>
          <t>Median distorted by outliers.</t>
        </is>
      </c>
      <c r="H14" s="74" t="inlineStr">
        <is>
          <t>Check: compare to trimmed median.</t>
        </is>
      </c>
    </row>
    <row r="15" ht="70" customHeight="1">
      <c r="B15" s="72" t="inlineStr">
        <is>
          <t>EV/EBITDA P75</t>
        </is>
      </c>
      <c r="C15" s="73" t="inlineStr">
        <is>
          <t>05_TRADING_COMPS!H28</t>
        </is>
      </c>
      <c r="D15" s="67">
        <f>IFERROR(FORMULATEXT('05_TRADING_COMPS'!H28),"")</f>
        <v/>
      </c>
      <c r="E15" s="74" t="inlineStr">
        <is>
          <t>75th percentile of peer EV/EBITDA.</t>
        </is>
      </c>
      <c r="F15" s="74" t="inlineStr">
        <is>
          <t>Defines high-end anchor.</t>
        </is>
      </c>
      <c r="G15" s="74" t="inlineStr">
        <is>
          <t>Using P75 without catalyst narrative.</t>
        </is>
      </c>
      <c r="H15" s="74" t="inlineStr">
        <is>
          <t>Check: justify premium.</t>
        </is>
      </c>
    </row>
    <row r="16" ht="70" customHeight="1">
      <c r="B16" s="72" t="inlineStr">
        <is>
          <t>Selected comps multiple</t>
        </is>
      </c>
      <c r="C16" s="73" t="inlineStr">
        <is>
          <t>05_TRADING_COMPS!F32</t>
        </is>
      </c>
      <c r="D16" s="67">
        <f>IFERROR(FORMULATEXT('05_TRADING_COMPS'!F32),"")</f>
        <v/>
      </c>
      <c r="E16" s="74" t="inlineStr">
        <is>
          <t>Chosen multiple (often median).</t>
        </is>
      </c>
      <c r="F16" s="74" t="inlineStr">
        <is>
          <t>Directly scales implied EV and price.</t>
        </is>
      </c>
      <c r="G16" s="74" t="inlineStr">
        <is>
          <t>Hard-coding instead of linking to stats.</t>
        </is>
      </c>
      <c r="H16" s="74" t="inlineStr">
        <is>
          <t>Check: within P25–P75 or justify.</t>
        </is>
      </c>
    </row>
    <row r="17" ht="70" customHeight="1">
      <c r="B17" s="72" t="inlineStr">
        <is>
          <t>Implied EV (P25)</t>
        </is>
      </c>
      <c r="C17" s="73" t="inlineStr">
        <is>
          <t>05_TRADING_COMPS!F40</t>
        </is>
      </c>
      <c r="D17" s="67">
        <f>IFERROR(FORMULATEXT('05_TRADING_COMPS'!F40),"")</f>
        <v/>
      </c>
      <c r="E17" s="74" t="inlineStr">
        <is>
          <t>EV = multiple × company EBITDA.</t>
        </is>
      </c>
      <c r="F17" s="74" t="inlineStr">
        <is>
          <t>Low-end EV implied by comps.</t>
        </is>
      </c>
      <c r="G17" s="74" t="inlineStr">
        <is>
          <t>Using wrong EBITDA (LTM vs NTM).</t>
        </is>
      </c>
      <c r="H17" s="74" t="inlineStr">
        <is>
          <t>Check: EBITDA definition matches peers.</t>
        </is>
      </c>
    </row>
    <row r="18" ht="70" customHeight="1">
      <c r="B18" s="72" t="inlineStr">
        <is>
          <t>Implied EV (Median)</t>
        </is>
      </c>
      <c r="C18" s="73" t="inlineStr">
        <is>
          <t>05_TRADING_COMPS!G40</t>
        </is>
      </c>
      <c r="D18" s="67">
        <f>IFERROR(FORMULATEXT('05_TRADING_COMPS'!G40),"")</f>
        <v/>
      </c>
      <c r="E18" s="74" t="inlineStr">
        <is>
          <t>EV = median multiple × EBITDA.</t>
        </is>
      </c>
      <c r="F18" s="74" t="inlineStr">
        <is>
          <t>Midpoint EV anchor.</t>
        </is>
      </c>
      <c r="G18" s="74" t="inlineStr">
        <is>
          <t>Not adjusting EBITDA for one-offs.</t>
        </is>
      </c>
      <c r="H18" s="74" t="inlineStr">
        <is>
          <t>Check: remove extraordinary items.</t>
        </is>
      </c>
    </row>
    <row r="19" ht="70" customHeight="1">
      <c r="B19" s="72" t="inlineStr">
        <is>
          <t>Implied EV (P75)</t>
        </is>
      </c>
      <c r="C19" s="73" t="inlineStr">
        <is>
          <t>05_TRADING_COMPS!H40</t>
        </is>
      </c>
      <c r="D19" s="67">
        <f>IFERROR(FORMULATEXT('05_TRADING_COMPS'!H40),"")</f>
        <v/>
      </c>
      <c r="E19" s="74" t="inlineStr">
        <is>
          <t>EV = P75 multiple × EBITDA.</t>
        </is>
      </c>
      <c r="F19" s="74" t="inlineStr">
        <is>
          <t>High-end EV anchor.</t>
        </is>
      </c>
      <c r="G19" s="74" t="inlineStr">
        <is>
          <t>Assuming premium without drivers.</t>
        </is>
      </c>
      <c r="H19" s="74" t="inlineStr">
        <is>
          <t>Check: premium vs growth/margins.</t>
        </is>
      </c>
    </row>
    <row r="20" ht="70" customHeight="1">
      <c r="B20" s="72" t="inlineStr">
        <is>
          <t>Implied equity value (Median)</t>
        </is>
      </c>
      <c r="C20" s="73" t="inlineStr">
        <is>
          <t>05_TRADING_COMPS!G43</t>
        </is>
      </c>
      <c r="D20" s="67">
        <f>IFERROR(FORMULATEXT('05_TRADING_COMPS'!G43),"")</f>
        <v/>
      </c>
      <c r="E20" s="74" t="inlineStr">
        <is>
          <t>Equity = EV - net debt.</t>
        </is>
      </c>
      <c r="F20" s="74" t="inlineStr">
        <is>
          <t>Bridge to per share.</t>
        </is>
      </c>
      <c r="G20" s="74" t="inlineStr">
        <is>
          <t>Wrong net debt date or definition.</t>
        </is>
      </c>
      <c r="H20" s="74" t="inlineStr">
        <is>
          <t>Check: equity + net debt = EV.</t>
        </is>
      </c>
    </row>
    <row r="21" ht="70" customHeight="1">
      <c r="B21" s="72" t="inlineStr">
        <is>
          <t>Comps implied price (Median)</t>
        </is>
      </c>
      <c r="C21" s="73" t="inlineStr">
        <is>
          <t>08_TRIANGULATION_RANGE!F14</t>
        </is>
      </c>
      <c r="D21" s="67">
        <f>IFERROR(FORMULATEXT('08_TRIANGULATION_RANGE'!F14),"")</f>
        <v/>
      </c>
      <c r="E21" s="74" t="inlineStr">
        <is>
          <t>Price = equity value / shares.</t>
        </is>
      </c>
      <c r="F21" s="74" t="inlineStr">
        <is>
          <t>Translate to per share output.</t>
        </is>
      </c>
      <c r="G21" s="74" t="inlineStr">
        <is>
          <t>Using basic shares instead of diluted.</t>
        </is>
      </c>
      <c r="H21" s="74" t="inlineStr">
        <is>
          <t>Check: price × shares = equity.</t>
        </is>
      </c>
    </row>
    <row r="22" ht="70" customHeight="1">
      <c r="B22" s="72" t="inlineStr">
        <is>
          <t>DCF discount factor (Year 1)</t>
        </is>
      </c>
      <c r="C22" s="73" t="inlineStr">
        <is>
          <t>07_DCF_FCF_AND_VALUATION!F12</t>
        </is>
      </c>
      <c r="D22" s="67">
        <f>IFERROR(FORMULATEXT('07_DCF_FCF_AND_VALUATION'!F12),"")</f>
        <v/>
      </c>
      <c r="E22" s="74" t="inlineStr">
        <is>
          <t>DF = 1 / (1+WACC)^(t - midyear_adj).</t>
        </is>
      </c>
      <c r="F22" s="74" t="inlineStr">
        <is>
          <t>Correctly times PV of cash flows.</t>
        </is>
      </c>
      <c r="G22" s="74" t="inlineStr">
        <is>
          <t>Mixing end-year vs mid-year timing.</t>
        </is>
      </c>
      <c r="H22" s="74" t="inlineStr">
        <is>
          <t>Check: DF decreases over time.</t>
        </is>
      </c>
    </row>
    <row r="23" ht="70" customHeight="1">
      <c r="B23" s="72" t="inlineStr">
        <is>
          <t>Unlevered FCF (Year 1)</t>
        </is>
      </c>
      <c r="C23" s="73" t="inlineStr">
        <is>
          <t>07_DCF_FCF_AND_VALUATION!F30</t>
        </is>
      </c>
      <c r="D23" s="67">
        <f>IFERROR(FORMULATEXT('07_DCF_FCF_AND_VALUATION'!F30),"")</f>
        <v/>
      </c>
      <c r="E23" s="74" t="inlineStr">
        <is>
          <t>FCF = NOPAT + D&amp;A - Capex - ΔNWC.</t>
        </is>
      </c>
      <c r="F23" s="74" t="inlineStr">
        <is>
          <t>Drives DCF value; quality of forecast matters.</t>
        </is>
      </c>
      <c r="G23" s="74" t="inlineStr">
        <is>
          <t>Sign error on NWC or capex.</t>
        </is>
      </c>
      <c r="H23" s="74" t="inlineStr">
        <is>
          <t>Check: FCF conversion vs EBITDA.</t>
        </is>
      </c>
    </row>
    <row r="24" ht="70" customHeight="1">
      <c r="B24" s="72" t="inlineStr">
        <is>
          <t>Terminal value (Base)</t>
        </is>
      </c>
      <c r="C24" s="73" t="inlineStr">
        <is>
          <t>07_DCF_FCF_AND_VALUATION!F34</t>
        </is>
      </c>
      <c r="D24" s="67">
        <f>IFERROR(FORMULATEXT('07_DCF_FCF_AND_VALUATION'!F34),"")</f>
        <v/>
      </c>
      <c r="E24" s="74" t="inlineStr">
        <is>
          <t>TV via perpetuity or exit multiple (switch).</t>
        </is>
      </c>
      <c r="F24" s="74" t="inlineStr">
        <is>
          <t>Often majority of DCF value.</t>
        </is>
      </c>
      <c r="G24" s="74" t="inlineStr">
        <is>
          <t>Setting g too close to WACC.</t>
        </is>
      </c>
      <c r="H24" s="74" t="inlineStr">
        <is>
          <t>Check: implied exit multiple / implied g.</t>
        </is>
      </c>
    </row>
    <row r="25" ht="70" customHeight="1">
      <c r="B25" s="72" t="inlineStr">
        <is>
          <t>PV of terminal value (Base)</t>
        </is>
      </c>
      <c r="C25" s="73" t="inlineStr">
        <is>
          <t>07_DCF_FCF_AND_VALUATION!F35</t>
        </is>
      </c>
      <c r="D25" s="67">
        <f>IFERROR(FORMULATEXT('07_DCF_FCF_AND_VALUATION'!F35),"")</f>
        <v/>
      </c>
      <c r="E25" s="74" t="inlineStr">
        <is>
          <t>PV(TV) = TV × discount factor.</t>
        </is>
      </c>
      <c r="F25" s="74" t="inlineStr">
        <is>
          <t>Terminal dominance check.</t>
        </is>
      </c>
      <c r="G25" s="74" t="inlineStr">
        <is>
          <t>Using wrong DF or timing.</t>
        </is>
      </c>
      <c r="H25" s="74" t="inlineStr">
        <is>
          <t>Check: PV(TV) &lt; TV.</t>
        </is>
      </c>
    </row>
    <row r="26" ht="70" customHeight="1">
      <c r="B26" s="72" t="inlineStr">
        <is>
          <t>DCF enterprise value (Base)</t>
        </is>
      </c>
      <c r="C26" s="73" t="inlineStr">
        <is>
          <t>07_DCF_FCF_AND_VALUATION!F36</t>
        </is>
      </c>
      <c r="D26" s="67">
        <f>IFERROR(FORMULATEXT('07_DCF_FCF_AND_VALUATION'!F36),"")</f>
        <v/>
      </c>
      <c r="E26" s="74" t="inlineStr">
        <is>
          <t>EV = PV(FCFs) + PV(TV).</t>
        </is>
      </c>
      <c r="F26" s="74" t="inlineStr">
        <is>
          <t>Core DCF output.</t>
        </is>
      </c>
      <c r="G26" s="74" t="inlineStr">
        <is>
          <t>Double counting PV terms.</t>
        </is>
      </c>
      <c r="H26" s="74" t="inlineStr">
        <is>
          <t>Check: ties to summary lines.</t>
        </is>
      </c>
    </row>
    <row r="27" ht="70" customHeight="1">
      <c r="B27" s="72" t="inlineStr">
        <is>
          <t>DCF equity value (Base)</t>
        </is>
      </c>
      <c r="C27" s="73" t="inlineStr">
        <is>
          <t>07_DCF_FCF_AND_VALUATION!F37</t>
        </is>
      </c>
      <c r="D27" s="67">
        <f>IFERROR(FORMULATEXT('07_DCF_FCF_AND_VALUATION'!F37),"")</f>
        <v/>
      </c>
      <c r="E27" s="74" t="inlineStr">
        <is>
          <t>Equity = EV - net debt.</t>
        </is>
      </c>
      <c r="F27" s="74" t="inlineStr">
        <is>
          <t>Bridge consistent with comps.</t>
        </is>
      </c>
      <c r="G27" s="74" t="inlineStr">
        <is>
          <t>Different net debt basis vs comps.</t>
        </is>
      </c>
      <c r="H27" s="74" t="inlineStr">
        <is>
          <t>Check: same definition toggles.</t>
        </is>
      </c>
    </row>
    <row r="28" ht="70" customHeight="1">
      <c r="B28" s="72" t="inlineStr">
        <is>
          <t>DCF implied price (Base)</t>
        </is>
      </c>
      <c r="C28" s="73" t="inlineStr">
        <is>
          <t>07_DCF_FCF_AND_VALUATION!F38</t>
        </is>
      </c>
      <c r="D28" s="67">
        <f>IFERROR(FORMULATEXT('07_DCF_FCF_AND_VALUATION'!F38),"")</f>
        <v/>
      </c>
      <c r="E28" s="74" t="inlineStr">
        <is>
          <t>Price = equity / shares.</t>
        </is>
      </c>
      <c r="F28" s="74" t="inlineStr">
        <is>
          <t>DCF per share output.</t>
        </is>
      </c>
      <c r="G28" s="74" t="inlineStr">
        <is>
          <t>Dilution inconsistent with forecast.</t>
        </is>
      </c>
      <c r="H28" s="74" t="inlineStr">
        <is>
          <t>Check: per share ties.</t>
        </is>
      </c>
    </row>
    <row r="29" ht="70" customHeight="1">
      <c r="B29" s="72" t="inlineStr">
        <is>
          <t>Cost of equity (CAPM + adj)</t>
        </is>
      </c>
      <c r="C29" s="73" t="inlineStr">
        <is>
          <t>01_CONTROL!F34</t>
        </is>
      </c>
      <c r="D29" s="67">
        <f>IFERROR(FORMULATEXT('01_CONTROL'!F34),"")</f>
        <v/>
      </c>
      <c r="E29" s="74" t="inlineStr">
        <is>
          <t>Ke = Rf + Beta×ERP + Adj.</t>
        </is>
      </c>
      <c r="F29" s="74" t="inlineStr">
        <is>
          <t>Main WACC driver.</t>
        </is>
      </c>
      <c r="G29" s="74" t="inlineStr">
        <is>
          <t>Using percent vs decimal inconsistency.</t>
        </is>
      </c>
      <c r="H29" s="74" t="inlineStr">
        <is>
          <t>Check: Ke reasonable vs peers.</t>
        </is>
      </c>
    </row>
    <row r="30" ht="70" customHeight="1">
      <c r="B30" s="72" t="inlineStr">
        <is>
          <t>After-tax cost of debt</t>
        </is>
      </c>
      <c r="C30" s="73" t="inlineStr">
        <is>
          <t>01_CONTROL!F35</t>
        </is>
      </c>
      <c r="D30" s="67">
        <f>IFERROR(FORMULATEXT('01_CONTROL'!F35),"")</f>
        <v/>
      </c>
      <c r="E30" s="74" t="inlineStr">
        <is>
          <t>Kd_after = Kd_pre × (1 - tax).</t>
        </is>
      </c>
      <c r="F30" s="74" t="inlineStr">
        <is>
          <t>Impacts WACC via debt leg.</t>
        </is>
      </c>
      <c r="G30" s="74" t="inlineStr">
        <is>
          <t>Using statutory tax when effective differs.</t>
        </is>
      </c>
      <c r="H30" s="74" t="inlineStr">
        <is>
          <t>Check: compare to interest coverage.</t>
        </is>
      </c>
    </row>
    <row r="31" ht="70" customHeight="1">
      <c r="B31" s="72" t="inlineStr">
        <is>
          <t>WACC</t>
        </is>
      </c>
      <c r="C31" s="73" t="inlineStr">
        <is>
          <t>01_CONTROL!F36</t>
        </is>
      </c>
      <c r="D31" s="67">
        <f>IFERROR(FORMULATEXT('01_CONTROL'!F36),"")</f>
        <v/>
      </c>
      <c r="E31" s="74" t="inlineStr">
        <is>
          <t>WACC = We×Ke + Wd×Kd_after.</t>
        </is>
      </c>
      <c r="F31" s="74" t="inlineStr">
        <is>
          <t>Discount rate in DCF.</t>
        </is>
      </c>
      <c r="G31" s="74" t="inlineStr">
        <is>
          <t>Weights not summing to 100%.</t>
        </is>
      </c>
      <c r="H31" s="74" t="inlineStr">
        <is>
          <t>Check: We+Wd=100%.</t>
        </is>
      </c>
    </row>
    <row r="32" ht="70" customHeight="1">
      <c r="B32" s="72" t="inlineStr">
        <is>
          <t>Upside % (Base)</t>
        </is>
      </c>
      <c r="C32" s="73" t="inlineStr">
        <is>
          <t>08_TRIANGULATION_RANGE!F53</t>
        </is>
      </c>
      <c r="D32" s="67">
        <f>IFERROR(FORMULATEXT('08_TRIANGULATION_RANGE'!F53),"")</f>
        <v/>
      </c>
      <c r="E32" s="74" t="inlineStr">
        <is>
          <t>Upside = implied/spot - 1.</t>
        </is>
      </c>
      <c r="F32" s="74" t="inlineStr">
        <is>
          <t>Communicates return potential.</t>
        </is>
      </c>
      <c r="G32" s="74" t="inlineStr">
        <is>
          <t>Using wrong spot price date.</t>
        </is>
      </c>
      <c r="H32" s="74" t="inlineStr">
        <is>
          <t>Check: recompute manually.</t>
        </is>
      </c>
    </row>
    <row r="33" ht="70" customHeight="1">
      <c r="B33" s="72" t="inlineStr">
        <is>
          <t>Combined price (Base)</t>
        </is>
      </c>
      <c r="C33" s="73" t="inlineStr">
        <is>
          <t>08_TRIANGULATION_RANGE!F61</t>
        </is>
      </c>
      <c r="D33" s="67">
        <f>IFERROR(FORMULATEXT('08_TRIANGULATION_RANGE'!F61),"")</f>
        <v/>
      </c>
      <c r="E33" s="74" t="inlineStr">
        <is>
          <t>Triangulated per share value (comps + DCF).</t>
        </is>
      </c>
      <c r="F33" s="74" t="inlineStr">
        <is>
          <t>Final decision anchor.</t>
        </is>
      </c>
      <c r="G33" s="74" t="inlineStr">
        <is>
          <t>Unclear weighting; mixing scenarios.</t>
        </is>
      </c>
      <c r="H33" s="74" t="inlineStr">
        <is>
          <t>Check: between comps and DCF anchors.</t>
        </is>
      </c>
    </row>
    <row r="34" ht="70" customHeight="1">
      <c r="B34" s="72" t="inlineStr">
        <is>
          <t>Range low (Combined)</t>
        </is>
      </c>
      <c r="C34" s="73" t="inlineStr">
        <is>
          <t>08_TRIANGULATION_RANGE!F63</t>
        </is>
      </c>
      <c r="D34" s="67">
        <f>IFERROR(FORMULATEXT('08_TRIANGULATION_RANGE'!F63),"")</f>
        <v/>
      </c>
      <c r="E34" s="74" t="inlineStr">
        <is>
          <t>Low = MIN(down, base, up).</t>
        </is>
      </c>
      <c r="F34" s="74" t="inlineStr">
        <is>
          <t>Range framing.</t>
        </is>
      </c>
      <c r="G34" s="74" t="inlineStr">
        <is>
          <t>Swapping downside/upside inputs.</t>
        </is>
      </c>
      <c r="H34" s="74" t="inlineStr">
        <is>
          <t>Check: low ≤ base ≤ high.</t>
        </is>
      </c>
    </row>
    <row r="35" ht="70" customHeight="1">
      <c r="B35" s="72" t="inlineStr">
        <is>
          <t>Range high (Combined)</t>
        </is>
      </c>
      <c r="C35" s="73" t="inlineStr">
        <is>
          <t>08_TRIANGULATION_RANGE!F64</t>
        </is>
      </c>
      <c r="D35" s="67">
        <f>IFERROR(FORMULATEXT('08_TRIANGULATION_RANGE'!F64),"")</f>
        <v/>
      </c>
      <c r="E35" s="74" t="inlineStr">
        <is>
          <t>High = MAX(down, base, up).</t>
        </is>
      </c>
      <c r="F35" s="74" t="inlineStr">
        <is>
          <t>Range framing.</t>
        </is>
      </c>
      <c r="G35" s="74" t="inlineStr">
        <is>
          <t>Not updating scenarios.</t>
        </is>
      </c>
      <c r="H35" s="74" t="inlineStr">
        <is>
          <t>Check: high ≥ base.</t>
        </is>
      </c>
    </row>
    <row r="36" ht="70" customHeight="1">
      <c r="B36" s="72" t="inlineStr">
        <is>
          <t>TV % of EV</t>
        </is>
      </c>
      <c r="C36" s="73" t="inlineStr">
        <is>
          <t>86_VAL_SPECIAL_MODULE!D53</t>
        </is>
      </c>
      <c r="D36" s="67">
        <f>IFERROR(FORMULATEXT('86_VAL_SPECIAL_MODULE'!D53),"")</f>
        <v/>
      </c>
      <c r="E36" s="74" t="inlineStr">
        <is>
          <t>TV% = PV(TV)/EV.</t>
        </is>
      </c>
      <c r="F36" s="74" t="inlineStr">
        <is>
          <t>Measures terminal dominance.</t>
        </is>
      </c>
      <c r="G36" s="74" t="inlineStr">
        <is>
          <t>Interpreting as exact; it’s a diagnostic.</t>
        </is>
      </c>
      <c r="H36" s="74" t="inlineStr">
        <is>
          <t>Check: 50–80% typical.</t>
        </is>
      </c>
    </row>
    <row r="37" ht="70" customHeight="1">
      <c r="B37" s="72" t="inlineStr">
        <is>
          <t>Implied exit multiple (proxy)</t>
        </is>
      </c>
      <c r="C37" s="73" t="inlineStr">
        <is>
          <t>86_VAL_SPECIAL_MODULE!D54</t>
        </is>
      </c>
      <c r="D37" s="67">
        <f>IFERROR(FORMULATEXT('86_VAL_SPECIAL_MODULE'!D54),"")</f>
        <v/>
      </c>
      <c r="E37" s="74" t="inlineStr">
        <is>
          <t>Implied mult = TV/EBITDA_n.</t>
        </is>
      </c>
      <c r="F37" s="74" t="inlineStr">
        <is>
          <t>Sanity vs comps.</t>
        </is>
      </c>
      <c r="G37" s="74" t="inlineStr">
        <is>
          <t>Using EBITDA not in terminal year.</t>
        </is>
      </c>
      <c r="H37" s="74" t="inlineStr">
        <is>
          <t>Check: compare to peer range.</t>
        </is>
      </c>
    </row>
    <row r="38" ht="70" customHeight="1">
      <c r="B38" s="72" t="inlineStr">
        <is>
          <t>Implied terminal growth (proxy)</t>
        </is>
      </c>
      <c r="C38" s="73" t="inlineStr">
        <is>
          <t>86_VAL_SPECIAL_MODULE!D55</t>
        </is>
      </c>
      <c r="D38" s="67">
        <f>IFERROR(FORMULATEXT('86_VAL_SPECIAL_MODULE'!D55),"")</f>
        <v/>
      </c>
      <c r="E38" s="74" t="inlineStr">
        <is>
          <t>g ≈ WACC - FCF_n/TV.</t>
        </is>
      </c>
      <c r="F38" s="74" t="inlineStr">
        <is>
          <t>Sanity vs macro growth.</t>
        </is>
      </c>
      <c r="G38" s="74" t="inlineStr">
        <is>
          <t>Treating proxy as forecast.</t>
        </is>
      </c>
      <c r="H38" s="74" t="inlineStr">
        <is>
          <t>Check: compare to GDP+inflation.</t>
        </is>
      </c>
    </row>
    <row r="39" ht="70" customHeight="1">
      <c r="B39" s="72" t="inlineStr">
        <is>
          <t>Sensitivity cell example</t>
        </is>
      </c>
      <c r="C39" s="73" t="inlineStr">
        <is>
          <t>09_SENSITIVITIES!H18</t>
        </is>
      </c>
      <c r="D39" s="67">
        <f>IFERROR(FORMULATEXT('09_SENSITIVITIES'!H18),"")</f>
        <v/>
      </c>
      <c r="E39" s="74" t="inlineStr">
        <is>
          <t>DCF price recalculated under alt WACC/g.</t>
        </is>
      </c>
      <c r="F39" s="74" t="inlineStr">
        <is>
          <t>Frames assumption debate.</t>
        </is>
      </c>
      <c r="G39" s="74" t="inlineStr">
        <is>
          <t>Reading table without matching base cell.</t>
        </is>
      </c>
      <c r="H39" s="74" t="inlineStr">
        <is>
          <t>Check: base cell = base DCF price.</t>
        </is>
      </c>
    </row>
    <row r="40" ht="70" customHeight="1">
      <c r="B40" s="72" t="inlineStr">
        <is>
          <t>Net debt toggle: leases</t>
        </is>
      </c>
      <c r="C40" s="73" t="inlineStr">
        <is>
          <t>01_CONTROL!G43</t>
        </is>
      </c>
      <c r="D40" s="67">
        <f>IFERROR(FORMULATEXT('01_CONTROL'!G43),"")</f>
        <v/>
      </c>
      <c r="E40" s="74" t="inlineStr">
        <is>
          <t>Include/exclude leases in net debt.</t>
        </is>
      </c>
      <c r="F40" s="74" t="inlineStr">
        <is>
          <t>Ensures EV basis matches peers.</t>
        </is>
      </c>
      <c r="G40" s="74" t="inlineStr">
        <is>
          <t>Forgetting peers’ lease treatment.</t>
        </is>
      </c>
      <c r="H40" s="74" t="inlineStr">
        <is>
          <t>Check: document definition.</t>
        </is>
      </c>
    </row>
    <row r="41" ht="70" customHeight="1">
      <c r="B41" s="72" t="inlineStr">
        <is>
          <t>Scenario switch</t>
        </is>
      </c>
      <c r="C41" s="73" t="inlineStr">
        <is>
          <t>01_CONTROL!F9</t>
        </is>
      </c>
      <c r="D41" s="67">
        <f>IFERROR(FORMULATEXT('01_CONTROL'!F9),"")</f>
        <v/>
      </c>
      <c r="E41" s="74" t="inlineStr">
        <is>
          <t>Selects base/up/down assumption set.</t>
        </is>
      </c>
      <c r="F41" s="74" t="inlineStr">
        <is>
          <t>Controls scenario outputs.</t>
        </is>
      </c>
      <c r="G41" s="74" t="inlineStr">
        <is>
          <t>Editing wrong scenario block.</t>
        </is>
      </c>
      <c r="H41" s="74" t="inlineStr">
        <is>
          <t>Check: scenario label matches outputs.</t>
        </is>
      </c>
    </row>
    <row r="42" ht="70" customHeight="1">
      <c r="B42" s="72" t="inlineStr">
        <is>
          <t>Terminal g used (scenario)</t>
        </is>
      </c>
      <c r="C42" s="73" t="inlineStr">
        <is>
          <t>01_CONTROL!F79</t>
        </is>
      </c>
      <c r="D42" s="67">
        <f>IFERROR(FORMULATEXT('01_CONTROL'!F79),"")</f>
        <v/>
      </c>
      <c r="E42" s="74" t="inlineStr">
        <is>
          <t>Picks g based on scenario selection.</t>
        </is>
      </c>
      <c r="F42" s="74" t="inlineStr">
        <is>
          <t>Scenario-specific terminal assumption.</t>
        </is>
      </c>
      <c r="G42" s="74" t="inlineStr">
        <is>
          <t>Changing g but not scenario selector.</t>
        </is>
      </c>
      <c r="H42" s="74" t="inlineStr">
        <is>
          <t>Check: g used updates with scenario.</t>
        </is>
      </c>
    </row>
    <row r="43" ht="70" customHeight="1">
      <c r="B43" s="72" t="inlineStr">
        <is>
          <t>Exit multiple used (scenario)</t>
        </is>
      </c>
      <c r="C43" s="73" t="inlineStr">
        <is>
          <t>01_CONTROL!F80</t>
        </is>
      </c>
      <c r="D43" s="67">
        <f>IFERROR(FORMULATEXT('01_CONTROL'!F80),"")</f>
        <v/>
      </c>
      <c r="E43" s="74" t="inlineStr">
        <is>
          <t>Picks exit multiple based on scenario.</t>
        </is>
      </c>
      <c r="F43" s="74" t="inlineStr">
        <is>
          <t>Scenario-specific exit multiple.</t>
        </is>
      </c>
      <c r="G43" s="74" t="inlineStr">
        <is>
          <t>Inconsistent with comps.</t>
        </is>
      </c>
      <c r="H43" s="74" t="inlineStr">
        <is>
          <t>Check: exit multiple within peer band.</t>
        </is>
      </c>
    </row>
    <row r="44" ht="70" customHeight="1">
      <c r="B44" s="72" t="inlineStr">
        <is>
          <t>Overall checks status</t>
        </is>
      </c>
      <c r="C44" s="73" t="inlineStr">
        <is>
          <t>90_CHECKS!F3</t>
        </is>
      </c>
      <c r="D44" s="67">
        <f>IFERROR(FORMULATEXT('90_CHECKS'!F3),"")</f>
        <v/>
      </c>
      <c r="E44" s="74" t="inlineStr">
        <is>
          <t>Aggregates model integrity checks.</t>
        </is>
      </c>
      <c r="F44" s="74" t="inlineStr">
        <is>
          <t>Prevents silent errors.</t>
        </is>
      </c>
      <c r="G44" s="74" t="inlineStr">
        <is>
          <t>Ignoring FAIL and sending output.</t>
        </is>
      </c>
      <c r="H44" s="74" t="inlineStr">
        <is>
          <t>Check: must be PASS before sharing.</t>
        </is>
      </c>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 xmlns:r="http://schemas.openxmlformats.org/officeDocument/2006/relationships" ref="C31" r:id="rId22"/>
    <hyperlink xmlns:r="http://schemas.openxmlformats.org/officeDocument/2006/relationships" ref="C32" r:id="rId23"/>
    <hyperlink xmlns:r="http://schemas.openxmlformats.org/officeDocument/2006/relationships" ref="C33" r:id="rId24"/>
    <hyperlink xmlns:r="http://schemas.openxmlformats.org/officeDocument/2006/relationships" ref="C34" r:id="rId25"/>
    <hyperlink xmlns:r="http://schemas.openxmlformats.org/officeDocument/2006/relationships" ref="C35" r:id="rId26"/>
    <hyperlink xmlns:r="http://schemas.openxmlformats.org/officeDocument/2006/relationships" ref="C36" r:id="rId27"/>
    <hyperlink xmlns:r="http://schemas.openxmlformats.org/officeDocument/2006/relationships" ref="C37" r:id="rId28"/>
    <hyperlink xmlns:r="http://schemas.openxmlformats.org/officeDocument/2006/relationships" ref="C38" r:id="rId29"/>
    <hyperlink xmlns:r="http://schemas.openxmlformats.org/officeDocument/2006/relationships" ref="C39" r:id="rId30"/>
    <hyperlink xmlns:r="http://schemas.openxmlformats.org/officeDocument/2006/relationships" ref="C40" r:id="rId31"/>
    <hyperlink xmlns:r="http://schemas.openxmlformats.org/officeDocument/2006/relationships" ref="C41" r:id="rId32"/>
    <hyperlink xmlns:r="http://schemas.openxmlformats.org/officeDocument/2006/relationships" ref="C42" r:id="rId33"/>
    <hyperlink xmlns:r="http://schemas.openxmlformats.org/officeDocument/2006/relationships" ref="C43" r:id="rId34"/>
    <hyperlink xmlns:r="http://schemas.openxmlformats.org/officeDocument/2006/relationships" ref="C44" r:id="rId3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99"/>
  <sheetViews>
    <sheetView workbookViewId="0">
      <pane xSplit="5" ySplit="7" topLeftCell="F8"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22" customWidth="1" min="3" max="3"/>
    <col width="40" customWidth="1" min="4" max="4"/>
    <col width="40" customWidth="1" min="5" max="5"/>
    <col width="40" customWidth="1" min="6" max="6"/>
    <col width="40" customWidth="1" min="7" max="7"/>
    <col width="40" customWidth="1" min="8" max="8"/>
    <col width="40" customWidth="1" min="9" max="9"/>
    <col width="18" customWidth="1" min="10" max="10"/>
  </cols>
  <sheetData>
    <row r="1" ht="15" customHeight="1"/>
    <row r="2" ht="15" customHeight="1">
      <c r="B2" s="66" t="inlineStr">
        <is>
          <t>82 Interpretation Scripts</t>
        </is>
      </c>
    </row>
    <row r="3" ht="15" customHeight="1">
      <c r="B3" s="70" t="inlineStr">
        <is>
          <t>Meeting-ready interpretation cues and follow-up questions.</t>
        </is>
      </c>
    </row>
    <row r="4" ht="15" customHeight="1"/>
    <row r="5" ht="15" customHeight="1">
      <c r="B5" s="71" t="inlineStr">
        <is>
          <t>Learning Layer (additive). All refs tie to model cells. Do not edit calculation tabs unless fixing a confirmed error.</t>
        </is>
      </c>
    </row>
    <row r="6"/>
    <row r="7" ht="18" customHeight="1">
      <c r="B7" s="66" t="inlineStr">
        <is>
          <t>CONTENT</t>
        </is>
      </c>
    </row>
    <row r="8"/>
    <row r="9">
      <c r="B9" s="66" t="inlineStr">
        <is>
          <t>Topic</t>
        </is>
      </c>
      <c r="C9" s="66" t="inlineStr">
        <is>
          <t>Trigger question</t>
        </is>
      </c>
      <c r="D9" s="66" t="inlineStr">
        <is>
          <t>Answer script (meeting-ready)</t>
        </is>
      </c>
      <c r="E9" s="66" t="inlineStr">
        <is>
          <t>What to check (model refs)</t>
        </is>
      </c>
      <c r="F9" s="66" t="inlineStr">
        <is>
          <t>Common pushback and response</t>
        </is>
      </c>
    </row>
    <row r="10" ht="80" customHeight="1">
      <c r="B10" s="72" t="inlineStr">
        <is>
          <t>Upside vs current</t>
        </is>
      </c>
      <c r="C10" s="74" t="inlineStr">
        <is>
          <t>What is the upside and what drives it?</t>
        </is>
      </c>
      <c r="D10" s="74" t="inlineStr">
        <is>
          <t>Our base case implies an equity value of =08_TRIANGULATION_RANGE!F56 and a per share value of =08_TRIANGULATION_RANGE!F52, which is =08_TRIANGULATION_RANGE!F53 above today’s price. The upside is mainly driven by the selected peer multiple and our normalized EBITDA, with DCF acting as a cross-check. The key debate is whether the company deserves the peer median multiple given its growth and margin profile.</t>
        </is>
      </c>
      <c r="E10" s="74" t="inlineStr">
        <is>
          <t>08!F52,F53; 05!F32; 02!F31 (EBITDA); 01!F12 (DCF ON/OFF)</t>
        </is>
      </c>
      <c r="F10" s="74" t="inlineStr">
        <is>
          <t>Pushback: multiples are rich. Response: show P25 to P75 range and link to catalysts and quality metrics.</t>
        </is>
      </c>
    </row>
    <row r="11" ht="80" customHeight="1">
      <c r="B11" s="72" t="inlineStr">
        <is>
          <t>Multiple selection</t>
        </is>
      </c>
      <c r="C11" s="74" t="inlineStr">
        <is>
          <t>Why did you pick that multiple?</t>
        </is>
      </c>
      <c r="D11" s="74" t="inlineStr">
        <is>
          <t>We selected the =05_TRADING_COMPS!F32 EV/EBITDA multiple because it sits near the peer median and best reflects the company’s growth and margin positioning. We excluded or down-weighted peers with one-off events or structural differences. As a check, the selected multiple remains within the peer P25 to P75 range unless explicitly justified.</t>
        </is>
      </c>
      <c r="E11" s="74" t="inlineStr">
        <is>
          <t>05!F28,H28 and peer list; 80 sheet peer checklist</t>
        </is>
      </c>
      <c r="F11" s="74" t="inlineStr">
        <is>
          <t>Pushback: peer set is arbitrary. Response: walk through business model match and normalization steps.</t>
        </is>
      </c>
    </row>
    <row r="12" ht="80" customHeight="1">
      <c r="B12" s="72" t="inlineStr">
        <is>
          <t>EBITDA normalization</t>
        </is>
      </c>
      <c r="C12" s="74" t="inlineStr">
        <is>
          <t>How did you normalize EBITDA and what is the impact?</t>
        </is>
      </c>
      <c r="D12" s="74" t="inlineStr">
        <is>
          <t>We start from reported LTM EBITDA and adjust for clearly non-recurring items to make it comparable to peers. The model lets us adjust the company LTM EBITDA in 02_COMPANY_INPUTS and immediately shows the impact on implied EV and price. This prevents overpaying based on inflated one-off earnings.</t>
        </is>
      </c>
      <c r="E12" s="74" t="inlineStr">
        <is>
          <t>02!F31 (EBITDA); 05 implied EV rows; 08 implied price</t>
        </is>
      </c>
      <c r="F12" s="74" t="inlineStr">
        <is>
          <t>Pushback: adjustments are subjective. Response: keep to disclosed items and document each adjustment.</t>
        </is>
      </c>
    </row>
    <row r="13" ht="80" customHeight="1">
      <c r="B13" s="72" t="inlineStr">
        <is>
          <t>Net debt definition</t>
        </is>
      </c>
      <c r="C13" s="74" t="inlineStr">
        <is>
          <t>What is included in net debt?</t>
        </is>
      </c>
      <c r="D13" s="74" t="inlineStr">
        <is>
          <t>Net debt is defined as debt minus cash, with optional adjustments for leases, pensions, minorities, and investments. We use the same definition across the target and peers to keep EV/EBITDA comparable. Changing the toggles shifts equity value while EV and operating value logic remains consistent.</t>
        </is>
      </c>
      <c r="E13" s="74" t="inlineStr">
        <is>
          <t>02!F26 net debt bridge; 01!G43+ toggles; 08 EV bridge cells</t>
        </is>
      </c>
      <c r="F13" s="74" t="inlineStr">
        <is>
          <t>Pushback: leases should be excluded. Response: present both views and show sensitivity on equity value.</t>
        </is>
      </c>
    </row>
    <row r="14" ht="80" customHeight="1">
      <c r="B14" s="72" t="inlineStr">
        <is>
          <t>DCF credibility</t>
        </is>
      </c>
      <c r="C14" s="74" t="inlineStr">
        <is>
          <t>How much do you rely on the DCF?</t>
        </is>
      </c>
      <c r="D14" s="74" t="inlineStr">
        <is>
          <t>DCF is a triangulation tool here, not the sole answer. We focus on whether the DCF implied value is broadly consistent with comps under reasonable WACC and terminal assumptions. We also check terminal dominance and implied exit multiples to avoid a DCF that is driven by aggressive terminal assumptions.</t>
        </is>
      </c>
      <c r="E14" s="74" t="inlineStr">
        <is>
          <t>01 DCF ON/OFF; 07 DCF outputs; 86 sanity pack</t>
        </is>
      </c>
      <c r="F14" s="74" t="inlineStr">
        <is>
          <t>Pushback: DCF is too sensitive. Response: use the WACC vs g sensitivity table to frame the range.</t>
        </is>
      </c>
    </row>
    <row r="15" ht="80" customHeight="1">
      <c r="B15" s="72" t="inlineStr">
        <is>
          <t>WACC assumption</t>
        </is>
      </c>
      <c r="C15" s="74" t="inlineStr">
        <is>
          <t>Why is WACC set there?</t>
        </is>
      </c>
      <c r="D15" s="74" t="inlineStr">
        <is>
          <t>WACC is built bottom-up from risk-free rate, equity risk premium, beta and a debt cost, combined with target capital structure weights. We benchmark the resulting WACC against sector and geography norms and cross-check the implied valuation sensitivity. A 100 bps move is material, especially when the terminal value is a large share of EV.</t>
        </is>
      </c>
      <c r="E15" s="74" t="inlineStr">
        <is>
          <t>01!F25:F36; 86 WACC driver tree; 84 Drill 7</t>
        </is>
      </c>
      <c r="F15" s="74" t="inlineStr">
        <is>
          <t>Pushback: beta or ERP is wrong. Response: show alternative cases and quantify impact.</t>
        </is>
      </c>
    </row>
    <row r="16" ht="80" customHeight="1">
      <c r="B16" s="72" t="inlineStr">
        <is>
          <t>Terminal method</t>
        </is>
      </c>
      <c r="C16" s="74" t="inlineStr">
        <is>
          <t>Why perpetuity growth vs exit multiple?</t>
        </is>
      </c>
      <c r="D16" s="74" t="inlineStr">
        <is>
          <t>We use the terminal method that best matches how the market prices mature cash flows in this sector. Perpetuity growth is intuitive but sensitive to (WACC - g); exit multiple anchors to observable market multiples. We sanity-check both by looking at implied exit multiple and implied long-run growth.</t>
        </is>
      </c>
      <c r="E16" s="74" t="inlineStr">
        <is>
          <t>01!F14,F79,F80; 86 implied multiple and implied g</t>
        </is>
      </c>
      <c r="F16" s="74" t="inlineStr">
        <is>
          <t>Pushback: g is too high. Response: benchmark to macro growth and show what g would need to be to match market comps.</t>
        </is>
      </c>
    </row>
    <row r="17" ht="80" customHeight="1">
      <c r="B17" s="72" t="inlineStr">
        <is>
          <t>Terminal dominance</t>
        </is>
      </c>
      <c r="C17" s="74" t="inlineStr">
        <is>
          <t>Is the DCF mostly terminal value?</t>
        </is>
      </c>
      <c r="D17" s="74" t="inlineStr">
        <is>
          <t>We compute the share of EV coming from terminal value as PV(TV) divided by EV. If terminal value dominates, we extend the forecast horizon or temper terminal assumptions so that more value is supported by explicit cash flows. This improves robustness and reduces reliance on long-run assumptions.</t>
        </is>
      </c>
      <c r="E17" s="74" t="inlineStr">
        <is>
          <t>86 TV% of EV; 07 PV(TV) and EV</t>
        </is>
      </c>
      <c r="F17" s="74" t="inlineStr">
        <is>
          <t>Pushback: long-dated businesses are terminal-heavy. Response: accept higher TV% but document why, and keep terminal assumptions conservative.</t>
        </is>
      </c>
    </row>
    <row r="18" ht="80" customHeight="1">
      <c r="B18" s="72" t="inlineStr">
        <is>
          <t>Scenario range</t>
        </is>
      </c>
      <c r="C18" s="74" t="inlineStr">
        <is>
          <t>What is your downside and upside case?</t>
        </is>
      </c>
      <c r="D18" s="74" t="inlineStr">
        <is>
          <t>Downside reflects multiple compression and higher discount rates plus more conservative operating assumptions. Upside reflects improvement in fundamentals and valuation support. We present a range to express uncertainty and to highlight which levers truly matter for value creation.</t>
        </is>
      </c>
      <c r="E18" s="74" t="inlineStr">
        <is>
          <t>01 scenario; 08 combined prices; 83 scenarios sheet</t>
        </is>
      </c>
      <c r="F18" s="74" t="inlineStr">
        <is>
          <t>Pushback: range is too wide. Response: tighten assumptions to realistic bands and show sensitivity drivers.</t>
        </is>
      </c>
    </row>
    <row r="19" ht="80" customHeight="1">
      <c r="B19" s="72" t="inlineStr">
        <is>
          <t>Key risks</t>
        </is>
      </c>
      <c r="C19" s="74" t="inlineStr">
        <is>
          <t>What could make this a pass?</t>
        </is>
      </c>
      <c r="D19" s="74" t="inlineStr">
        <is>
          <t>The main risks are multiple compression, margin pressure and higher rates increasing WACC, plus any balance sheet items that change net debt materially. If the company cannot sustain its growth or margin trajectory, it will not deserve the selected multiple and upside evaporates. We define a clear pass condition based on downside IRR or price floor.</t>
        </is>
      </c>
      <c r="E19" s="74" t="inlineStr">
        <is>
          <t>05 multiple range; 01 WACC; 02 EBITDA; 09 sensitivities</t>
        </is>
      </c>
      <c r="F19" s="74" t="inlineStr">
        <is>
          <t>Pushback: risks are generic. Response: map risks to specific model drivers and quantify them.</t>
        </is>
      </c>
    </row>
    <row r="20" ht="80" customHeight="1">
      <c r="B20" s="72" t="inlineStr">
        <is>
          <t>What to do next</t>
        </is>
      </c>
      <c r="C20" s="74" t="inlineStr">
        <is>
          <t>What due diligence closes the gap?</t>
        </is>
      </c>
      <c r="D20" s="74" t="inlineStr">
        <is>
          <t>Focus on validating the key value drivers: sustainable growth, margin durability, and cash conversion. Confirm EBITDA normalization items, working capital dynamics, and the right net debt definition. Then refine peers and update the multiple selection and terminal assumptions with evidence.</t>
        </is>
      </c>
      <c r="E20" s="74" t="inlineStr">
        <is>
          <t>80 KPI map + 86 peer playbook; 84 drill list</t>
        </is>
      </c>
      <c r="F20" s="74" t="inlineStr">
        <is>
          <t>Pushback: too much work. Response: prioritize top 3 drivers and quantify their impact.</t>
        </is>
      </c>
    </row>
    <row r="21" ht="80" customHeight="1">
      <c r="B21" s="72" t="inlineStr">
        <is>
          <t>If comps and DCF disagree</t>
        </is>
      </c>
      <c r="C21" s="74" t="inlineStr">
        <is>
          <t>Why do the methods give different answers?</t>
        </is>
      </c>
      <c r="D21" s="74" t="inlineStr">
        <is>
          <t>A gap usually comes from different assumptions about long-run growth, margins, or risk. Comps reflect how the market prices similar businesses today; DCF reflects our cash flow view under a discount rate and terminal assumptions. We reconcile by adjusting assumptions and checking implied multiples and terminal growth.</t>
        </is>
      </c>
      <c r="E21" s="74" t="inlineStr">
        <is>
          <t>Compare 08 comps midpoint vs 08 DCF; 86 implied exit multiple/g</t>
        </is>
      </c>
      <c r="F21" s="74" t="inlineStr">
        <is>
          <t>Pushback: pick the higher one. Response: triangulate and defend with evidence.</t>
        </is>
      </c>
    </row>
    <row r="22" ht="80" customHeight="1">
      <c r="B22" s="72" t="inlineStr">
        <is>
          <t>When to use P25 vs median</t>
        </is>
      </c>
      <c r="C22" s="74" t="inlineStr">
        <is>
          <t>Why not use the low quartile?</t>
        </is>
      </c>
      <c r="D22" s="74" t="inlineStr">
        <is>
          <t>P25 is appropriate when uncertainty is high, execution risk is elevated, or the target is lower quality than peers. Median is appropriate when fundamentals match peers. P75 requires a credible improvement or scarcity narrative and clear catalysts.</t>
        </is>
      </c>
      <c r="E22" s="74" t="inlineStr">
        <is>
          <t>05 quartiles; 83 scenario narratives</t>
        </is>
      </c>
      <c r="F22" s="74" t="inlineStr">
        <is>
          <t>Pushback: use P75 because we are optimistic. Response: require measurable catalyst and timeline.</t>
        </is>
      </c>
    </row>
    <row r="23" ht="80" customHeight="1">
      <c r="B23" s="72" t="inlineStr">
        <is>
          <t>Explaining EV vs equity</t>
        </is>
      </c>
      <c r="C23" s="74" t="inlineStr">
        <is>
          <t>Why do you talk about EV and then price per share?</t>
        </is>
      </c>
      <c r="D23" s="74" t="inlineStr">
        <is>
          <t>EV values the operating business regardless of capital structure. To get to equity value, we subtract net debt and other non-operating claims. Finally, we divide by shares to express a per share value that investors can compare to the spot price.</t>
        </is>
      </c>
      <c r="E23" s="74" t="inlineStr">
        <is>
          <t>08 EV bridge; 02 net debt; 02 shares</t>
        </is>
      </c>
      <c r="F23" s="74" t="inlineStr">
        <is>
          <t>Pushback: non-operating items disputed. Response: show alternative definitions and sensitivity.</t>
        </is>
      </c>
    </row>
    <row r="24" ht="80" customHeight="1">
      <c r="B24" s="72" t="inlineStr">
        <is>
          <t>Integrity check</t>
        </is>
      </c>
      <c r="C24" s="74" t="inlineStr">
        <is>
          <t>How do we know the model is not broken?</t>
        </is>
      </c>
      <c r="D24" s="74" t="inlineStr">
        <is>
          <t>We run automated checks for broken links, missing inputs, inconsistent time series and invalid ranges. The model must show PASS before we share outputs. If a check fails, we fix the root cause and re-validate outputs.</t>
        </is>
      </c>
      <c r="E24" s="74" t="inlineStr">
        <is>
          <t>90_CHECKS overall status + detail checks; 84 Drill 12</t>
        </is>
      </c>
      <c r="F24" s="74" t="inlineStr">
        <is>
          <t>Pushback: checks are superficial. Response: explain what is covered and do spot reconciliations (EV bridge, per share ties).</t>
        </is>
      </c>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99"/>
  <sheetViews>
    <sheetView workbookViewId="0">
      <pane xSplit="5" ySplit="7" topLeftCell="F8"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22" customWidth="1" min="3" max="3"/>
    <col width="40" customWidth="1" min="4" max="4"/>
    <col width="40" customWidth="1" min="5" max="5"/>
    <col width="40" customWidth="1" min="6" max="6"/>
    <col width="40" customWidth="1" min="7" max="7"/>
    <col width="40" customWidth="1" min="8" max="8"/>
    <col width="40" customWidth="1" min="9" max="9"/>
    <col width="18" customWidth="1" min="10" max="10"/>
  </cols>
  <sheetData>
    <row r="1" ht="15" customHeight="1"/>
    <row r="2" ht="15" customHeight="1">
      <c r="B2" s="66" t="inlineStr">
        <is>
          <t>83 Scenario Narratives</t>
        </is>
      </c>
    </row>
    <row r="3" ht="15" customHeight="1">
      <c r="B3" s="70" t="inlineStr">
        <is>
          <t>Compare Base/Upside/Downside assumptions and outputs.</t>
        </is>
      </c>
    </row>
    <row r="4" ht="15" customHeight="1"/>
    <row r="5" ht="15" customHeight="1">
      <c r="B5" s="71" t="inlineStr">
        <is>
          <t>Learning Layer (additive). All refs tie to model cells. Do not edit calculation tabs unless fixing a confirmed error.</t>
        </is>
      </c>
    </row>
    <row r="6"/>
    <row r="7" ht="18" customHeight="1">
      <c r="B7" s="66" t="inlineStr">
        <is>
          <t>CONTENT</t>
        </is>
      </c>
    </row>
    <row r="8"/>
    <row r="9">
      <c r="B9" s="66" t="inlineStr">
        <is>
          <t>Item</t>
        </is>
      </c>
      <c r="C9" s="66" t="inlineStr">
        <is>
          <t>Downside</t>
        </is>
      </c>
      <c r="D9" s="66" t="inlineStr">
        <is>
          <t>Base</t>
        </is>
      </c>
      <c r="E9" s="66" t="inlineStr">
        <is>
          <t>Upside</t>
        </is>
      </c>
      <c r="F9" s="66" t="inlineStr">
        <is>
          <t>Notes / narrative</t>
        </is>
      </c>
    </row>
    <row r="10" ht="45" customHeight="1">
      <c r="B10" s="72" t="inlineStr">
        <is>
          <t>Revenue growth (avg FY1-FY10)</t>
        </is>
      </c>
      <c r="C10" s="67">
        <f>AVERAGE(01_CONTROL!AE60:AN60)</f>
        <v/>
      </c>
      <c r="D10" s="67">
        <f>AVERAGE(01_CONTROL!G60:P60)</f>
        <v/>
      </c>
      <c r="E10" s="67">
        <f>AVERAGE(01_CONTROL!S60:AB60)</f>
        <v/>
      </c>
      <c r="F10" s="75" t="inlineStr">
        <is>
          <t>Use avg for a quick narrative. Drill down to year-by-year if story relies on a ramp.</t>
        </is>
      </c>
    </row>
    <row r="11" ht="45" customHeight="1">
      <c r="B11" s="72" t="inlineStr">
        <is>
          <t>EBITDA margin (terminal year FY10)</t>
        </is>
      </c>
      <c r="C11" s="67">
        <f>01_CONTROL!AN61</f>
        <v/>
      </c>
      <c r="D11" s="67">
        <f>01_CONTROL!P61</f>
        <v/>
      </c>
      <c r="E11" s="67">
        <f>01_CONTROL!AB61</f>
        <v/>
      </c>
      <c r="F11" s="75" t="inlineStr">
        <is>
          <t>Terminal-year margin drives the terminal cash flow base.</t>
        </is>
      </c>
    </row>
    <row r="12" ht="45" customHeight="1">
      <c r="B12" s="72" t="inlineStr">
        <is>
          <t>Capex % of revenue (avg FY1-FY10)</t>
        </is>
      </c>
      <c r="C12" s="67">
        <f>AVERAGE(01_CONTROL!AE63:AN63)</f>
        <v/>
      </c>
      <c r="D12" s="67">
        <f>AVERAGE(01_CONTROL!G63:P63)</f>
        <v/>
      </c>
      <c r="E12" s="67">
        <f>AVERAGE(01_CONTROL!S63:AB63)</f>
        <v/>
      </c>
      <c r="F12" s="75" t="inlineStr">
        <is>
          <t>Capex intensity is a key lever for FCF conversion.</t>
        </is>
      </c>
    </row>
    <row r="13" ht="45" customHeight="1">
      <c r="B13" s="72" t="inlineStr">
        <is>
          <t>NWC % of revenue (avg FY1-FY10)</t>
        </is>
      </c>
      <c r="C13" s="67">
        <f>AVERAGE(01_CONTROL!AE64:AN64)</f>
        <v/>
      </c>
      <c r="D13" s="67">
        <f>AVERAGE(01_CONTROL!G64:P64)</f>
        <v/>
      </c>
      <c r="E13" s="67">
        <f>AVERAGE(01_CONTROL!S64:AB64)</f>
        <v/>
      </c>
      <c r="F13" s="75" t="inlineStr">
        <is>
          <t>Working capital drag can dominate near-term cash flows.</t>
        </is>
      </c>
    </row>
    <row r="14" ht="45" customHeight="1">
      <c r="B14" s="72" t="inlineStr">
        <is>
          <t>Terminal growth g (selected)</t>
        </is>
      </c>
      <c r="C14" s="67">
        <f>01_CONTROL!AD67</f>
        <v/>
      </c>
      <c r="D14" s="67">
        <f>01_CONTROL!F67</f>
        <v/>
      </c>
      <c r="E14" s="67">
        <f>01_CONTROL!R67</f>
        <v/>
      </c>
      <c r="F14" s="75" t="inlineStr">
        <is>
          <t>Only used if terminal method is Perpetuity.</t>
        </is>
      </c>
    </row>
    <row r="15" ht="45" customHeight="1">
      <c r="B15" s="72" t="inlineStr">
        <is>
          <t>Exit multiple EV/EBITDA (selected)</t>
        </is>
      </c>
      <c r="C15" s="67">
        <f>01_CONTROL!AD68</f>
        <v/>
      </c>
      <c r="D15" s="67">
        <f>01_CONTROL!F68</f>
        <v/>
      </c>
      <c r="E15" s="67">
        <f>01_CONTROL!R68</f>
        <v/>
      </c>
      <c r="F15" s="75" t="inlineStr">
        <is>
          <t>Only used if terminal method is Exit multiple.</t>
        </is>
      </c>
    </row>
    <row r="16" ht="45" customHeight="1">
      <c r="B16" s="72" t="inlineStr">
        <is>
          <t>WACC (constant in this model)</t>
        </is>
      </c>
      <c r="C16" s="67">
        <f>01_CONTROL!F36</f>
        <v/>
      </c>
      <c r="D16" s="67">
        <f>01_CONTROL!F36</f>
        <v/>
      </c>
      <c r="E16" s="67">
        <f>01_CONTROL!F36</f>
        <v/>
      </c>
      <c r="F16" s="75" t="inlineStr">
        <is>
          <t>If you want scenario WACC, create an assumption delta and feed it into 06/07.</t>
        </is>
      </c>
    </row>
    <row r="17" ht="45" customHeight="1">
      <c r="B17" s="72" t="inlineStr">
        <is>
          <t>DCF implied price per share</t>
        </is>
      </c>
      <c r="C17" s="67">
        <f>08_TRIANGULATION_RANGE!F19</f>
        <v/>
      </c>
      <c r="D17" s="67">
        <f>08_TRIANGULATION_RANGE!F23</f>
        <v/>
      </c>
      <c r="E17" s="67">
        <f>08_TRIANGULATION_RANGE!F27</f>
        <v/>
      </c>
      <c r="F17" s="75" t="inlineStr">
        <is>
          <t>From the DCF blocks (Down/Base/Up).</t>
        </is>
      </c>
    </row>
    <row r="18" ht="45" customHeight="1">
      <c r="B18" s="72" t="inlineStr">
        <is>
          <t>Comps implied price per share (median)</t>
        </is>
      </c>
      <c r="C18" s="67">
        <f>08_TRIANGULATION_RANGE!F14</f>
        <v/>
      </c>
      <c r="D18" s="67">
        <f>08_TRIANGULATION_RANGE!F14</f>
        <v/>
      </c>
      <c r="E18" s="67">
        <f>08_TRIANGULATION_RANGE!F14</f>
        <v/>
      </c>
      <c r="F18" s="75" t="inlineStr">
        <is>
          <t>Comps is held constant; use P25/P75 as comps range.</t>
        </is>
      </c>
    </row>
    <row r="19" ht="45" customHeight="1">
      <c r="B19" s="72" t="inlineStr">
        <is>
          <t>Combined price per share</t>
        </is>
      </c>
      <c r="C19" s="67">
        <f>08_TRIANGULATION_RANGE!F60</f>
        <v/>
      </c>
      <c r="D19" s="67">
        <f>08_TRIANGULATION_RANGE!F61</f>
        <v/>
      </c>
      <c r="E19" s="67">
        <f>08_TRIANGULATION_RANGE!F62</f>
        <v/>
      </c>
      <c r="F19" s="75" t="inlineStr">
        <is>
          <t>This is what the dashboard range is built on.</t>
        </is>
      </c>
    </row>
    <row r="20" ht="45" customHeight="1">
      <c r="B20" s="72" t="inlineStr">
        <is>
          <t>Upside vs current (%)</t>
        </is>
      </c>
      <c r="C20" s="67">
        <f>08_TRIANGULATION_RANGE!F60/08_TRIANGULATION_RANGE!F47-1</f>
        <v/>
      </c>
      <c r="D20" s="67">
        <f>08_TRIANGULATION_RANGE!F61/08_TRIANGULATION_RANGE!F47-1</f>
        <v/>
      </c>
      <c r="E20" s="67">
        <f>08_TRIANGULATION_RANGE!F62/08_TRIANGULATION_RANGE!F47-1</f>
        <v/>
      </c>
      <c r="F20" s="75" t="inlineStr">
        <is>
          <t>Communicate upside vs the current price consistently.</t>
        </is>
      </c>
    </row>
    <row r="21" ht="45" customHeight="1">
      <c r="B21" s="72" t="inlineStr">
        <is>
          <t>TV % of EV (Base DCF)</t>
        </is>
      </c>
      <c r="C21" s="75" t="inlineStr"/>
      <c r="D21" s="67">
        <f>86_VAL_SPECIAL_MODULE!D53</f>
        <v/>
      </c>
      <c r="E21" s="75" t="inlineStr"/>
      <c r="F21" s="75" t="inlineStr">
        <is>
          <t>Use as a robustness diagnostic. High TV% increases sensitivity.</t>
        </is>
      </c>
    </row>
    <row r="22" ht="45" customHeight="1">
      <c r="B22" s="72" t="inlineStr">
        <is>
          <t>Implied exit multiple (Base DCF)</t>
        </is>
      </c>
      <c r="C22" s="75" t="inlineStr"/>
      <c r="D22" s="67">
        <f>86_VAL_SPECIAL_MODULE!D54</f>
        <v/>
      </c>
      <c r="E22" s="75" t="inlineStr"/>
      <c r="F22" s="75" t="inlineStr">
        <is>
          <t>Compare to peer range; justify any premium.</t>
        </is>
      </c>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99"/>
  <sheetViews>
    <sheetView workbookViewId="0">
      <pane xSplit="5" ySplit="7" topLeftCell="F8"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22" customWidth="1" min="3" max="3"/>
    <col width="40" customWidth="1" min="4" max="4"/>
    <col width="40" customWidth="1" min="5" max="5"/>
    <col width="40" customWidth="1" min="6" max="6"/>
    <col width="40" customWidth="1" min="7" max="7"/>
    <col width="40" customWidth="1" min="8" max="8"/>
    <col width="40" customWidth="1" min="9" max="9"/>
    <col width="18" customWidth="1" min="10" max="10"/>
  </cols>
  <sheetData>
    <row r="1" ht="15" customHeight="1"/>
    <row r="2" ht="15" customHeight="1">
      <c r="B2" s="66" t="inlineStr">
        <is>
          <t>84 Drills</t>
        </is>
      </c>
    </row>
    <row r="3" ht="15" customHeight="1">
      <c r="B3" s="70" t="inlineStr">
        <is>
          <t>Hands-on drills with PASS/FAIL checks (edit allowed inputs only).</t>
        </is>
      </c>
    </row>
    <row r="4" ht="15" customHeight="1"/>
    <row r="5" ht="15" customHeight="1">
      <c r="B5" s="71" t="inlineStr">
        <is>
          <t>Learning Layer (additive). All refs tie to model cells. Do not edit calculation tabs unless fixing a confirmed error.</t>
        </is>
      </c>
    </row>
    <row r="6"/>
    <row r="7" ht="18" customHeight="1">
      <c r="B7" s="66" t="inlineStr">
        <is>
          <t>CONTENT</t>
        </is>
      </c>
    </row>
    <row r="8"/>
    <row r="9">
      <c r="B9" s="66" t="inlineStr">
        <is>
          <t>Drill</t>
        </is>
      </c>
      <c r="C9" s="66" t="inlineStr">
        <is>
          <t>Objective</t>
        </is>
      </c>
      <c r="D9" s="66" t="inlineStr">
        <is>
          <t>Steps (what to do)</t>
        </is>
      </c>
      <c r="E9" s="66" t="inlineStr">
        <is>
          <t>Inputs to edit (only blue cells)</t>
        </is>
      </c>
      <c r="F9" s="66" t="inlineStr">
        <is>
          <t>Expected behavior</t>
        </is>
      </c>
      <c r="G9" s="66" t="inlineStr">
        <is>
          <t>PASS/FAIL (auto)</t>
        </is>
      </c>
      <c r="H9" s="66" t="inlineStr">
        <is>
          <t>Notes</t>
        </is>
      </c>
    </row>
    <row r="10" ht="70" customHeight="1">
      <c r="B10" s="72" t="inlineStr">
        <is>
          <t>D1</t>
        </is>
      </c>
      <c r="C10" s="74" t="inlineStr">
        <is>
          <t>EV bridge must always hold</t>
        </is>
      </c>
      <c r="D10" s="74" t="inlineStr">
        <is>
          <t>Do nothing. This should be PASS at all times.</t>
        </is>
      </c>
      <c r="E10" s="74" t="inlineStr">
        <is>
          <t>None</t>
        </is>
      </c>
      <c r="F10" s="74" t="inlineStr">
        <is>
          <t>EV equals Market cap plus Net debt.</t>
        </is>
      </c>
      <c r="G10" s="67">
        <f>IF(ABS('08_TRIANGULATION_RANGE'!$F$51-('08_TRIANGULATION_RANGE'!$F$49+'08_TRIANGULATION_RANGE'!$F$50))&lt;0.01,"PASS","FAIL")</f>
        <v/>
      </c>
      <c r="H10" s="74" t="inlineStr">
        <is>
          <t>If FAIL, you have broken links or definition mismatch.</t>
        </is>
      </c>
    </row>
    <row r="11" ht="70" customHeight="1">
      <c r="B11" s="72" t="inlineStr">
        <is>
          <t>D2</t>
        </is>
      </c>
      <c r="C11" s="74" t="inlineStr">
        <is>
          <t>Market cap math check</t>
        </is>
      </c>
      <c r="D11" s="74" t="inlineStr">
        <is>
          <t>Do nothing. This should be PASS at all times.</t>
        </is>
      </c>
      <c r="E11" s="74" t="inlineStr">
        <is>
          <t>02_COMPANY_INPUTS share price, shares (if editable).</t>
        </is>
      </c>
      <c r="F11" s="74" t="inlineStr">
        <is>
          <t>Market cap equals price times shares.</t>
        </is>
      </c>
      <c r="G11" s="67">
        <f>IF(ABS('08_TRIANGULATION_RANGE'!$F$49-('08_TRIANGULATION_RANGE'!$F$47*'08_TRIANGULATION_RANGE'!$F$48))&lt;0.01,"PASS","FAIL")</f>
        <v/>
      </c>
      <c r="H11" s="74" t="inlineStr">
        <is>
          <t>If share count is in mm, ensure units are consistent.</t>
        </is>
      </c>
    </row>
    <row r="12" ht="70" customHeight="1">
      <c r="B12" s="72" t="inlineStr">
        <is>
          <t>D3</t>
        </is>
      </c>
      <c r="C12" s="74" t="inlineStr">
        <is>
          <t>Net debt toggle sensitivity</t>
        </is>
      </c>
      <c r="D12" s="74" t="inlineStr">
        <is>
          <t>Flip 01_CONTROL net debt toggles (leases, pensions, minorities, investments) one at a time. Observe equity value changes while EV stays consistent by definition.</t>
        </is>
      </c>
      <c r="E12" s="74" t="inlineStr">
        <is>
          <t>01_CONTROL!G43:G47</t>
        </is>
      </c>
      <c r="F12" s="74" t="inlineStr">
        <is>
          <t>Including more items increases net debt and reduces equity value for a fixed EV.</t>
        </is>
      </c>
      <c r="G12" s="67">
        <f>IF('90_CHECKS'!$F$3="PASS","PASS","CHECK 90_CHECKS")</f>
        <v/>
      </c>
      <c r="H12" s="74" t="inlineStr">
        <is>
          <t>Reset toggles to your standard peer definition after the drill.</t>
        </is>
      </c>
    </row>
    <row r="13" ht="70" customHeight="1">
      <c r="B13" s="72" t="inlineStr">
        <is>
          <t>D4</t>
        </is>
      </c>
      <c r="C13" s="74" t="inlineStr">
        <is>
          <t>Override comps multiple safely</t>
        </is>
      </c>
      <c r="D13" s="74" t="inlineStr">
        <is>
          <t>Turn ON Override comps multiple. Set an override multiple and confirm the used multiple follows it. Then turn override OFF to revert to median.</t>
        </is>
      </c>
      <c r="E13" s="74" t="inlineStr">
        <is>
          <t>01_CONTROL!F84 (TRUE/FALSE), 01_CONTROL!F85 (x)</t>
        </is>
      </c>
      <c r="F13" s="74" t="inlineStr">
        <is>
          <t>When override is TRUE, 05_TRADING_COMPS!F32 equals the override value.</t>
        </is>
      </c>
      <c r="G13" s="67">
        <f>IF(AND('01_CONTROL'!$F$84=TRUE,ABS('05_TRADING_COMPS'!$F$32-'01_CONTROL'!$F$85)&lt;0.0001),"PASS",IF('01_CONTROL'!$F$84=FALSE,"PASS","FAIL"))</f>
        <v/>
      </c>
      <c r="H13" s="74" t="inlineStr">
        <is>
          <t>This avoids editing formulas in the comps tab.</t>
        </is>
      </c>
    </row>
    <row r="14" ht="70" customHeight="1">
      <c r="B14" s="72" t="inlineStr">
        <is>
          <t>D5</t>
        </is>
      </c>
      <c r="C14" s="74" t="inlineStr">
        <is>
          <t>WACC sensitivity</t>
        </is>
      </c>
      <c r="D14" s="74" t="inlineStr">
        <is>
          <t>Increase risk-free rate by +50 bps and observe DCF price decrease. Then revert.</t>
        </is>
      </c>
      <c r="E14" s="74" t="inlineStr">
        <is>
          <t>01_CONTROL!F25 (Rf)</t>
        </is>
      </c>
      <c r="F14" s="74" t="inlineStr">
        <is>
          <t>Higher WACC lowers DCF EV and DCF implied price.</t>
        </is>
      </c>
      <c r="G14" s="67">
        <f>IF('01_CONTROL'!$F$36&gt;0,"PASS","FAIL")</f>
        <v/>
      </c>
      <c r="H14" s="74" t="inlineStr">
        <is>
          <t>Use 09_SENSITIVITIES to quantify the impact.</t>
        </is>
      </c>
    </row>
    <row r="15" ht="70" customHeight="1">
      <c r="B15" s="72" t="inlineStr">
        <is>
          <t>D6</t>
        </is>
      </c>
      <c r="C15" s="74" t="inlineStr">
        <is>
          <t>Terminal method switch sanity</t>
        </is>
      </c>
      <c r="D15" s="74" t="inlineStr">
        <is>
          <t>Switch terminal method between Perpetuity and Exit multiple. Observe DCF price changes and update terminal parameter inputs accordingly.</t>
        </is>
      </c>
      <c r="E15" s="74" t="inlineStr">
        <is>
          <t>01_CONTROL!F14 (method), 01_CONTROL!F79/F80 (terminal inputs)</t>
        </is>
      </c>
      <c r="F15" s="74" t="inlineStr">
        <is>
          <t>Method switch changes terminal value logic; implied exit multiple and implied g should remain sensible.</t>
        </is>
      </c>
      <c r="G15" s="67">
        <f>IF(OR('01_CONTROL'!$F$14="Perpetuity",'01_CONTROL'!$F$14="Exit multiple"),"PASS","FAIL")</f>
        <v/>
      </c>
      <c r="H15" s="74" t="inlineStr">
        <is>
          <t>Always sanity-check in 86 after switching.</t>
        </is>
      </c>
    </row>
    <row r="16" ht="70" customHeight="1">
      <c r="B16" s="72" t="inlineStr">
        <is>
          <t>D7</t>
        </is>
      </c>
      <c r="C16" s="74" t="inlineStr">
        <is>
          <t>PV sum tie-out</t>
        </is>
      </c>
      <c r="D16" s="74" t="inlineStr">
        <is>
          <t>Do nothing. This should be PASS at all times.</t>
        </is>
      </c>
      <c r="E16" s="74" t="inlineStr">
        <is>
          <t>None</t>
        </is>
      </c>
      <c r="F16" s="74" t="inlineStr">
        <is>
          <t>DCF EV equals PV of explicit FCFs plus PV of terminal value.</t>
        </is>
      </c>
      <c r="G16" s="67">
        <f>IF(ABS('07_DCF_FCF_AND_VALUATION'!$F$36-('07_DCF_FCF_AND_VALUATION'!$F$33+'07_DCF_FCF_AND_VALUATION'!$F$35))&lt;0.01,"PASS","FAIL")</f>
        <v/>
      </c>
      <c r="H16" s="74" t="inlineStr">
        <is>
          <t>If FAIL, discounting timing or terminal logic may be broken.</t>
        </is>
      </c>
    </row>
    <row r="17" ht="70" customHeight="1">
      <c r="B17" s="72" t="inlineStr">
        <is>
          <t>D8</t>
        </is>
      </c>
      <c r="C17" s="74" t="inlineStr">
        <is>
          <t>Capital structure weights must sum to 100%</t>
        </is>
      </c>
      <c r="D17" s="74" t="inlineStr">
        <is>
          <t>Do nothing. This should be PASS unless weights were edited.</t>
        </is>
      </c>
      <c r="E17" s="74" t="inlineStr">
        <is>
          <t>01_CONTROL!F30 (Wd) and 01_CONTROL!F31 (We) if editable.</t>
        </is>
      </c>
      <c r="F17" s="74" t="inlineStr">
        <is>
          <t>Debt weight plus equity weight equals 1.</t>
        </is>
      </c>
      <c r="G17" s="67">
        <f>IF(ABS(('01_CONTROL'!$F$30+'01_CONTROL'!$F$31)-1)&lt;0.0001,"PASS","FAIL")</f>
        <v/>
      </c>
      <c r="H17" s="74" t="inlineStr">
        <is>
          <t>If weights are derived, fix upstream inputs rather than hard-coding.</t>
        </is>
      </c>
    </row>
    <row r="18" ht="70" customHeight="1">
      <c r="B18" s="72" t="inlineStr">
        <is>
          <t>D9</t>
        </is>
      </c>
      <c r="C18" s="74" t="inlineStr">
        <is>
          <t>DCF equity bridge tie-out</t>
        </is>
      </c>
      <c r="D18" s="74" t="inlineStr">
        <is>
          <t>Do nothing. This should be PASS at all times.</t>
        </is>
      </c>
      <c r="E18" s="74" t="inlineStr">
        <is>
          <t>None</t>
        </is>
      </c>
      <c r="F18" s="74" t="inlineStr">
        <is>
          <t>Net debt equals DCF EV minus DCF equity value.</t>
        </is>
      </c>
      <c r="G18" s="67">
        <f>IF(ABS(('07_DCF_FCF_AND_VALUATION'!$F$36-'07_DCF_FCF_AND_VALUATION'!$F$37)-'08_TRIANGULATION_RANGE'!$F$50)&lt;0.01,"PASS","FAIL")</f>
        <v/>
      </c>
      <c r="H18" s="74" t="inlineStr">
        <is>
          <t>If FAIL, net debt definition differs between tabs.</t>
        </is>
      </c>
    </row>
    <row r="19" ht="70" customHeight="1">
      <c r="B19" s="72" t="inlineStr">
        <is>
          <t>D10</t>
        </is>
      </c>
      <c r="C19" s="74" t="inlineStr">
        <is>
          <t>Scenario switch drives outputs</t>
        </is>
      </c>
      <c r="D19" s="74" t="inlineStr">
        <is>
          <t>Change scenario selector (Base, Upside, Downside). Confirm the combined price and DCF price change accordingly.</t>
        </is>
      </c>
      <c r="E19" s="74" t="inlineStr">
        <is>
          <t>01_CONTROL!F10 (Scenario selector)</t>
        </is>
      </c>
      <c r="F19" s="74" t="inlineStr">
        <is>
          <t>Downside should be lowest, upside highest in normal cases.</t>
        </is>
      </c>
      <c r="G19" s="67">
        <f>IF('01_CONTROL'!$F$10&gt;=1,"PASS","FAIL")</f>
        <v/>
      </c>
      <c r="H19" s="74" t="inlineStr">
        <is>
          <t>Use 83 sheet to see assumptions behind each scenario.</t>
        </is>
      </c>
    </row>
    <row r="20" ht="70" customHeight="1">
      <c r="B20" s="72" t="inlineStr">
        <is>
          <t>D11</t>
        </is>
      </c>
      <c r="C20" s="74" t="inlineStr">
        <is>
          <t>Sensitivity base cell matches base DCF price</t>
        </is>
      </c>
      <c r="D20" s="74" t="inlineStr">
        <is>
          <t>Do nothing. This should be PASS if sensitivity table is wired correctly.</t>
        </is>
      </c>
      <c r="E20" s="74" t="inlineStr">
        <is>
          <t>None</t>
        </is>
      </c>
      <c r="F20" s="74" t="inlineStr">
        <is>
          <t>The sensitivity table value at (Base g, Base WACC) equals the base DCF implied price.</t>
        </is>
      </c>
      <c r="G20" s="67">
        <f>IFERROR(IF(ABS(INDEX('09_SENSITIVITIES'!$G$16:$K$21, MATCH('01_CONTROL'!$F$79,'09_SENSITIVITIES'!$F$16:$F$21,0), MATCH('01_CONTROL'!$F$36,'09_SENSITIVITIES'!$G$15:$K$15,0))-'08_TRIANGULATION_RANGE'!$F$23)&lt;0.01,"PASS","FAIL"),"CHECK")</f>
        <v/>
      </c>
      <c r="H20" s="74" t="inlineStr">
        <is>
          <t>If CHECK, your base WACC or g is not in the sensitivity grid.</t>
        </is>
      </c>
    </row>
    <row r="21" ht="70" customHeight="1">
      <c r="B21" s="72" t="inlineStr">
        <is>
          <t>D12</t>
        </is>
      </c>
      <c r="C21" s="74" t="inlineStr">
        <is>
          <t>Model must be PASS before sharing</t>
        </is>
      </c>
      <c r="D21" s="74" t="inlineStr">
        <is>
          <t>Do nothing. This must be PASS before sending outputs to anyone.</t>
        </is>
      </c>
      <c r="E21" s="74" t="inlineStr">
        <is>
          <t>None</t>
        </is>
      </c>
      <c r="F21" s="74" t="inlineStr">
        <is>
          <t>Overall checks are PASS.</t>
        </is>
      </c>
      <c r="G21" s="67">
        <f>IF('90_CHECKS'!$F$3="PASS","PASS","FAIL")</f>
        <v/>
      </c>
      <c r="H21" s="74" t="inlineStr">
        <is>
          <t>If FAIL, fix the root cause. Do not publish outputs.</t>
        </is>
      </c>
    </row>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99"/>
  <sheetViews>
    <sheetView workbookViewId="0">
      <pane xSplit="5" ySplit="7" topLeftCell="F8"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22" customWidth="1" min="3" max="3"/>
    <col width="40" customWidth="1" min="4" max="4"/>
    <col width="40" customWidth="1" min="5" max="5"/>
    <col width="40" customWidth="1" min="6" max="6"/>
    <col width="40" customWidth="1" min="7" max="7"/>
    <col width="40" customWidth="1" min="8" max="8"/>
    <col width="40" customWidth="1" min="9" max="9"/>
    <col width="18" customWidth="1" min="10" max="10"/>
  </cols>
  <sheetData>
    <row r="1" ht="15" customHeight="1"/>
    <row r="2" ht="15" customHeight="1">
      <c r="B2" s="66" t="inlineStr">
        <is>
          <t>85 Mistake Library</t>
        </is>
      </c>
    </row>
    <row r="3" ht="15" customHeight="1">
      <c r="B3" s="70" t="inlineStr">
        <is>
          <t>Common valuation modelling mistakes and how to avoid them.</t>
        </is>
      </c>
    </row>
    <row r="4" ht="15" customHeight="1"/>
    <row r="5" ht="15" customHeight="1">
      <c r="B5" s="71" t="inlineStr">
        <is>
          <t>Learning Layer (additive). All refs tie to model cells. Do not edit calculation tabs unless fixing a confirmed error.</t>
        </is>
      </c>
    </row>
    <row r="6"/>
    <row r="7" ht="18" customHeight="1">
      <c r="B7" s="66" t="inlineStr">
        <is>
          <t>CONTENT</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99"/>
  <sheetViews>
    <sheetView workbookViewId="0">
      <pane xSplit="5" ySplit="7" topLeftCell="F8"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22" customWidth="1" min="3" max="3"/>
    <col width="40" customWidth="1" min="4" max="4"/>
    <col width="40" customWidth="1" min="5" max="5"/>
    <col width="40" customWidth="1" min="6" max="6"/>
    <col width="40" customWidth="1" min="7" max="7"/>
    <col width="40" customWidth="1" min="8" max="8"/>
    <col width="40" customWidth="1" min="9" max="9"/>
    <col width="18" customWidth="1" min="10" max="10"/>
  </cols>
  <sheetData>
    <row r="1" ht="15" customHeight="1"/>
    <row r="2" ht="15" customHeight="1">
      <c r="B2" s="66" t="inlineStr">
        <is>
          <t>86 Valuation Special Modules</t>
        </is>
      </c>
    </row>
    <row r="3" ht="15" customHeight="1">
      <c r="B3" s="70" t="inlineStr">
        <is>
          <t>Peer selection, WACC intuition, terminal value sanity pack.</t>
        </is>
      </c>
    </row>
    <row r="4" ht="15" customHeight="1"/>
    <row r="5" ht="15" customHeight="1">
      <c r="B5" s="71" t="inlineStr">
        <is>
          <t>Learning Layer (additive). All refs tie to model cells. Do not edit calculation tabs unless fixing a confirmed error.</t>
        </is>
      </c>
    </row>
    <row r="6"/>
    <row r="7" ht="18" customHeight="1">
      <c r="B7" s="66" t="inlineStr">
        <is>
          <t>CONTENT</t>
        </is>
      </c>
    </row>
    <row r="8"/>
    <row r="9">
      <c r="B9" s="66" t="inlineStr">
        <is>
          <t>1) PEER SELECTION &amp; NORMALIZATION PLAYBOOK</t>
        </is>
      </c>
      <c r="C9" s="66" t="n"/>
      <c r="D9" s="66" t="n"/>
      <c r="E9" s="66" t="n"/>
      <c r="F9" s="66" t="n"/>
      <c r="G9" s="66" t="n"/>
      <c r="H9" s="66" t="n"/>
      <c r="I9" s="66" t="n"/>
    </row>
    <row r="10">
      <c r="B10" s="38" t="inlineStr">
        <is>
          <t>Checklist (use in comps selection memo / pitch):</t>
        </is>
      </c>
    </row>
    <row r="11">
      <c r="B11" s="76" t="inlineStr">
        <is>
          <t>1. Business model match (revenue mix, customer type, end markets).</t>
        </is>
      </c>
    </row>
    <row r="12">
      <c r="B12" s="76" t="inlineStr">
        <is>
          <t>2. Unit economics / margin structure comparable (gross margin, EBITDA margin).</t>
        </is>
      </c>
    </row>
    <row r="13">
      <c r="B13" s="76" t="inlineStr">
        <is>
          <t>3. Growth regime comparable (LTM/NTM growth and cycle position).</t>
        </is>
      </c>
    </row>
    <row r="14">
      <c r="B14" s="76" t="inlineStr">
        <is>
          <t>4. Size / liquidity comparable (market cap, free float, analyst coverage).</t>
        </is>
      </c>
    </row>
    <row r="15">
      <c r="B15" s="76" t="inlineStr">
        <is>
          <t>5. Accounting comparability (IFRS vs local GAAP, leases, SBC, capitalized R&amp;D).</t>
        </is>
      </c>
    </row>
    <row r="16">
      <c r="B16" s="76" t="inlineStr">
        <is>
          <t>6. Capital structure &amp; leverage comparable (net debt/EBITDA, lease intensity).</t>
        </is>
      </c>
    </row>
    <row r="17">
      <c r="B17" s="76" t="inlineStr">
        <is>
          <t>7. Remove obvious outliers (event-driven, distressed, takeover rumors).</t>
        </is>
      </c>
    </row>
    <row r="18"/>
    <row r="19">
      <c r="B19" s="38" t="inlineStr">
        <is>
          <t>Rationale template (2 sentences):</t>
        </is>
      </c>
    </row>
    <row r="20">
      <c r="B20" s="76" t="inlineStr">
        <is>
          <t>"We selected peers with similar business model and growth/margin profile. We excluded outliers where multiples reflect one-off events or accounting differences that are not comparable to the target."</t>
        </is>
      </c>
    </row>
    <row r="21"/>
    <row r="22"/>
    <row r="23">
      <c r="B23" s="66" t="inlineStr">
        <is>
          <t>2) WACC DRIVER TREE + SENSITIVITY INTUITION</t>
        </is>
      </c>
      <c r="C23" s="66" t="n"/>
      <c r="D23" s="66" t="n"/>
      <c r="E23" s="66" t="n"/>
      <c r="F23" s="66" t="n"/>
      <c r="G23" s="66" t="n"/>
      <c r="H23" s="66" t="n"/>
      <c r="I23" s="66" t="n"/>
    </row>
    <row r="24"/>
    <row r="25">
      <c r="B25" s="66" t="inlineStr">
        <is>
          <t>Driver</t>
        </is>
      </c>
      <c r="C25" s="66" t="inlineStr">
        <is>
          <t>Model ref</t>
        </is>
      </c>
      <c r="D25" s="66" t="inlineStr">
        <is>
          <t>Current value</t>
        </is>
      </c>
      <c r="E25" s="66" t="inlineStr">
        <is>
          <t>What moves it</t>
        </is>
      </c>
      <c r="F25" s="66" t="inlineStr">
        <is>
          <t>Valuation intuition</t>
        </is>
      </c>
    </row>
    <row r="26">
      <c r="B26" s="75" t="inlineStr">
        <is>
          <t>Risk-free rate (Rf)</t>
        </is>
      </c>
      <c r="C26" s="73" t="inlineStr">
        <is>
          <t>01_CONTROL!F25</t>
        </is>
      </c>
      <c r="D26" s="67">
        <f>01_CONTROL!F25</f>
        <v/>
      </c>
      <c r="E26" s="75" t="inlineStr">
        <is>
          <t>Rates / government bonds</t>
        </is>
      </c>
      <c r="F26" s="75" t="inlineStr">
        <is>
          <t>↑Rf → ↑Ke → ↑WACC → ↓PV</t>
        </is>
      </c>
    </row>
    <row r="27">
      <c r="B27" s="75" t="inlineStr">
        <is>
          <t>Equity risk premium (ERP)</t>
        </is>
      </c>
      <c r="C27" s="73" t="inlineStr">
        <is>
          <t>01_CONTROL!F26</t>
        </is>
      </c>
      <c r="D27" s="67">
        <f>01_CONTROL!F26</f>
        <v/>
      </c>
      <c r="E27" s="75" t="inlineStr">
        <is>
          <t>Market risk sentiment</t>
        </is>
      </c>
      <c r="F27" s="75" t="inlineStr">
        <is>
          <t>↑ERP → ↑Ke → ↓valuation</t>
        </is>
      </c>
    </row>
    <row r="28">
      <c r="B28" s="75" t="inlineStr">
        <is>
          <t>Beta</t>
        </is>
      </c>
      <c r="C28" s="73" t="inlineStr">
        <is>
          <t>01_CONTROL!F27</t>
        </is>
      </c>
      <c r="D28" s="67">
        <f>01_CONTROL!F27</f>
        <v/>
      </c>
      <c r="E28" s="75" t="inlineStr">
        <is>
          <t>Cyclicality + leverage</t>
        </is>
      </c>
      <c r="F28" s="75" t="inlineStr">
        <is>
          <t>↑Beta → ↑Ke → ↓valuation</t>
        </is>
      </c>
    </row>
    <row r="29">
      <c r="B29" s="75" t="inlineStr">
        <is>
          <t>Equity adjustment</t>
        </is>
      </c>
      <c r="C29" s="73" t="inlineStr">
        <is>
          <t>01_CONTROL!F28</t>
        </is>
      </c>
      <c r="D29" s="67">
        <f>01_CONTROL!F28</f>
        <v/>
      </c>
      <c r="E29" s="75" t="inlineStr">
        <is>
          <t>Size/country/illiquidity add-ons</t>
        </is>
      </c>
      <c r="F29" s="75" t="inlineStr">
        <is>
          <t>↑Adj → ↓valuation</t>
        </is>
      </c>
    </row>
    <row r="30">
      <c r="B30" s="75" t="inlineStr">
        <is>
          <t>Pre-tax cost of debt</t>
        </is>
      </c>
      <c r="C30" s="73" t="inlineStr">
        <is>
          <t>01_CONTROL!F29</t>
        </is>
      </c>
      <c r="D30" s="67">
        <f>01_CONTROL!F29</f>
        <v/>
      </c>
      <c r="E30" s="75" t="inlineStr">
        <is>
          <t>Credit spreads / rating</t>
        </is>
      </c>
      <c r="F30" s="75" t="inlineStr">
        <is>
          <t>↑Kd → ↑WACC → ↓valuation</t>
        </is>
      </c>
    </row>
    <row r="31">
      <c r="B31" s="75" t="inlineStr">
        <is>
          <t>Tax rate</t>
        </is>
      </c>
      <c r="C31" s="73" t="inlineStr">
        <is>
          <t>01_CONTROL!F24</t>
        </is>
      </c>
      <c r="D31" s="67">
        <f>01_CONTROL!F24</f>
        <v/>
      </c>
      <c r="E31" s="75" t="inlineStr">
        <is>
          <t>Statutory + effective</t>
        </is>
      </c>
      <c r="F31" s="75" t="inlineStr">
        <is>
          <t>↑Tax → ↓after-tax Kd → slightly ↑valuation</t>
        </is>
      </c>
    </row>
    <row r="32">
      <c r="B32" s="75" t="inlineStr">
        <is>
          <t>Debt weight (Wd)</t>
        </is>
      </c>
      <c r="C32" s="73" t="inlineStr">
        <is>
          <t>01_CONTROL!F30</t>
        </is>
      </c>
      <c r="D32" s="67">
        <f>01_CONTROL!F30</f>
        <v/>
      </c>
      <c r="E32" s="75" t="inlineStr">
        <is>
          <t>Target capital structure</t>
        </is>
      </c>
      <c r="F32" s="75" t="inlineStr">
        <is>
          <t>↑Wd lowers WACC until distress risk</t>
        </is>
      </c>
    </row>
    <row r="33">
      <c r="B33" s="75" t="inlineStr">
        <is>
          <t>Equity weight (We)</t>
        </is>
      </c>
      <c r="C33" s="73" t="inlineStr">
        <is>
          <t>01_CONTROL!F31</t>
        </is>
      </c>
      <c r="D33" s="67">
        <f>01_CONTROL!F31</f>
        <v/>
      </c>
      <c r="E33" s="75" t="inlineStr">
        <is>
          <t>1-Wd</t>
        </is>
      </c>
      <c r="F33" s="75" t="inlineStr">
        <is>
          <t>Higher We → higher WACC (usually)</t>
        </is>
      </c>
    </row>
    <row r="34">
      <c r="B34" s="75" t="inlineStr">
        <is>
          <t>Cost of equity (Ke)</t>
        </is>
      </c>
      <c r="C34" s="73" t="inlineStr">
        <is>
          <t>01_CONTROL!F34</t>
        </is>
      </c>
      <c r="D34" s="67">
        <f>01_CONTROL!F34</f>
        <v/>
      </c>
      <c r="E34" s="75" t="inlineStr">
        <is>
          <t>Rf + Beta*ERP + Adj</t>
        </is>
      </c>
      <c r="F34" s="75" t="inlineStr">
        <is>
          <t>Direct DCF driver</t>
        </is>
      </c>
    </row>
    <row r="35">
      <c r="B35" s="75" t="inlineStr">
        <is>
          <t>After-tax cost of debt</t>
        </is>
      </c>
      <c r="C35" s="73" t="inlineStr">
        <is>
          <t>01_CONTROL!F35</t>
        </is>
      </c>
      <c r="D35" s="67">
        <f>01_CONTROL!F35</f>
        <v/>
      </c>
      <c r="E35" s="75" t="inlineStr">
        <is>
          <t>Kd*(1-tax)</t>
        </is>
      </c>
      <c r="F35" s="75" t="inlineStr">
        <is>
          <t>Direct DCF driver</t>
        </is>
      </c>
    </row>
    <row r="36">
      <c r="B36" s="75" t="inlineStr">
        <is>
          <t>WACC used</t>
        </is>
      </c>
      <c r="C36" s="73" t="inlineStr">
        <is>
          <t>01_CONTROL!F36</t>
        </is>
      </c>
      <c r="D36" s="67">
        <f>01_CONTROL!F36</f>
        <v/>
      </c>
      <c r="E36" s="75" t="inlineStr">
        <is>
          <t>Weights + Ke + Kd</t>
        </is>
      </c>
      <c r="F36" s="75" t="inlineStr">
        <is>
          <t>10 bps matters a lot in terminal-heavy DCF</t>
        </is>
      </c>
    </row>
    <row r="37"/>
    <row r="38"/>
    <row r="39"/>
    <row r="40">
      <c r="B40" s="66" t="inlineStr">
        <is>
          <t>3) TERMINAL VALUE DOMINANCE &amp; SANITY PACK</t>
        </is>
      </c>
      <c r="C40" s="66" t="n"/>
      <c r="D40" s="66" t="n"/>
      <c r="E40" s="66" t="n"/>
      <c r="F40" s="66" t="n"/>
      <c r="G40" s="66" t="n"/>
      <c r="H40" s="66" t="n"/>
      <c r="I40" s="66" t="n"/>
    </row>
    <row r="41"/>
    <row r="42">
      <c r="B42" s="38" t="inlineStr">
        <is>
          <t>Acceptable bands (inputs)</t>
        </is>
      </c>
      <c r="F42" s="68" t="n">
        <v>8</v>
      </c>
    </row>
    <row r="43">
      <c r="B43" s="7" t="inlineStr">
        <is>
          <t>Exit multiple band (x) - Low</t>
        </is>
      </c>
      <c r="F43" s="68" t="n">
        <v>14</v>
      </c>
    </row>
    <row r="44">
      <c r="B44" s="7" t="inlineStr">
        <is>
          <t>Exit multiple band (x) - High</t>
        </is>
      </c>
      <c r="F44" s="68" t="n">
        <v>0.01</v>
      </c>
    </row>
    <row r="45">
      <c r="B45" s="7" t="inlineStr">
        <is>
          <t>Implied terminal growth band (%) - Low</t>
        </is>
      </c>
      <c r="F45" s="68" t="n">
        <v>0.04</v>
      </c>
    </row>
    <row r="46">
      <c r="B46" s="7" t="inlineStr">
        <is>
          <t>Implied terminal growth band (%) - High</t>
        </is>
      </c>
      <c r="F46" s="68" t="n">
        <v>0.5</v>
      </c>
    </row>
    <row r="47">
      <c r="B47" s="7" t="inlineStr">
        <is>
          <t>TV % of EV band - Low</t>
        </is>
      </c>
      <c r="F47" s="68" t="n">
        <v>0.8</v>
      </c>
    </row>
    <row r="48">
      <c r="B48" s="7" t="inlineStr">
        <is>
          <t>TV % of EV band - High</t>
        </is>
      </c>
    </row>
    <row r="49"/>
    <row r="50"/>
    <row r="51">
      <c r="B51" s="38" t="inlineStr">
        <is>
          <t>Sanity outputs (Base scenario)</t>
        </is>
      </c>
    </row>
    <row r="52">
      <c r="B52" s="66" t="inlineStr">
        <is>
          <t>Metric</t>
        </is>
      </c>
      <c r="C52" s="66" t="inlineStr">
        <is>
          <t>Model ref / calc</t>
        </is>
      </c>
      <c r="D52" s="66" t="inlineStr">
        <is>
          <t>Value</t>
        </is>
      </c>
      <c r="E52" s="66" t="inlineStr">
        <is>
          <t>Flag vs band</t>
        </is>
      </c>
    </row>
    <row r="53">
      <c r="B53" s="75" t="inlineStr">
        <is>
          <t>TV % of EV (PV(TV)/EV)</t>
        </is>
      </c>
      <c r="C53" s="67" t="inlineStr">
        <is>
          <t>07_DCF_FCF_AND_VALUATION!F35 / F36</t>
        </is>
      </c>
      <c r="D53" s="67">
        <f>C53</f>
        <v/>
      </c>
      <c r="E53" s="67">
        <f>IF(OR(C53="",$F$46="",$F$47=""),"",IF(OR(C53&lt;$F$46,C53&gt;$F$47),"FLAG","OK"))</f>
        <v/>
      </c>
    </row>
    <row r="54">
      <c r="B54" s="75" t="inlineStr">
        <is>
          <t>Implied exit multiple (TV/EBITDA_n)</t>
        </is>
      </c>
      <c r="C54" s="67" t="inlineStr">
        <is>
          <t>07_DCF_FCF_AND_VALUATION!F34 and EBITDA terminal year</t>
        </is>
      </c>
      <c r="D54" s="67">
        <f>C54</f>
        <v/>
      </c>
      <c r="E54" s="67">
        <f>IF(OR(C54="",$F$42="",$F$43=""),"",IF(OR(C54&lt;$F$42,C54&gt;$F$43),"FLAG","OK"))</f>
        <v/>
      </c>
    </row>
    <row r="55">
      <c r="B55" s="75" t="inlineStr">
        <is>
          <t>Implied terminal growth proxy (WACC - FCF_n/TV)</t>
        </is>
      </c>
      <c r="C55" s="67" t="inlineStr">
        <is>
          <t>Proxy: g = WACC - FCF_n/TV</t>
        </is>
      </c>
      <c r="D55" s="67">
        <f>C55</f>
        <v/>
      </c>
      <c r="E55" s="67">
        <f>IF(OR(C55="",$F$44="",$F$45=""),"",IF(OR(C55&lt;$F$44,C55&gt;$F$45),"FLAG","OK"))</f>
        <v/>
      </c>
    </row>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hyperlinks>
    <hyperlink xmlns:r="http://schemas.openxmlformats.org/officeDocument/2006/relationships" ref="C26" r:id="rId1"/>
    <hyperlink xmlns:r="http://schemas.openxmlformats.org/officeDocument/2006/relationships" ref="C27" r:id="rId2"/>
    <hyperlink xmlns:r="http://schemas.openxmlformats.org/officeDocument/2006/relationships" ref="C28" r:id="rId3"/>
    <hyperlink xmlns:r="http://schemas.openxmlformats.org/officeDocument/2006/relationships" ref="C29" r:id="rId4"/>
    <hyperlink xmlns:r="http://schemas.openxmlformats.org/officeDocument/2006/relationships" ref="C30" r:id="rId5"/>
    <hyperlink xmlns:r="http://schemas.openxmlformats.org/officeDocument/2006/relationships" ref="C31" r:id="rId6"/>
    <hyperlink xmlns:r="http://schemas.openxmlformats.org/officeDocument/2006/relationships" ref="C32" r:id="rId7"/>
    <hyperlink xmlns:r="http://schemas.openxmlformats.org/officeDocument/2006/relationships" ref="C33" r:id="rId8"/>
    <hyperlink xmlns:r="http://schemas.openxmlformats.org/officeDocument/2006/relationships" ref="C34" r:id="rId9"/>
    <hyperlink xmlns:r="http://schemas.openxmlformats.org/officeDocument/2006/relationships" ref="C35" r:id="rId10"/>
    <hyperlink xmlns:r="http://schemas.openxmlformats.org/officeDocument/2006/relationships" ref="C36" r:id="rId1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80"/>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5" t="inlineStr">
        <is>
          <t>CHECKS HUB</t>
        </is>
      </c>
      <c r="C2" s="20" t="n"/>
      <c r="D2" s="20" t="n"/>
      <c r="E2" s="20" t="n"/>
    </row>
    <row r="3" ht="18" customHeight="1">
      <c r="B3" s="15" t="inlineStr">
        <is>
          <t>Overall status</t>
        </is>
      </c>
      <c r="F3" s="50">
        <f>IF($F$4=0,"PASS","FAIL")</f>
        <v/>
      </c>
    </row>
    <row r="4" ht="18" customHeight="1">
      <c r="B4" s="15" t="inlineStr">
        <is>
          <t>Fail count</t>
        </is>
      </c>
      <c r="F4" s="46">
        <f>COUNTIF(F9:F18,0)</f>
        <v/>
      </c>
    </row>
    <row r="5" ht="18" customHeight="1">
      <c r="B5" s="15" t="inlineStr">
        <is>
          <t>Version</t>
        </is>
      </c>
      <c r="F5" s="16" t="n"/>
    </row>
    <row r="6" ht="18" customHeight="1">
      <c r="B6" s="15" t="inlineStr">
        <is>
          <t>Circular ref flag (manual, must be 0)</t>
        </is>
      </c>
      <c r="F6" s="58" t="n">
        <v>0</v>
      </c>
    </row>
    <row r="7" ht="18" customHeight="1"/>
    <row r="8" ht="16" customHeight="1">
      <c r="B8" s="50" t="inlineStr">
        <is>
          <t>Check</t>
        </is>
      </c>
      <c r="C8" s="50" t="inlineStr">
        <is>
          <t>Description</t>
        </is>
      </c>
      <c r="D8" s="50" t="inlineStr">
        <is>
          <t>Expected</t>
        </is>
      </c>
      <c r="E8" s="50" t="inlineStr">
        <is>
          <t>Actual</t>
        </is>
      </c>
      <c r="F8" s="50" t="inlineStr">
        <is>
          <t>Pass (1/0)</t>
        </is>
      </c>
      <c r="G8" s="50" t="inlineStr">
        <is>
          <t>Status</t>
        </is>
      </c>
    </row>
    <row r="9" ht="16" customHeight="1">
      <c r="B9" s="42" t="inlineStr">
        <is>
          <t>Forecast: Revenue populated</t>
        </is>
      </c>
      <c r="C9" s="33" t="inlineStr">
        <is>
          <t>No blanks in Revenue for active years (selected scenario)</t>
        </is>
      </c>
      <c r="D9" s="33" t="inlineStr">
        <is>
          <t>0 blanks</t>
        </is>
      </c>
      <c r="E9" s="47">
        <f>SUMPRODUCT(('01_CONTROL'!$G$52:$P$52=1)*('04_DRIVERS_AND_FORECAST'!$G$51:$P$51=""))</f>
        <v/>
      </c>
      <c r="F9" s="48">
        <f>IF(E9=0,1,0)</f>
        <v/>
      </c>
      <c r="G9" s="49">
        <f>IF(F9=1,"PASS","FAIL")</f>
        <v/>
      </c>
    </row>
    <row r="10" ht="16" customHeight="1">
      <c r="B10" s="42" t="inlineStr">
        <is>
          <t>Forecast: FCF populated</t>
        </is>
      </c>
      <c r="C10" s="33" t="inlineStr">
        <is>
          <t>No blanks in Unlevered FCF for active years (selected scenario)</t>
        </is>
      </c>
      <c r="D10" s="33" t="inlineStr">
        <is>
          <t>0 blanks</t>
        </is>
      </c>
      <c r="E10" s="47">
        <f>SUMPRODUCT(('01_CONTROL'!$G$52:$P$52=1)*('04_DRIVERS_AND_FORECAST'!$G$58:$P$58=""))</f>
        <v/>
      </c>
      <c r="F10" s="48">
        <f>IF(E10=0,1,0)</f>
        <v/>
      </c>
      <c r="G10" s="49">
        <f>IF(F10=1,"PASS","FAIL")</f>
        <v/>
      </c>
    </row>
    <row r="11" ht="16" customHeight="1">
      <c r="B11" s="42" t="inlineStr">
        <is>
          <t>Net debt: bridge tie-out</t>
        </is>
      </c>
      <c r="C11" s="33" t="inlineStr">
        <is>
          <t>Net debt equals sum of bridge components with toggles</t>
        </is>
      </c>
      <c r="D11" s="33" t="inlineStr">
        <is>
          <t>difference = 0</t>
        </is>
      </c>
      <c r="E11" s="47">
        <f>IF('02_COMPANY_INPUTS'!$F$26="","",IFERROR(ABS('02_COMPANY_INPUTS'!$F$26-('02_COMPANY_INPUTS'!$F$17 + '01_CONTROL'!$G$41*'02_COMPANY_INPUTS'!$F$18 + '01_CONTROL'!$G$42*'02_COMPANY_INPUTS'!$F$19 + '01_CONTROL'!$G$43*'02_COMPANY_INPUTS'!$F$20 - '02_COMPANY_INPUTS'!$F$16 - '01_CONTROL'!$G$44*'02_COMPANY_INPUTS'!$F$21 + '01_CONTROL'!$G$45*'02_COMPANY_INPUTS'!$F$22)),999))</f>
        <v/>
      </c>
      <c r="F11" s="48">
        <f>IF(E11&lt;0.01,1,0)</f>
        <v/>
      </c>
      <c r="G11" s="49">
        <f>IF(F11=1,"PASS","FAIL")</f>
        <v/>
      </c>
    </row>
    <row r="12" ht="16" customHeight="1">
      <c r="B12" s="42" t="inlineStr">
        <is>
          <t>Comps: EV tie-out</t>
        </is>
      </c>
      <c r="C12" s="33" t="inlineStr">
        <is>
          <t>EV equals market cap + net debt for all peer rows (within 0.01)</t>
        </is>
      </c>
      <c r="D12" s="33" t="inlineStr">
        <is>
          <t>0 mismatches</t>
        </is>
      </c>
      <c r="E12" s="47">
        <f>SUMPRODUCT(--(ABS('05_TRADING_COMPS'!$I$12:$I$23-('05_TRADING_COMPS'!$G$12:$G$23+'05_TRADING_COMPS'!$H$12:$H$23))&gt;0.01))</f>
        <v/>
      </c>
      <c r="F12" s="48">
        <f>IF(E12=0,1,0)</f>
        <v/>
      </c>
      <c r="G12" s="49">
        <f>IF(F12=1,"PASS","FAIL")</f>
        <v/>
      </c>
    </row>
    <row r="13" ht="16" customHeight="1">
      <c r="B13" s="42" t="inlineStr">
        <is>
          <t>DCF: EV tie-out</t>
        </is>
      </c>
      <c r="C13" s="33" t="inlineStr">
        <is>
          <t>EV equals PV(FCFs) + PV(TV) for base scenario (within 0.01)</t>
        </is>
      </c>
      <c r="D13" s="33" t="inlineStr">
        <is>
          <t>difference &lt; 0.01</t>
        </is>
      </c>
      <c r="E13" s="47">
        <f>IFERROR(ABS('07_DCF_FCF_AND_VALUATION'!$F$36-('07_DCF_FCF_AND_VALUATION'!$F$33+'07_DCF_FCF_AND_VALUATION'!$F$35)),999)</f>
        <v/>
      </c>
      <c r="F13" s="48">
        <f>IF(E13&lt;0.01,1,0)</f>
        <v/>
      </c>
      <c r="G13" s="49">
        <f>IF(F13=1,"PASS","FAIL")</f>
        <v/>
      </c>
    </row>
    <row r="14" ht="16" customHeight="1">
      <c r="B14" s="42" t="inlineStr">
        <is>
          <t>DCF: terminal method toggle</t>
        </is>
      </c>
      <c r="C14" s="33" t="inlineStr">
        <is>
          <t>Selected TV equals perpetuity TV if Perpetuity selected else exit-multiple TV</t>
        </is>
      </c>
      <c r="D14" s="33" t="inlineStr">
        <is>
          <t>difference &lt; 0.01</t>
        </is>
      </c>
      <c r="E14" s="47">
        <f>IFERROR(ABS('07_DCF_FCF_AND_VALUATION'!$F$34-IF('01_CONTROL'!$F$15=1,INDEX('07_DCF_FCF_AND_VALUATION'!$G$30:$P$30,'01_CONTROL'!$F$11)*(1+'01_CONTROL'!$F$67)/('06_DCF_WACC'!$F$20-'01_CONTROL'!$F$67),INDEX('07_DCF_FCF_AND_VALUATION'!$G$29:$P$29,'01_CONTROL'!$F$11)*'01_CONTROL'!$F$68)),999)</f>
        <v/>
      </c>
      <c r="F14" s="48">
        <f>IF(E14&lt;0.01,1,0)</f>
        <v/>
      </c>
      <c r="G14" s="49">
        <f>IF(F14=1,"PASS","FAIL")</f>
        <v/>
      </c>
    </row>
    <row r="15" ht="16" customHeight="1">
      <c r="B15" s="42" t="inlineStr">
        <is>
          <t>DCF: mid-year toggle</t>
        </is>
      </c>
      <c r="C15" s="33" t="inlineStr">
        <is>
          <t>Discount factor for FY1 equals formula implied by mid-year flag</t>
        </is>
      </c>
      <c r="D15" s="33" t="inlineStr">
        <is>
          <t>difference &lt; 0.0001</t>
        </is>
      </c>
      <c r="E15" s="47">
        <f>IFERROR(ABS('07_DCF_FCF_AND_VALUATION'!$G$12-IF('01_CONTROL'!$F$17=1,1/(1+'06_DCF_WACC'!$F$20)^(1-0.5),1/(1+'06_DCF_WACC'!$F$20)^1)),999)</f>
        <v/>
      </c>
      <c r="F15" s="48">
        <f>IF(E15&lt;0.0001,1,0)</f>
        <v/>
      </c>
      <c r="G15" s="49">
        <f>IF(F15=1,"PASS","FAIL")</f>
        <v/>
      </c>
    </row>
    <row r="16" ht="16" customHeight="1">
      <c r="B16" s="42" t="inlineStr">
        <is>
          <t>Model: circular references</t>
        </is>
      </c>
      <c r="C16" s="33" t="inlineStr">
        <is>
          <t>Manual confirmation that there are no circular references (flag must be 0)</t>
        </is>
      </c>
      <c r="D16" s="33" t="inlineStr">
        <is>
          <t>0</t>
        </is>
      </c>
      <c r="E16" s="47">
        <f>$F$6</f>
        <v/>
      </c>
      <c r="F16" s="48">
        <f>IF(E16=0,1,0)</f>
        <v/>
      </c>
      <c r="G16" s="49">
        <f>IF(F16=1,"PASS","FAIL")</f>
        <v/>
      </c>
    </row>
    <row r="17" ht="16" customHeight="1">
      <c r="B17" s="42" t="inlineStr">
        <is>
          <t>Outputs: no errors</t>
        </is>
      </c>
      <c r="C17" s="33" t="inlineStr">
        <is>
          <t>Triangulation base price and current price not #VALUE/#REF</t>
        </is>
      </c>
      <c r="D17" s="33" t="inlineStr">
        <is>
          <t>1</t>
        </is>
      </c>
      <c r="E17" s="47">
        <f>IF(AND(ISERROR('08_TRIANGULATION_RANGE'!$F$41)=FALSE,ISERROR('08_TRIANGULATION_RANGE'!$F$40)=FALSE),1,0)</f>
        <v/>
      </c>
      <c r="F17" s="48">
        <f>IF(E17=1,1,0)</f>
        <v/>
      </c>
      <c r="G17" s="49">
        <f>IF(F17=1,"PASS","FAIL")</f>
        <v/>
      </c>
    </row>
    <row r="18" ht="16" customHeight="1">
      <c r="B18" s="42" t="inlineStr">
        <is>
          <t>Dashboard: traceability</t>
        </is>
      </c>
      <c r="C18" s="33" t="inlineStr">
        <is>
          <t>Dashboard base implied price equals triangulation source cell</t>
        </is>
      </c>
      <c r="D18" s="33" t="inlineStr">
        <is>
          <t>difference &lt; 0.01</t>
        </is>
      </c>
      <c r="E18" s="47">
        <f>IFERROR(ABS('00_DASHBOARD'!$F$16-'08_TRIANGULATION_RANGE'!$F$41),999)</f>
        <v/>
      </c>
      <c r="F18" s="48">
        <f>IF(E18&lt;0.01,1,0)</f>
        <v/>
      </c>
      <c r="G18" s="49">
        <f>IF(F18=1,"PASS","FAIL")</f>
        <v/>
      </c>
    </row>
    <row r="19" ht="16" customHeight="1"/>
    <row r="20" ht="16" customHeight="1"/>
    <row r="21" ht="16" customHeight="1"/>
    <row r="22" ht="16" customHeight="1"/>
    <row r="23" ht="16" customHeight="1"/>
    <row r="24" ht="16" customHeight="1"/>
    <row r="25" ht="16" customHeight="1"/>
    <row r="26" ht="16" customHeight="1"/>
    <row r="27" ht="16" customHeight="1"/>
    <row r="28" ht="16" customHeight="1"/>
    <row r="29" ht="16" customHeight="1"/>
    <row r="30" ht="16" customHeight="1"/>
    <row r="31" ht="16" customHeight="1"/>
    <row r="32" ht="16" customHeight="1"/>
    <row r="33" ht="16" customHeight="1"/>
    <row r="34" ht="16" customHeight="1"/>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T80"/>
  <sheetViews>
    <sheetView showGridLines="0" workbookViewId="0">
      <selection activeCell="A1" sqref="A1"/>
    </sheetView>
  </sheetViews>
  <sheetFormatPr baseColWidth="8" defaultRowHeight="15"/>
  <cols>
    <col width="2" customWidth="1" min="1" max="1"/>
    <col width="42"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ht="26" customHeight="1"/>
    <row r="2" ht="18" customHeight="1">
      <c r="B2" s="14" t="inlineStr">
        <is>
          <t>99_APPENDIX_DATA</t>
        </is>
      </c>
    </row>
    <row r="3" ht="18" customHeight="1">
      <c r="B3" s="15" t="inlineStr">
        <is>
          <t>Model</t>
        </is>
      </c>
      <c r="F3" s="16" t="n"/>
    </row>
    <row r="4" ht="18" customHeight="1">
      <c r="B4" s="15" t="inlineStr">
        <is>
          <t>Company</t>
        </is>
      </c>
      <c r="F4" s="16" t="n"/>
    </row>
    <row r="5" ht="18" customHeight="1">
      <c r="B5" s="15" t="inlineStr">
        <is>
          <t>Version</t>
        </is>
      </c>
      <c r="F5" s="16" t="n"/>
    </row>
    <row r="6" ht="18" customHeight="1">
      <c r="B6" s="15" t="inlineStr">
        <is>
          <t>Last updated</t>
        </is>
      </c>
      <c r="F6" s="56">
        <f>TODAY()</f>
        <v/>
      </c>
    </row>
    <row r="7" ht="18" customHeight="1"/>
    <row r="8" ht="16" customHeight="1">
      <c r="B8" s="5" t="inlineStr">
        <is>
          <t>SECTION</t>
        </is>
      </c>
      <c r="C8" s="18" t="n"/>
      <c r="D8" s="18" t="n"/>
      <c r="E8" s="18" t="n"/>
    </row>
    <row r="9" ht="16" customHeight="1"/>
    <row r="10" ht="16" customHeight="1"/>
    <row r="11" ht="16" customHeight="1"/>
    <row r="12" ht="16" customHeight="1"/>
    <row r="13" ht="16" customHeight="1"/>
    <row r="14" ht="16" customHeight="1"/>
    <row r="15" ht="16" customHeight="1"/>
    <row r="16" ht="16" customHeight="1"/>
    <row r="17" ht="16" customHeight="1"/>
    <row r="18" ht="16" customHeight="1"/>
    <row r="19" ht="16" customHeight="1"/>
    <row r="20" ht="16" customHeight="1"/>
    <row r="21" ht="16" customHeight="1"/>
    <row r="22" ht="16" customHeight="1"/>
    <row r="23" ht="16" customHeight="1"/>
    <row r="24" ht="16" customHeight="1"/>
    <row r="25" ht="16" customHeight="1"/>
    <row r="26" ht="16" customHeight="1"/>
    <row r="27" ht="16" customHeight="1"/>
    <row r="28" ht="16" customHeight="1"/>
    <row r="29" ht="16" customHeight="1"/>
    <row r="30" ht="16" customHeight="1"/>
    <row r="31" ht="16" customHeight="1"/>
    <row r="32" ht="16" customHeight="1"/>
    <row r="33" ht="16" customHeight="1"/>
    <row r="34" ht="16" customHeight="1"/>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2026-02-16T20:45:26Z</dcterms:created>
  <dcterms:modified xmlns:dcterms="http://purl.org/dc/terms/" xmlns:xsi="http://www.w3.org/2001/XMLSchema-instance" xsi:type="dcterms:W3CDTF">2026-02-16T21:14:38Z</dcterms:modified>
</cp:coreProperties>
</file>