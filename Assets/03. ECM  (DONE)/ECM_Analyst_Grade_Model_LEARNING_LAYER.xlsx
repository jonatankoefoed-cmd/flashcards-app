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DASHBOARD" sheetId="1" state="visible" r:id="rId1"/>
    <sheet xmlns:r="http://schemas.openxmlformats.org/officeDocument/2006/relationships" name="01_CONTROL" sheetId="2" state="visible" r:id="rId2"/>
    <sheet xmlns:r="http://schemas.openxmlformats.org/officeDocument/2006/relationships" name="02_ISSUER_INPUTS" sheetId="3" state="visible" r:id="rId3"/>
    <sheet xmlns:r="http://schemas.openxmlformats.org/officeDocument/2006/relationships" name="03_MARKET_DATA" sheetId="4" state="visible" r:id="rId4"/>
    <sheet xmlns:r="http://schemas.openxmlformats.org/officeDocument/2006/relationships" name="04_OFFER_SETUP" sheetId="5" state="visible" r:id="rId5"/>
    <sheet xmlns:r="http://schemas.openxmlformats.org/officeDocument/2006/relationships" name="05_RIGHTS_TERP_ENTITLE" sheetId="6" state="visible" r:id="rId6"/>
    <sheet xmlns:r="http://schemas.openxmlformats.org/officeDocument/2006/relationships" name="06_CAP_TABLE_OWNERSHIP" sheetId="7" state="visible" r:id="rId7"/>
    <sheet xmlns:r="http://schemas.openxmlformats.org/officeDocument/2006/relationships" name="07_PROCEEDS_AND_FEES" sheetId="8" state="visible" r:id="rId8"/>
    <sheet xmlns:r="http://schemas.openxmlformats.org/officeDocument/2006/relationships" name="08_PRO_FORMA_BS_LEVERAGE" sheetId="9" state="visible" r:id="rId9"/>
    <sheet xmlns:r="http://schemas.openxmlformats.org/officeDocument/2006/relationships" name="09_FREE_FLOAT_TRADING_MET" sheetId="10" state="visible" r:id="rId10"/>
    <sheet xmlns:r="http://schemas.openxmlformats.org/officeDocument/2006/relationships" name="10_SENSITIVITIES" sheetId="11" state="visible" r:id="rId11"/>
    <sheet xmlns:r="http://schemas.openxmlformats.org/officeDocument/2006/relationships" name="80_ECM_LEARN_MAP" sheetId="12" state="visible" r:id="rId12"/>
    <sheet xmlns:r="http://schemas.openxmlformats.org/officeDocument/2006/relationships" name="81_ECM_LEARN_FORMULAS" sheetId="13" state="visible" r:id="rId13"/>
    <sheet xmlns:r="http://schemas.openxmlformats.org/officeDocument/2006/relationships" name="82_ECM_LEARN_INTERPRETATION" sheetId="14" state="visible" r:id="rId14"/>
    <sheet xmlns:r="http://schemas.openxmlformats.org/officeDocument/2006/relationships" name="83_ECM_LEARN_SCENARIOS" sheetId="15" state="visible" r:id="rId15"/>
    <sheet xmlns:r="http://schemas.openxmlformats.org/officeDocument/2006/relationships" name="84_ECM_LEARN_DRILLS" sheetId="16" state="visible" r:id="rId16"/>
    <sheet xmlns:r="http://schemas.openxmlformats.org/officeDocument/2006/relationships" name="85_ECM_LEARN_MISTAKES" sheetId="17" state="visible" r:id="rId17"/>
    <sheet xmlns:r="http://schemas.openxmlformats.org/officeDocument/2006/relationships" name="86_ECM_SPECIAL_MODULE" sheetId="18" state="visible" r:id="rId18"/>
    <sheet xmlns:r="http://schemas.openxmlformats.org/officeDocument/2006/relationships" name="90_CHECKS" sheetId="19" state="visible" r:id="rId19"/>
    <sheet xmlns:r="http://schemas.openxmlformats.org/officeDocument/2006/relationships" name="99_APPENDIX_DATA" sheetId="20" state="visible" r:id="rId20"/>
  </sheets>
  <definedNames/>
  <calcPr calcId="124519" fullCalcOnLoad="1"/>
</workbook>
</file>

<file path=xl/styles.xml><?xml version="1.0" encoding="utf-8"?>
<styleSheet xmlns="http://schemas.openxmlformats.org/spreadsheetml/2006/main">
  <numFmts count="5">
    <numFmt numFmtId="164" formatCode="#,##0.00;(#,##0.00);&quot;–&quot;"/>
    <numFmt numFmtId="165" formatCode="0.0%;(0.0%);&quot;–&quot;"/>
    <numFmt numFmtId="166" formatCode="#,##0.000;(#,##0.000);&quot;–&quot;"/>
    <numFmt numFmtId="167" formatCode="#,##0.0;(#,##0.0);&quot;–&quot;"/>
    <numFmt numFmtId="168" formatCode="0.00x"/>
  </numFmts>
  <fonts count="20">
    <font>
      <name val="Calibri"/>
      <family val="2"/>
      <color theme="1"/>
      <sz val="11"/>
      <scheme val="minor"/>
    </font>
    <font>
      <name val="Calibri"/>
      <b val="1"/>
      <color rgb="00000000"/>
      <sz val="10"/>
      <u val="single"/>
    </font>
    <font>
      <name val="Calibri"/>
      <b val="1"/>
      <color rgb="00000000"/>
      <sz val="10"/>
    </font>
    <font>
      <name val="Calibri"/>
      <color rgb="0000B050"/>
      <sz val="10"/>
    </font>
    <font>
      <name val="Calibri"/>
      <b val="1"/>
      <color rgb="00000000"/>
      <sz val="12"/>
    </font>
    <font>
      <name val="Calibri"/>
      <color rgb="000070C0"/>
      <sz val="10"/>
    </font>
    <font>
      <name val="Calibri"/>
      <color rgb="00595959"/>
      <sz val="9"/>
    </font>
    <font>
      <name val="Calibri"/>
      <color rgb="00000000"/>
      <sz val="10"/>
    </font>
    <font>
      <name val="Calibri"/>
      <b val="1"/>
      <color rgb="0000B050"/>
      <sz val="10"/>
    </font>
    <font>
      <name val="Calibri"/>
      <b val="1"/>
      <color rgb="00000000"/>
      <sz val="14"/>
    </font>
    <font>
      <name val="Calibri"/>
      <b val="1"/>
      <sz val="10"/>
    </font>
    <font>
      <name val="Calibri"/>
      <color rgb="00595959"/>
      <sz val="10"/>
    </font>
    <font>
      <name val="Calibri"/>
      <b val="1"/>
      <sz val="12"/>
    </font>
    <font>
      <name val="Calibri"/>
      <b val="1"/>
      <sz val="14"/>
    </font>
    <font>
      <name val="Calibri"/>
      <color rgb="00666666"/>
      <sz val="10"/>
    </font>
    <font>
      <name val="Calibri"/>
      <sz val="10"/>
    </font>
    <font>
      <name val="Calibri"/>
      <color rgb="0000B050"/>
      <sz val="10"/>
      <u val="single"/>
    </font>
    <font>
      <name val="Calibri"/>
      <i val="1"/>
      <color rgb="00666666"/>
      <sz val="9"/>
    </font>
    <font>
      <name val="Calibri"/>
      <b val="1"/>
      <color rgb="0000B050"/>
      <sz val="9"/>
      <u val="single"/>
    </font>
    <font>
      <name val="Calibri"/>
      <color rgb="00666666"/>
      <sz val="9"/>
    </font>
  </fonts>
  <fills count="8">
    <fill>
      <patternFill/>
    </fill>
    <fill>
      <patternFill patternType="gray125"/>
    </fill>
    <fill>
      <patternFill patternType="solid">
        <fgColor rgb="00F2F2F2"/>
      </patternFill>
    </fill>
    <fill>
      <patternFill patternType="solid">
        <fgColor rgb="00FFFFFF"/>
      </patternFill>
    </fill>
    <fill>
      <patternFill patternType="solid">
        <fgColor rgb="00F7F7F7"/>
      </patternFill>
    </fill>
    <fill>
      <patternFill patternType="solid">
        <fgColor rgb="00EDEDED"/>
      </patternFill>
    </fill>
    <fill>
      <patternFill patternType="solid">
        <fgColor rgb="00FFF2CC"/>
      </patternFill>
    </fill>
    <fill>
      <patternFill patternType="solid">
        <fgColor rgb="00D9E1F2"/>
      </patternFill>
    </fill>
  </fills>
  <borders count="16">
    <border>
      <left/>
      <right/>
      <top/>
      <bottom/>
      <diagonal/>
    </border>
    <border>
      <left style="thin">
        <color rgb="00D0D0D0"/>
      </left>
      <right style="thin">
        <color rgb="00D0D0D0"/>
      </right>
      <top style="thin">
        <color rgb="00D0D0D0"/>
      </top>
      <bottom style="medium">
        <color rgb="00A0A0A0"/>
      </bottom>
    </border>
    <border>
      <left style="thin">
        <color rgb="00D0D0D0"/>
      </left>
      <right style="thin">
        <color rgb="00D0D0D0"/>
      </right>
      <top style="thin">
        <color rgb="00D0D0D0"/>
      </top>
      <bottom style="thin">
        <color rgb="00D0D0D0"/>
      </bottom>
    </border>
    <border>
      <bottom style="thin">
        <color rgb="00A6A6A6"/>
      </bottom>
    </border>
    <border>
      <left style="thin">
        <color rgb="00A6A6A6"/>
      </left>
      <right style="thin">
        <color rgb="00A6A6A6"/>
      </right>
      <top style="thin">
        <color rgb="00A6A6A6"/>
      </top>
      <bottom style="thin">
        <color rgb="00A6A6A6"/>
      </bottom>
    </border>
    <border>
      <bottom style="medium">
        <color rgb="00A6A6A6"/>
      </bottom>
    </border>
    <border>
      <left style="medium">
        <color rgb="00A6A6A6"/>
      </left>
      <top style="medium">
        <color rgb="00A6A6A6"/>
      </top>
      <bottom style="medium">
        <color rgb="00A6A6A6"/>
      </bottom>
    </border>
    <border>
      <top style="medium">
        <color rgb="00A6A6A6"/>
      </top>
      <bottom style="medium">
        <color rgb="00A6A6A6"/>
      </bottom>
    </border>
    <border>
      <right style="medium">
        <color rgb="00A6A6A6"/>
      </right>
      <top style="medium">
        <color rgb="00A6A6A6"/>
      </top>
      <bottom style="medium">
        <color rgb="00A6A6A6"/>
      </bottom>
    </border>
    <border>
      <left style="medium">
        <color rgb="00A6A6A6"/>
      </left>
      <right style="thin">
        <color rgb="00A6A6A6"/>
      </right>
      <top style="thin">
        <color rgb="00A6A6A6"/>
      </top>
      <bottom style="thin">
        <color rgb="00A6A6A6"/>
      </bottom>
    </border>
    <border>
      <left style="thin">
        <color rgb="00A6A6A6"/>
      </left>
      <right style="medium">
        <color rgb="00A6A6A6"/>
      </right>
      <top style="thin">
        <color rgb="00A6A6A6"/>
      </top>
      <bottom style="thin">
        <color rgb="00A6A6A6"/>
      </bottom>
    </border>
    <border>
      <left style="medium">
        <color rgb="00A6A6A6"/>
      </left>
      <right style="thin">
        <color rgb="00A6A6A6"/>
      </right>
      <top style="thin">
        <color rgb="00A6A6A6"/>
      </top>
      <bottom style="medium">
        <color rgb="00A6A6A6"/>
      </bottom>
    </border>
    <border>
      <left style="thin">
        <color rgb="00A6A6A6"/>
      </left>
      <right style="thin">
        <color rgb="00A6A6A6"/>
      </right>
      <top style="thin">
        <color rgb="00A6A6A6"/>
      </top>
      <bottom style="medium">
        <color rgb="00A6A6A6"/>
      </bottom>
    </border>
    <border>
      <left style="thin">
        <color rgb="00A6A6A6"/>
      </left>
      <right style="medium">
        <color rgb="00A6A6A6"/>
      </right>
      <top style="thin">
        <color rgb="00A6A6A6"/>
      </top>
      <bottom style="medium">
        <color rgb="00A6A6A6"/>
      </bottom>
    </border>
    <border>
      <left style="thin">
        <color rgb="00D9D9D9"/>
      </left>
      <right style="thin">
        <color rgb="00D9D9D9"/>
      </right>
      <top style="thin">
        <color rgb="00D9D9D9"/>
      </top>
      <bottom style="thin">
        <color rgb="00D9D9D9"/>
      </bottom>
    </border>
    <border>
      <left style="thin">
        <color rgb="00BFBFBF"/>
      </left>
      <right style="thin">
        <color rgb="00BFBFBF"/>
      </right>
      <top style="thin">
        <color rgb="00BFBFBF"/>
      </top>
      <bottom style="thin">
        <color rgb="00BFBFBF"/>
      </bottom>
    </border>
  </borders>
  <cellStyleXfs count="1">
    <xf numFmtId="0" fontId="0" fillId="0" borderId="0"/>
  </cellStyleXfs>
  <cellXfs count="145">
    <xf numFmtId="0" fontId="0" fillId="0" borderId="0" pivotButton="0" quotePrefix="0" xfId="0"/>
    <xf numFmtId="0" fontId="1" fillId="0" borderId="0" applyAlignment="1" pivotButton="0" quotePrefix="0" xfId="0">
      <alignment horizontal="left" vertical="center"/>
    </xf>
    <xf numFmtId="0" fontId="4" fillId="0" borderId="0" applyAlignment="1" pivotButton="0" quotePrefix="0" xfId="0">
      <alignment horizontal="centerContinuous" vertical="center"/>
    </xf>
    <xf numFmtId="0" fontId="0" fillId="0" borderId="0" applyAlignment="1" pivotButton="0" quotePrefix="0" xfId="0">
      <alignment horizontal="centerContinuous" vertical="center"/>
    </xf>
    <xf numFmtId="0" fontId="2" fillId="0" borderId="0" pivotButton="0" quotePrefix="0" xfId="0"/>
    <xf numFmtId="0" fontId="3" fillId="0" borderId="0" pivotButton="0" quotePrefix="0" xfId="0"/>
    <xf numFmtId="0" fontId="2" fillId="2" borderId="1" applyAlignment="1" pivotButton="0" quotePrefix="0" xfId="0">
      <alignment horizontal="centerContinuous" vertical="center"/>
    </xf>
    <xf numFmtId="0" fontId="2" fillId="4" borderId="2" applyAlignment="1" pivotButton="0" quotePrefix="0" xfId="0">
      <alignment horizontal="center" vertical="center"/>
    </xf>
    <xf numFmtId="0" fontId="2" fillId="0" borderId="2" applyAlignment="1" pivotButton="0" quotePrefix="0" xfId="0">
      <alignment horizontal="left" vertical="center"/>
    </xf>
    <xf numFmtId="0" fontId="7" fillId="0" borderId="2" applyAlignment="1" pivotButton="0" quotePrefix="0" xfId="0">
      <alignment horizontal="left" vertical="center"/>
    </xf>
    <xf numFmtId="0" fontId="0" fillId="0" borderId="2" applyAlignment="1" pivotButton="0" quotePrefix="0" xfId="0">
      <alignment horizontal="right" vertical="center"/>
    </xf>
    <xf numFmtId="0" fontId="8" fillId="0" borderId="2" applyAlignment="1" pivotButton="0" quotePrefix="0" xfId="0">
      <alignment horizontal="right" vertical="center"/>
    </xf>
    <xf numFmtId="164" fontId="3" fillId="0" borderId="2" applyAlignment="1" pivotButton="0" quotePrefix="0" xfId="0">
      <alignment horizontal="right" vertical="center"/>
    </xf>
    <xf numFmtId="165" fontId="3" fillId="0" borderId="2" applyAlignment="1" pivotButton="0" quotePrefix="0" xfId="0">
      <alignment horizontal="right" vertical="center"/>
    </xf>
    <xf numFmtId="166" fontId="3" fillId="0" borderId="2" applyAlignment="1" pivotButton="0" quotePrefix="0" xfId="0">
      <alignment horizontal="right" vertical="center"/>
    </xf>
    <xf numFmtId="167" fontId="3" fillId="0" borderId="2" applyAlignment="1" pivotButton="0" quotePrefix="0" xfId="0">
      <alignment horizontal="right" vertical="center"/>
    </xf>
    <xf numFmtId="168" fontId="3" fillId="0" borderId="2" applyAlignment="1" pivotButton="0" quotePrefix="0" xfId="0">
      <alignment horizontal="right" vertical="center"/>
    </xf>
    <xf numFmtId="0" fontId="2" fillId="0" borderId="0" applyAlignment="1" pivotButton="0" quotePrefix="0" xfId="0">
      <alignment horizontal="left" vertical="center"/>
    </xf>
    <xf numFmtId="0" fontId="3" fillId="0" borderId="2" applyAlignment="1" pivotButton="0" quotePrefix="0" xfId="0">
      <alignment horizontal="right" vertical="center"/>
    </xf>
    <xf numFmtId="0" fontId="7" fillId="0" borderId="0" applyAlignment="1" pivotButton="0" quotePrefix="0" xfId="0">
      <alignment horizontal="left" vertical="center"/>
    </xf>
    <xf numFmtId="1" fontId="3" fillId="0" borderId="2" applyAlignment="1" pivotButton="0" quotePrefix="0" xfId="0">
      <alignment horizontal="right" vertical="center"/>
    </xf>
    <xf numFmtId="0" fontId="2" fillId="4" borderId="2" pivotButton="0" quotePrefix="0" xfId="0"/>
    <xf numFmtId="0" fontId="7" fillId="0" borderId="2" pivotButton="0" quotePrefix="0" xfId="0"/>
    <xf numFmtId="165" fontId="3" fillId="0" borderId="2" pivotButton="0" quotePrefix="0" xfId="0"/>
    <xf numFmtId="167" fontId="3" fillId="0" borderId="2" pivotButton="0" quotePrefix="0" xfId="0"/>
    <xf numFmtId="0" fontId="2" fillId="0" borderId="0" applyAlignment="1" pivotButton="0" quotePrefix="0" xfId="0">
      <alignment horizontal="centerContinuous" vertical="center"/>
    </xf>
    <xf numFmtId="0" fontId="0" fillId="0" borderId="2" pivotButton="0" quotePrefix="0" xfId="0"/>
    <xf numFmtId="0" fontId="5" fillId="3" borderId="2" applyAlignment="1" pivotButton="0" quotePrefix="0" xfId="0">
      <alignment horizontal="left" vertical="center"/>
    </xf>
    <xf numFmtId="0" fontId="2" fillId="0" borderId="2" pivotButton="0" quotePrefix="0" xfId="0"/>
    <xf numFmtId="0" fontId="6" fillId="0" borderId="2" applyAlignment="1" pivotButton="0" quotePrefix="0" xfId="0">
      <alignment horizontal="left" vertical="center"/>
    </xf>
    <xf numFmtId="165" fontId="0" fillId="0" borderId="0" pivotButton="0" quotePrefix="0" xfId="0"/>
    <xf numFmtId="165" fontId="5" fillId="3" borderId="2" applyAlignment="1" pivotButton="0" quotePrefix="0" xfId="0">
      <alignment horizontal="right" vertical="center"/>
    </xf>
    <xf numFmtId="164" fontId="5" fillId="3" borderId="2" applyAlignment="1" pivotButton="0" quotePrefix="0" xfId="0">
      <alignment horizontal="right" vertical="center"/>
    </xf>
    <xf numFmtId="167" fontId="5" fillId="3" borderId="2" applyAlignment="1" pivotButton="0" quotePrefix="0" xfId="0">
      <alignment horizontal="right" vertical="center"/>
    </xf>
    <xf numFmtId="166" fontId="5" fillId="3" borderId="2" applyAlignment="1" pivotButton="0" quotePrefix="0" xfId="0">
      <alignment horizontal="right" vertical="center"/>
    </xf>
    <xf numFmtId="165" fontId="2" fillId="0" borderId="2" applyAlignment="1" pivotButton="0" quotePrefix="0" xfId="0">
      <alignment horizontal="right" vertical="center"/>
    </xf>
    <xf numFmtId="0" fontId="2" fillId="0" borderId="2" applyAlignment="1" pivotButton="0" quotePrefix="0" xfId="0">
      <alignment horizontal="center" vertical="center"/>
    </xf>
    <xf numFmtId="166" fontId="2" fillId="0" borderId="2" applyAlignment="1" pivotButton="0" quotePrefix="0" xfId="0">
      <alignment horizontal="right" vertical="center"/>
    </xf>
    <xf numFmtId="0" fontId="2" fillId="4" borderId="2" applyAlignment="1" pivotButton="0" quotePrefix="0" xfId="0">
      <alignment horizontal="left" vertical="center"/>
    </xf>
    <xf numFmtId="166" fontId="7" fillId="0" borderId="2" applyAlignment="1" pivotButton="0" quotePrefix="0" xfId="0">
      <alignment horizontal="right" vertical="center"/>
    </xf>
    <xf numFmtId="0" fontId="2" fillId="2" borderId="1" applyAlignment="1" pivotButton="0" quotePrefix="0" xfId="0">
      <alignment horizontal="left" vertical="center"/>
    </xf>
    <xf numFmtId="0" fontId="0" fillId="2" borderId="1" applyAlignment="1" pivotButton="0" quotePrefix="0" xfId="0">
      <alignment horizontal="left" vertical="center"/>
    </xf>
    <xf numFmtId="165" fontId="2" fillId="2" borderId="1" applyAlignment="1" pivotButton="0" quotePrefix="0" xfId="0">
      <alignment horizontal="right" vertical="center"/>
    </xf>
    <xf numFmtId="0" fontId="0" fillId="2" borderId="1" applyAlignment="1" pivotButton="0" quotePrefix="0" xfId="0">
      <alignment horizontal="right" vertical="center"/>
    </xf>
    <xf numFmtId="166" fontId="2" fillId="2" borderId="1" applyAlignment="1" pivotButton="0" quotePrefix="0" xfId="0">
      <alignment horizontal="right" vertical="center"/>
    </xf>
    <xf numFmtId="167" fontId="2" fillId="0" borderId="2" applyAlignment="1" pivotButton="0" quotePrefix="0" xfId="0">
      <alignment horizontal="right" vertical="center"/>
    </xf>
    <xf numFmtId="168" fontId="2" fillId="0" borderId="2" applyAlignment="1" pivotButton="0" quotePrefix="0" xfId="0">
      <alignment horizontal="right" vertical="center"/>
    </xf>
    <xf numFmtId="164" fontId="2" fillId="0" borderId="2" applyAlignment="1" pivotButton="0" quotePrefix="0" xfId="0">
      <alignment horizontal="right" vertical="center"/>
    </xf>
    <xf numFmtId="165" fontId="7" fillId="0" borderId="2" applyAlignment="1" pivotButton="0" quotePrefix="0" xfId="0">
      <alignment horizontal="right" vertical="center"/>
    </xf>
    <xf numFmtId="167" fontId="7" fillId="0" borderId="2" applyAlignment="1" pivotButton="0" quotePrefix="0" xfId="0">
      <alignment horizontal="right" vertical="center"/>
    </xf>
    <xf numFmtId="164" fontId="7" fillId="0" borderId="2" applyAlignment="1" pivotButton="0" quotePrefix="0" xfId="0">
      <alignment horizontal="right" vertical="center"/>
    </xf>
    <xf numFmtId="0" fontId="3" fillId="0" borderId="2" applyAlignment="1" pivotButton="0" quotePrefix="0" xfId="0">
      <alignment horizontal="left" vertical="center"/>
    </xf>
    <xf numFmtId="168" fontId="7" fillId="0" borderId="2" applyAlignment="1" pivotButton="0" quotePrefix="0" xfId="0">
      <alignment horizontal="right" vertical="center"/>
    </xf>
    <xf numFmtId="0" fontId="6" fillId="0" borderId="0" applyAlignment="1" pivotButton="0" quotePrefix="0" xfId="0">
      <alignment horizontal="left" vertical="center"/>
    </xf>
    <xf numFmtId="1" fontId="2" fillId="0" borderId="2" applyAlignment="1" pivotButton="0" quotePrefix="0" xfId="0">
      <alignment horizontal="left" vertical="center"/>
    </xf>
    <xf numFmtId="1" fontId="0" fillId="0" borderId="2" applyAlignment="1" pivotButton="0" quotePrefix="0" xfId="0">
      <alignment horizontal="center" vertical="center"/>
    </xf>
    <xf numFmtId="0" fontId="6" fillId="0" borderId="0" applyAlignment="1" pivotButton="0" quotePrefix="0" xfId="0">
      <alignment horizontal="left" vertical="top" wrapText="1"/>
    </xf>
    <xf numFmtId="164" fontId="3" fillId="0" borderId="2" applyAlignment="1" pivotButton="0" quotePrefix="0" xfId="0">
      <alignment horizontal="right" vertical="center"/>
    </xf>
    <xf numFmtId="165" fontId="3" fillId="0" borderId="2" applyAlignment="1" pivotButton="0" quotePrefix="0" xfId="0">
      <alignment horizontal="right" vertical="center"/>
    </xf>
    <xf numFmtId="166" fontId="3" fillId="0" borderId="2" applyAlignment="1" pivotButton="0" quotePrefix="0" xfId="0">
      <alignment horizontal="right" vertical="center"/>
    </xf>
    <xf numFmtId="167" fontId="3" fillId="0" borderId="2" applyAlignment="1" pivotButton="0" quotePrefix="0" xfId="0">
      <alignment horizontal="right" vertical="center"/>
    </xf>
    <xf numFmtId="165" fontId="3" fillId="0" borderId="2" pivotButton="0" quotePrefix="0" xfId="0"/>
    <xf numFmtId="167" fontId="3" fillId="0" borderId="2" pivotButton="0" quotePrefix="0" xfId="0"/>
    <xf numFmtId="165" fontId="0" fillId="0" borderId="0" pivotButton="0" quotePrefix="0" xfId="0"/>
    <xf numFmtId="165" fontId="5" fillId="3" borderId="2" applyAlignment="1" pivotButton="0" quotePrefix="0" xfId="0">
      <alignment horizontal="right" vertical="center"/>
    </xf>
    <xf numFmtId="164" fontId="5" fillId="3" borderId="2" applyAlignment="1" pivotButton="0" quotePrefix="0" xfId="0">
      <alignment horizontal="right" vertical="center"/>
    </xf>
    <xf numFmtId="167" fontId="5" fillId="3" borderId="2" applyAlignment="1" pivotButton="0" quotePrefix="0" xfId="0">
      <alignment horizontal="right" vertical="center"/>
    </xf>
    <xf numFmtId="166" fontId="5" fillId="3" borderId="2" applyAlignment="1" pivotButton="0" quotePrefix="0" xfId="0">
      <alignment horizontal="right" vertical="center"/>
    </xf>
    <xf numFmtId="165" fontId="2" fillId="0" borderId="2" applyAlignment="1" pivotButton="0" quotePrefix="0" xfId="0">
      <alignment horizontal="right" vertical="center"/>
    </xf>
    <xf numFmtId="166" fontId="2" fillId="0" borderId="2" applyAlignment="1" pivotButton="0" quotePrefix="0" xfId="0">
      <alignment horizontal="right" vertical="center"/>
    </xf>
    <xf numFmtId="166" fontId="7" fillId="0" borderId="2" applyAlignment="1" pivotButton="0" quotePrefix="0" xfId="0">
      <alignment horizontal="right" vertical="center"/>
    </xf>
    <xf numFmtId="165" fontId="2" fillId="2" borderId="1" applyAlignment="1" pivotButton="0" quotePrefix="0" xfId="0">
      <alignment horizontal="right" vertical="center"/>
    </xf>
    <xf numFmtId="166" fontId="2" fillId="2" borderId="1" applyAlignment="1" pivotButton="0" quotePrefix="0" xfId="0">
      <alignment horizontal="right" vertical="center"/>
    </xf>
    <xf numFmtId="167" fontId="2" fillId="0" borderId="2" applyAlignment="1" pivotButton="0" quotePrefix="0" xfId="0">
      <alignment horizontal="right" vertical="center"/>
    </xf>
    <xf numFmtId="164" fontId="2" fillId="0" borderId="2" applyAlignment="1" pivotButton="0" quotePrefix="0" xfId="0">
      <alignment horizontal="right" vertical="center"/>
    </xf>
    <xf numFmtId="165" fontId="7" fillId="0" borderId="2" applyAlignment="1" pivotButton="0" quotePrefix="0" xfId="0">
      <alignment horizontal="right" vertical="center"/>
    </xf>
    <xf numFmtId="167" fontId="7" fillId="0" borderId="2" applyAlignment="1" pivotButton="0" quotePrefix="0" xfId="0">
      <alignment horizontal="right" vertical="center"/>
    </xf>
    <xf numFmtId="164" fontId="7" fillId="0" borderId="2" applyAlignment="1" pivotButton="0" quotePrefix="0" xfId="0">
      <alignment horizontal="right" vertical="center"/>
    </xf>
    <xf numFmtId="0" fontId="2" fillId="2" borderId="3" applyAlignment="1" pivotButton="0" quotePrefix="0" xfId="0">
      <alignment horizontal="center" vertical="center"/>
    </xf>
    <xf numFmtId="0" fontId="9" fillId="0" borderId="0" applyAlignment="1" pivotButton="0" quotePrefix="0" xfId="0">
      <alignment horizontal="centerContinuous" vertical="center"/>
    </xf>
    <xf numFmtId="0" fontId="9" fillId="0" borderId="0" applyAlignment="1" pivotButton="0" quotePrefix="0" xfId="0">
      <alignment horizontal="center" vertical="center"/>
    </xf>
    <xf numFmtId="0" fontId="2" fillId="0" borderId="0" applyAlignment="1" pivotButton="0" quotePrefix="0" xfId="0">
      <alignment horizontal="right" vertical="center"/>
    </xf>
    <xf numFmtId="0" fontId="10" fillId="0" borderId="4" applyAlignment="1" pivotButton="0" quotePrefix="0" xfId="0">
      <alignment horizontal="center" vertical="center"/>
    </xf>
    <xf numFmtId="0" fontId="2" fillId="2" borderId="5" applyAlignment="1" pivotButton="0" quotePrefix="0" xfId="0">
      <alignment horizontal="left" vertical="center"/>
    </xf>
    <xf numFmtId="0" fontId="2" fillId="2" borderId="5" applyAlignment="1" pivotButton="0" quotePrefix="0" xfId="0">
      <alignment horizontal="center" vertical="center"/>
    </xf>
    <xf numFmtId="0" fontId="2" fillId="2" borderId="6" applyAlignment="1" pivotButton="0" quotePrefix="0" xfId="0">
      <alignment horizontal="left" vertical="center"/>
    </xf>
    <xf numFmtId="0" fontId="2" fillId="2" borderId="7" applyAlignment="1" pivotButton="0" quotePrefix="0" xfId="0">
      <alignment horizontal="left" vertical="center"/>
    </xf>
    <xf numFmtId="0" fontId="2" fillId="2" borderId="7" applyAlignment="1" pivotButton="0" quotePrefix="0" xfId="0">
      <alignment horizontal="center" vertical="center"/>
    </xf>
    <xf numFmtId="0" fontId="2" fillId="2" borderId="8" applyAlignment="1" pivotButton="0" quotePrefix="0" xfId="0">
      <alignment horizontal="center" vertical="center"/>
    </xf>
    <xf numFmtId="0" fontId="2" fillId="0" borderId="9" applyAlignment="1" pivotButton="0" quotePrefix="0" xfId="0">
      <alignment horizontal="left" vertical="center"/>
    </xf>
    <xf numFmtId="0" fontId="7" fillId="0" borderId="4" applyAlignment="1" pivotButton="0" quotePrefix="0" xfId="0">
      <alignment horizontal="left" vertical="center"/>
    </xf>
    <xf numFmtId="0" fontId="0" fillId="0" borderId="4" applyAlignment="1" pivotButton="0" quotePrefix="0" xfId="0">
      <alignment horizontal="right" vertical="center"/>
    </xf>
    <xf numFmtId="0" fontId="8" fillId="0" borderId="4" applyAlignment="1" pivotButton="0" quotePrefix="0" xfId="0">
      <alignment horizontal="right" vertical="center"/>
    </xf>
    <xf numFmtId="0" fontId="8" fillId="0" borderId="10" applyAlignment="1" pivotButton="0" quotePrefix="0" xfId="0">
      <alignment horizontal="right" vertical="center"/>
    </xf>
    <xf numFmtId="0" fontId="0" fillId="0" borderId="9" applyAlignment="1" pivotButton="0" quotePrefix="0" xfId="0">
      <alignment horizontal="left" vertical="center"/>
    </xf>
    <xf numFmtId="0" fontId="0" fillId="0" borderId="4" applyAlignment="1" pivotButton="0" quotePrefix="0" xfId="0">
      <alignment horizontal="left" vertical="center"/>
    </xf>
    <xf numFmtId="0" fontId="0" fillId="0" borderId="10" applyAlignment="1" pivotButton="0" quotePrefix="0" xfId="0">
      <alignment horizontal="right" vertical="center"/>
    </xf>
    <xf numFmtId="0" fontId="11" fillId="0" borderId="4" applyAlignment="1" pivotButton="0" quotePrefix="0" xfId="0">
      <alignment horizontal="left" vertical="center"/>
    </xf>
    <xf numFmtId="164" fontId="8" fillId="0" borderId="4" applyAlignment="1" pivotButton="0" quotePrefix="0" xfId="0">
      <alignment horizontal="right" vertical="center"/>
    </xf>
    <xf numFmtId="164" fontId="8" fillId="0" borderId="10" applyAlignment="1" pivotButton="0" quotePrefix="0" xfId="0">
      <alignment horizontal="right" vertical="center"/>
    </xf>
    <xf numFmtId="165" fontId="8" fillId="0" borderId="4" applyAlignment="1" pivotButton="0" quotePrefix="0" xfId="0">
      <alignment horizontal="right" vertical="center"/>
    </xf>
    <xf numFmtId="165" fontId="8" fillId="0" borderId="10" applyAlignment="1" pivotButton="0" quotePrefix="0" xfId="0">
      <alignment horizontal="right" vertical="center"/>
    </xf>
    <xf numFmtId="166" fontId="8" fillId="0" borderId="4" applyAlignment="1" pivotButton="0" quotePrefix="0" xfId="0">
      <alignment horizontal="right" vertical="center"/>
    </xf>
    <xf numFmtId="166" fontId="8" fillId="0" borderId="10" applyAlignment="1" pivotButton="0" quotePrefix="0" xfId="0">
      <alignment horizontal="right" vertical="center"/>
    </xf>
    <xf numFmtId="167" fontId="8" fillId="0" borderId="4" applyAlignment="1" pivotButton="0" quotePrefix="0" xfId="0">
      <alignment horizontal="right" vertical="center"/>
    </xf>
    <xf numFmtId="167" fontId="8" fillId="0" borderId="10" applyAlignment="1" pivotButton="0" quotePrefix="0" xfId="0">
      <alignment horizontal="right" vertical="center"/>
    </xf>
    <xf numFmtId="0" fontId="2" fillId="0" borderId="11" applyAlignment="1" pivotButton="0" quotePrefix="0" xfId="0">
      <alignment horizontal="left" vertical="center"/>
    </xf>
    <xf numFmtId="0" fontId="11" fillId="0" borderId="12" applyAlignment="1" pivotButton="0" quotePrefix="0" xfId="0">
      <alignment horizontal="left" vertical="center"/>
    </xf>
    <xf numFmtId="0" fontId="0" fillId="0" borderId="12" applyAlignment="1" pivotButton="0" quotePrefix="0" xfId="0">
      <alignment horizontal="right" vertical="center"/>
    </xf>
    <xf numFmtId="168" fontId="8" fillId="0" borderId="12" applyAlignment="1" pivotButton="0" quotePrefix="0" xfId="0">
      <alignment horizontal="right" vertical="center"/>
    </xf>
    <xf numFmtId="168" fontId="8" fillId="0" borderId="13" applyAlignment="1" pivotButton="0" quotePrefix="0" xfId="0">
      <alignment horizontal="right" vertical="center"/>
    </xf>
    <xf numFmtId="1" fontId="2" fillId="2" borderId="5" applyAlignment="1" pivotButton="0" quotePrefix="0" xfId="0">
      <alignment horizontal="center" vertical="center"/>
    </xf>
    <xf numFmtId="166" fontId="2" fillId="2" borderId="5" applyAlignment="1" pivotButton="0" quotePrefix="0" xfId="0">
      <alignment horizontal="center" vertical="center"/>
    </xf>
    <xf numFmtId="165" fontId="2" fillId="2" borderId="5" applyAlignment="1" pivotButton="0" quotePrefix="0" xfId="0">
      <alignment horizontal="left" vertical="center"/>
    </xf>
    <xf numFmtId="167" fontId="2" fillId="2" borderId="5" applyAlignment="1" pivotButton="0" quotePrefix="0" xfId="0">
      <alignment horizontal="center" vertical="center"/>
    </xf>
    <xf numFmtId="168" fontId="2" fillId="2" borderId="5" applyAlignment="1" pivotButton="0" quotePrefix="0" xfId="0">
      <alignment horizontal="center" vertical="center"/>
    </xf>
    <xf numFmtId="165" fontId="2" fillId="2" borderId="5" applyAlignment="1" pivotButton="0" quotePrefix="0" xfId="0">
      <alignment horizontal="center" vertical="center"/>
    </xf>
    <xf numFmtId="0" fontId="10" fillId="2" borderId="15" applyAlignment="1" pivotButton="0" quotePrefix="0" xfId="0">
      <alignment horizontal="center" vertical="center" wrapText="1"/>
    </xf>
    <xf numFmtId="0" fontId="19" fillId="3" borderId="15" applyAlignment="1" pivotButton="0" quotePrefix="0" xfId="0">
      <alignment horizontal="left" vertical="center" wrapText="1"/>
    </xf>
    <xf numFmtId="0" fontId="18" fillId="3" borderId="15" applyAlignment="1" pivotButton="0" quotePrefix="0" xfId="0">
      <alignment horizontal="center" vertical="center" wrapText="1"/>
    </xf>
    <xf numFmtId="0" fontId="13" fillId="0" borderId="0" applyAlignment="1" pivotButton="0" quotePrefix="0" xfId="0">
      <alignment horizontal="left" vertical="center"/>
    </xf>
    <xf numFmtId="0" fontId="14" fillId="0" borderId="0" applyAlignment="1" pivotButton="0" quotePrefix="0" xfId="0">
      <alignment wrapText="1"/>
    </xf>
    <xf numFmtId="0" fontId="15" fillId="0" borderId="0" applyAlignment="1" pivotButton="0" quotePrefix="0" xfId="0">
      <alignment vertical="top" wrapText="1"/>
    </xf>
    <xf numFmtId="0" fontId="10" fillId="2" borderId="14" applyAlignment="1" pivotButton="0" quotePrefix="0" xfId="0">
      <alignment horizontal="center" vertical="center" wrapText="1"/>
    </xf>
    <xf numFmtId="0" fontId="10" fillId="3" borderId="14" applyAlignment="1" pivotButton="0" quotePrefix="0" xfId="0">
      <alignment horizontal="left" vertical="top" wrapText="1"/>
    </xf>
    <xf numFmtId="0" fontId="16" fillId="3" borderId="14" applyAlignment="1" pivotButton="0" quotePrefix="0" xfId="0">
      <alignment horizontal="left" vertical="top" wrapText="1"/>
    </xf>
    <xf numFmtId="0" fontId="15" fillId="3" borderId="14" applyAlignment="1" pivotButton="0" quotePrefix="0" xfId="0">
      <alignment horizontal="center" vertical="top" wrapText="1"/>
    </xf>
    <xf numFmtId="0" fontId="15" fillId="3" borderId="14" applyAlignment="1" pivotButton="0" quotePrefix="0" xfId="0">
      <alignment horizontal="left" vertical="top" wrapText="1"/>
    </xf>
    <xf numFmtId="0" fontId="17" fillId="0" borderId="0" pivotButton="0" quotePrefix="0" xfId="0"/>
    <xf numFmtId="0" fontId="0" fillId="0" borderId="0" applyAlignment="1" pivotButton="0" quotePrefix="0" xfId="0">
      <alignment vertical="top" wrapText="1"/>
    </xf>
    <xf numFmtId="0" fontId="15" fillId="0" borderId="0" applyAlignment="1" pivotButton="0" quotePrefix="0" xfId="0">
      <alignment wrapText="1"/>
    </xf>
    <xf numFmtId="0" fontId="13" fillId="0" borderId="0" pivotButton="0" quotePrefix="0" xfId="0"/>
    <xf numFmtId="0" fontId="2" fillId="7" borderId="15" applyAlignment="1" pivotButton="0" quotePrefix="0" xfId="0">
      <alignment horizontal="left" vertical="center"/>
    </xf>
    <xf numFmtId="0" fontId="0" fillId="7" borderId="15" pivotButton="0" quotePrefix="0" xfId="0"/>
    <xf numFmtId="0" fontId="10" fillId="0" borderId="0" pivotButton="0" quotePrefix="0" xfId="0"/>
    <xf numFmtId="0" fontId="10" fillId="2" borderId="15" applyAlignment="1" pivotButton="0" quotePrefix="0" xfId="0">
      <alignment horizontal="left" vertical="center" wrapText="1"/>
    </xf>
    <xf numFmtId="0" fontId="10" fillId="3" borderId="15" applyAlignment="1" pivotButton="0" quotePrefix="0" xfId="0">
      <alignment horizontal="left" vertical="top" wrapText="1"/>
    </xf>
    <xf numFmtId="0" fontId="15" fillId="3" borderId="15" applyAlignment="1" pivotButton="0" quotePrefix="0" xfId="0">
      <alignment horizontal="left" vertical="top" wrapText="1"/>
    </xf>
    <xf numFmtId="0" fontId="15" fillId="3" borderId="15" applyAlignment="1" pivotButton="0" quotePrefix="0" xfId="0">
      <alignment horizontal="center" vertical="top" wrapText="1"/>
    </xf>
    <xf numFmtId="0" fontId="15" fillId="6" borderId="15" applyAlignment="1" pivotButton="0" quotePrefix="0" xfId="0">
      <alignment horizontal="left" vertical="top" wrapText="1"/>
    </xf>
    <xf numFmtId="0" fontId="10" fillId="2" borderId="15" pivotButton="0" quotePrefix="0" xfId="0"/>
    <xf numFmtId="0" fontId="0" fillId="0" borderId="0" applyAlignment="1" pivotButton="0" quotePrefix="0" xfId="0">
      <alignment wrapText="1"/>
    </xf>
    <xf numFmtId="0" fontId="15" fillId="0" borderId="0" pivotButton="0" quotePrefix="0" xfId="0"/>
    <xf numFmtId="0" fontId="16" fillId="3" borderId="15" applyAlignment="1" pivotButton="0" quotePrefix="0" xfId="0">
      <alignment horizontal="left" vertical="top" wrapText="1"/>
    </xf>
    <xf numFmtId="0" fontId="15" fillId="3" borderId="15" applyAlignment="1" pivotButton="0" quotePrefix="0" xfId="0">
      <alignment vertical="top" wrapText="1"/>
    </xf>
  </cellXfs>
  <cellStyles count="1">
    <cellStyle name="Normal" xfId="0" builtinId="0" hidden="0"/>
  </cellStyles>
  <dxfs count="4">
    <dxf>
      <fill>
        <patternFill patternType="solid">
          <fgColor rgb="00E2F0D9"/>
        </patternFill>
      </fill>
    </dxf>
    <dxf>
      <fill>
        <patternFill patternType="solid">
          <fgColor rgb="00F8D7DA"/>
        </patternFill>
      </fill>
    </dxf>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styles" Target="styles.xml" Id="rId21"/><Relationship Type="http://schemas.openxmlformats.org/officeDocument/2006/relationships/theme" Target="theme/theme1.xml" Id="rId22"/></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Free float (pre vs post) - Base</a:t>
            </a:r>
          </a:p>
        </rich>
      </tx>
    </title>
    <plotArea>
      <barChart>
        <barDir val="col"/>
        <grouping val="clustered"/>
        <ser>
          <idx val="0"/>
          <order val="0"/>
          <tx>
            <strRef>
              <f>'00_DASHBOARD'!C36</f>
            </strRef>
          </tx>
          <spPr>
            <a:ln xmlns:a="http://schemas.openxmlformats.org/drawingml/2006/main">
              <a:prstDash val="solid"/>
            </a:ln>
          </spPr>
          <cat>
            <numRef>
              <f>'00_DASHBOARD'!$B$37:$B$38</f>
            </numRef>
          </cat>
          <val>
            <numRef>
              <f>'00_DASHBOARD'!$C$37:$C$38</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a:t>
                </a:r>
              </a:p>
            </rich>
          </tx>
        </title>
        <majorTickMark val="none"/>
        <minorTickMark val="none"/>
        <crossAx val="10"/>
      </valAx>
    </plotArea>
    <legend>
      <legendPos val="r"/>
    </legend>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Issuer proceeds waterfall - Base</a:t>
            </a:r>
          </a:p>
        </rich>
      </tx>
    </title>
    <plotArea>
      <barChart>
        <barDir val="col"/>
        <grouping val="clustered"/>
        <ser>
          <idx val="0"/>
          <order val="0"/>
          <tx>
            <strRef>
              <f>'00_DASHBOARD'!C40</f>
            </strRef>
          </tx>
          <spPr>
            <a:ln xmlns:a="http://schemas.openxmlformats.org/drawingml/2006/main">
              <a:prstDash val="solid"/>
            </a:ln>
          </spPr>
          <cat>
            <numRef>
              <f>'00_DASHBOARD'!$B$41:$B$43</f>
            </numRef>
          </cat>
          <val>
            <numRef>
              <f>'00_DASHBOARD'!$C$41:$C$43</f>
            </numRef>
          </val>
        </ser>
        <dLbls>
          <showVal val="1"/>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DKKm</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4</col>
      <colOff>0</colOff>
      <row>35</row>
      <rowOff>0</rowOff>
    </from>
    <ext cx="540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4</col>
      <colOff>0</colOff>
      <row>39</row>
      <rowOff>0</rowOff>
    </from>
    <ext cx="5400000" cy="27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 Type="http://schemas.openxmlformats.org/officeDocument/2006/relationships/hyperlink" Target="#82_ECM_LEARN_INTERPRETATION!B7" TargetMode="External" Id="rId6"/><Relationship Type="http://schemas.openxmlformats.org/officeDocument/2006/relationships/hyperlink" Target="#82_ECM_LEARN_INTERPRETATION!B8" TargetMode="External" Id="rId7"/><Relationship Type="http://schemas.openxmlformats.org/officeDocument/2006/relationships/hyperlink" Target="#82_ECM_LEARN_INTERPRETATION!B9" TargetMode="External" Id="rId8"/><Relationship Type="http://schemas.openxmlformats.org/officeDocument/2006/relationships/hyperlink" Target="#82_ECM_LEARN_INTERPRETATION!B10" TargetMode="External" Id="rId9"/><Relationship Type="http://schemas.openxmlformats.org/officeDocument/2006/relationships/hyperlink" Target="#82_ECM_LEARN_INTERPRETATION!B11" TargetMode="External" Id="rId10"/><Relationship Type="http://schemas.openxmlformats.org/officeDocument/2006/relationships/hyperlink" Target="#82_ECM_LEARN_INTERPRETATION!B12" TargetMode="External" Id="rId11"/><Relationship Type="http://schemas.openxmlformats.org/officeDocument/2006/relationships/hyperlink" Target="#82_ECM_LEARN_INTERPRETATION!B13" TargetMode="External" Id="rId12"/><Relationship Type="http://schemas.openxmlformats.org/officeDocument/2006/relationships/hyperlink" Target="#82_ECM_LEARN_INTERPRETATION!B14" TargetMode="External" Id="rId13"/><Relationship Type="http://schemas.openxmlformats.org/officeDocument/2006/relationships/hyperlink" Target="#82_ECM_LEARN_INTERPRETATION!B15" TargetMode="External" Id="rId14"/><Relationship Type="http://schemas.openxmlformats.org/officeDocument/2006/relationships/hyperlink" Target="#82_ECM_LEARN_INTERPRETATION!B16" TargetMode="External" Id="rId15"/><Relationship Type="http://schemas.openxmlformats.org/officeDocument/2006/relationships/hyperlink" Target="#82_ECM_LEARN_INTERPRETATION!B17" TargetMode="External" Id="rId16"/><Relationship Type="http://schemas.openxmlformats.org/officeDocument/2006/relationships/hyperlink" Target="#82_ECM_LEARN_INTERPRETATION!B18" TargetMode="External" Id="rId17"/><Relationship Type="http://schemas.openxmlformats.org/officeDocument/2006/relationships/hyperlink" Target="#85_ECM_LEARN_MISTAKES!B20" TargetMode="External" Id="rId18"/><Relationship Type="http://schemas.openxmlformats.org/officeDocument/2006/relationships/drawing" Target="/xl/drawings/drawing1.xml" Id="rId19"/></Relationships>
</file>

<file path=xl/worksheets/_rels/sheet2.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_rels/sheet3.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_rels/sheet4.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_rels/sheet5.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_rels/sheet6.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_rels/sheet7.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_rels/sheet8.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_rels/sheet9.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_rels/sheet10.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_rels/sheet11.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_rels/sheet12.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 Type="http://schemas.openxmlformats.org/officeDocument/2006/relationships/hyperlink" Target="#80_ECM_LEARN_MAP!A1" TargetMode="External" Id="rId6"/><Relationship Type="http://schemas.openxmlformats.org/officeDocument/2006/relationships/hyperlink" Target="#01_CONTROL!E8" TargetMode="External" Id="rId7"/><Relationship Type="http://schemas.openxmlformats.org/officeDocument/2006/relationships/hyperlink" Target="#01_CONTROL!E10" TargetMode="External" Id="rId8"/><Relationship Type="http://schemas.openxmlformats.org/officeDocument/2006/relationships/hyperlink" Target="#03_MARKET_DATA!E7" TargetMode="External" Id="rId9"/><Relationship Type="http://schemas.openxmlformats.org/officeDocument/2006/relationships/hyperlink" Target="#04_OFFER_SETUP!F8" TargetMode="External" Id="rId10"/><Relationship Type="http://schemas.openxmlformats.org/officeDocument/2006/relationships/hyperlink" Target="#04_OFFER_SETUP!F9" TargetMode="External" Id="rId11"/><Relationship Type="http://schemas.openxmlformats.org/officeDocument/2006/relationships/hyperlink" Target="#01_CONTROL!E13" TargetMode="External" Id="rId12"/><Relationship Type="http://schemas.openxmlformats.org/officeDocument/2006/relationships/hyperlink" Target="#01_CONTROL!F30" TargetMode="External" Id="rId13"/><Relationship Type="http://schemas.openxmlformats.org/officeDocument/2006/relationships/hyperlink" Target="#01_CONTROL!F33" TargetMode="External" Id="rId14"/><Relationship Type="http://schemas.openxmlformats.org/officeDocument/2006/relationships/hyperlink" Target="#04_OFFER_SETUP!F15" TargetMode="External" Id="rId15"/><Relationship Type="http://schemas.openxmlformats.org/officeDocument/2006/relationships/hyperlink" Target="#07_PROCEEDS_AND_FEES!F10" TargetMode="External" Id="rId16"/><Relationship Type="http://schemas.openxmlformats.org/officeDocument/2006/relationships/hyperlink" Target="#07_PROCEEDS_AND_FEES!F15" TargetMode="External" Id="rId17"/><Relationship Type="http://schemas.openxmlformats.org/officeDocument/2006/relationships/hyperlink" Target="#07_PROCEEDS_AND_FEES!F16" TargetMode="External" Id="rId18"/><Relationship Type="http://schemas.openxmlformats.org/officeDocument/2006/relationships/hyperlink" Target="#06_CAP_TABLE_OWNERSHIP!F13" TargetMode="External" Id="rId19"/><Relationship Type="http://schemas.openxmlformats.org/officeDocument/2006/relationships/hyperlink" Target="#06_CAP_TABLE_OWNERSHIP!F14" TargetMode="External" Id="rId20"/><Relationship Type="http://schemas.openxmlformats.org/officeDocument/2006/relationships/hyperlink" Target="#06_CAP_TABLE_OWNERSHIP!B19" TargetMode="External" Id="rId21"/><Relationship Type="http://schemas.openxmlformats.org/officeDocument/2006/relationships/hyperlink" Target="#06_CAP_TABLE_OWNERSHIP!E33" TargetMode="External" Id="rId22"/><Relationship Type="http://schemas.openxmlformats.org/officeDocument/2006/relationships/hyperlink" Target="#06_CAP_TABLE_OWNERSHIP!F34" TargetMode="External" Id="rId23"/><Relationship Type="http://schemas.openxmlformats.org/officeDocument/2006/relationships/hyperlink" Target="#09_FREE_FLOAT_TRADING_MET!E8" TargetMode="External" Id="rId24"/><Relationship Type="http://schemas.openxmlformats.org/officeDocument/2006/relationships/hyperlink" Target="#09_FREE_FLOAT_TRADING_MET!F9" TargetMode="External" Id="rId25"/><Relationship Type="http://schemas.openxmlformats.org/officeDocument/2006/relationships/hyperlink" Target="#05_RIGHTS_TERP_ENTITLE!F9" TargetMode="External" Id="rId26"/><Relationship Type="http://schemas.openxmlformats.org/officeDocument/2006/relationships/hyperlink" Target="#05_RIGHTS_TERP_ENTITLE!F12" TargetMode="External" Id="rId27"/><Relationship Type="http://schemas.openxmlformats.org/officeDocument/2006/relationships/hyperlink" Target="#05_RIGHTS_TERP_ENTITLE!F13" TargetMode="External" Id="rId28"/><Relationship Type="http://schemas.openxmlformats.org/officeDocument/2006/relationships/hyperlink" Target="#01_CONTROL!E18" TargetMode="External" Id="rId29"/><Relationship Type="http://schemas.openxmlformats.org/officeDocument/2006/relationships/hyperlink" Target="#05_RIGHTS_TERP_ENTITLE!F21" TargetMode="External" Id="rId30"/><Relationship Type="http://schemas.openxmlformats.org/officeDocument/2006/relationships/hyperlink" Target="#01_CONTROL!E16" TargetMode="External" Id="rId31"/><Relationship Type="http://schemas.openxmlformats.org/officeDocument/2006/relationships/hyperlink" Target="#01_CONTROL!E46" TargetMode="External" Id="rId32"/><Relationship Type="http://schemas.openxmlformats.org/officeDocument/2006/relationships/hyperlink" Target="#08_PRO_FORMA_BS_LEVERAGE!F25" TargetMode="External" Id="rId33"/><Relationship Type="http://schemas.openxmlformats.org/officeDocument/2006/relationships/hyperlink" Target="#08_PRO_FORMA_BS_LEVERAGE!F34" TargetMode="External" Id="rId34"/><Relationship Type="http://schemas.openxmlformats.org/officeDocument/2006/relationships/hyperlink" Target="#10_SENSITIVITIES!B7" TargetMode="External" Id="rId35"/><Relationship Type="http://schemas.openxmlformats.org/officeDocument/2006/relationships/hyperlink" Target="#80_ECM_LEARN_MAP!E46" TargetMode="External" Id="rId36"/><Relationship Type="http://schemas.openxmlformats.org/officeDocument/2006/relationships/hyperlink" Target="#05_RIGHTS_TERP_ENTITLE!F13" TargetMode="External" Id="rId37"/><Relationship Type="http://schemas.openxmlformats.org/officeDocument/2006/relationships/hyperlink" Target="#06_CAP_TABLE_OWNERSHIP!E20" TargetMode="External" Id="rId38"/><Relationship Type="http://schemas.openxmlformats.org/officeDocument/2006/relationships/hyperlink" Target="#80_ECM_LEARN_MAP!E46" TargetMode="External" Id="rId39"/></Relationships>
</file>

<file path=xl/worksheets/_rels/sheet13.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 Type="http://schemas.openxmlformats.org/officeDocument/2006/relationships/hyperlink" Target="#80_ECM_LEARN_MAP!A1" TargetMode="External" Id="rId6"/><Relationship Type="http://schemas.openxmlformats.org/officeDocument/2006/relationships/hyperlink" Target="#04_OFFER_SETUP!F9" TargetMode="External" Id="rId7"/><Relationship Type="http://schemas.openxmlformats.org/officeDocument/2006/relationships/hyperlink" Target="#04_OFFER_SETUP!F8" TargetMode="External" Id="rId8"/><Relationship Type="http://schemas.openxmlformats.org/officeDocument/2006/relationships/hyperlink" Target="#04_OFFER_SETUP!F15" TargetMode="External" Id="rId9"/><Relationship Type="http://schemas.openxmlformats.org/officeDocument/2006/relationships/hyperlink" Target="#07_PROCEEDS_AND_FEES!F10" TargetMode="External" Id="rId10"/><Relationship Type="http://schemas.openxmlformats.org/officeDocument/2006/relationships/hyperlink" Target="#07_PROCEEDS_AND_FEES!F15" TargetMode="External" Id="rId11"/><Relationship Type="http://schemas.openxmlformats.org/officeDocument/2006/relationships/hyperlink" Target="#07_PROCEEDS_AND_FEES!F16" TargetMode="External" Id="rId12"/><Relationship Type="http://schemas.openxmlformats.org/officeDocument/2006/relationships/hyperlink" Target="#06_CAP_TABLE_OWNERSHIP!F13" TargetMode="External" Id="rId13"/><Relationship Type="http://schemas.openxmlformats.org/officeDocument/2006/relationships/hyperlink" Target="#06_CAP_TABLE_OWNERSHIP!F14" TargetMode="External" Id="rId14"/><Relationship Type="http://schemas.openxmlformats.org/officeDocument/2006/relationships/hyperlink" Target="#06_CAP_TABLE_OWNERSHIP!H20" TargetMode="External" Id="rId15"/><Relationship Type="http://schemas.openxmlformats.org/officeDocument/2006/relationships/hyperlink" Target="#06_CAP_TABLE_OWNERSHIP!F34" TargetMode="External" Id="rId16"/><Relationship Type="http://schemas.openxmlformats.org/officeDocument/2006/relationships/hyperlink" Target="#09_FREE_FLOAT_TRADING_MET!E8" TargetMode="External" Id="rId17"/><Relationship Type="http://schemas.openxmlformats.org/officeDocument/2006/relationships/hyperlink" Target="#09_FREE_FLOAT_TRADING_MET!F9" TargetMode="External" Id="rId18"/><Relationship Type="http://schemas.openxmlformats.org/officeDocument/2006/relationships/hyperlink" Target="#05_RIGHTS_TERP_ENTITLE!F9" TargetMode="External" Id="rId19"/><Relationship Type="http://schemas.openxmlformats.org/officeDocument/2006/relationships/hyperlink" Target="#05_RIGHTS_TERP_ENTITLE!F12" TargetMode="External" Id="rId20"/><Relationship Type="http://schemas.openxmlformats.org/officeDocument/2006/relationships/hyperlink" Target="#05_RIGHTS_TERP_ENTITLE!F13" TargetMode="External" Id="rId21"/><Relationship Type="http://schemas.openxmlformats.org/officeDocument/2006/relationships/hyperlink" Target="#01_CONTROL!E19" TargetMode="External" Id="rId22"/><Relationship Type="http://schemas.openxmlformats.org/officeDocument/2006/relationships/hyperlink" Target="#05_RIGHTS_TERP_ENTITLE!F21" TargetMode="External" Id="rId23"/><Relationship Type="http://schemas.openxmlformats.org/officeDocument/2006/relationships/hyperlink" Target="#05_RIGHTS_TERP_ENTITLE!F22" TargetMode="External" Id="rId24"/><Relationship Type="http://schemas.openxmlformats.org/officeDocument/2006/relationships/hyperlink" Target="#05_RIGHTS_TERP_ENTITLE!F23" TargetMode="External" Id="rId25"/><Relationship Type="http://schemas.openxmlformats.org/officeDocument/2006/relationships/hyperlink" Target="#04_OFFER_SETUP!F14" TargetMode="External" Id="rId26"/><Relationship Type="http://schemas.openxmlformats.org/officeDocument/2006/relationships/hyperlink" Target="#07_PROCEEDS_AND_FEES!F11" TargetMode="External" Id="rId27"/><Relationship Type="http://schemas.openxmlformats.org/officeDocument/2006/relationships/hyperlink" Target="#07_PROCEEDS_AND_FEES!F12" TargetMode="External" Id="rId28"/><Relationship Type="http://schemas.openxmlformats.org/officeDocument/2006/relationships/hyperlink" Target="#07_PROCEEDS_AND_FEES!F14" TargetMode="External" Id="rId29"/><Relationship Type="http://schemas.openxmlformats.org/officeDocument/2006/relationships/hyperlink" Target="#06_CAP_TABLE_OWNERSHIP!F32" TargetMode="External" Id="rId30"/><Relationship Type="http://schemas.openxmlformats.org/officeDocument/2006/relationships/hyperlink" Target="#08_PRO_FORMA_BS_LEVERAGE!F17" TargetMode="External" Id="rId31"/><Relationship Type="http://schemas.openxmlformats.org/officeDocument/2006/relationships/hyperlink" Target="#08_PRO_FORMA_BS_LEVERAGE!F15" TargetMode="External" Id="rId32"/><Relationship Type="http://schemas.openxmlformats.org/officeDocument/2006/relationships/hyperlink" Target="#08_PRO_FORMA_BS_LEVERAGE!F25" TargetMode="External" Id="rId33"/><Relationship Type="http://schemas.openxmlformats.org/officeDocument/2006/relationships/hyperlink" Target="#08_PRO_FORMA_BS_LEVERAGE!F26" TargetMode="External" Id="rId34"/><Relationship Type="http://schemas.openxmlformats.org/officeDocument/2006/relationships/hyperlink" Target="#08_PRO_FORMA_BS_LEVERAGE!F27" TargetMode="External" Id="rId35"/><Relationship Type="http://schemas.openxmlformats.org/officeDocument/2006/relationships/hyperlink" Target="#08_PRO_FORMA_BS_LEVERAGE!F34" TargetMode="External" Id="rId36"/><Relationship Type="http://schemas.openxmlformats.org/officeDocument/2006/relationships/hyperlink" Target="#08_PRO_FORMA_BS_LEVERAGE!F35" TargetMode="External" Id="rId37"/><Relationship Type="http://schemas.openxmlformats.org/officeDocument/2006/relationships/hyperlink" Target="#05_RIGHTS_TERP_ENTITLE!F24" TargetMode="External" Id="rId38"/><Relationship Type="http://schemas.openxmlformats.org/officeDocument/2006/relationships/hyperlink" Target="#09_FREE_FLOAT_TRADING_MET!F13" TargetMode="External" Id="rId39"/><Relationship Type="http://schemas.openxmlformats.org/officeDocument/2006/relationships/hyperlink" Target="#09_FREE_FLOAT_TRADING_MET!F12" TargetMode="External" Id="rId40"/><Relationship Type="http://schemas.openxmlformats.org/officeDocument/2006/relationships/hyperlink" Target="#90_CHECKS!F15" TargetMode="External" Id="rId41"/></Relationships>
</file>

<file path=xl/worksheets/_rels/sheet14.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 Type="http://schemas.openxmlformats.org/officeDocument/2006/relationships/hyperlink" Target="#80_ECM_LEARN_MAP!A1" TargetMode="External" Id="rId6"/><Relationship Type="http://schemas.openxmlformats.org/officeDocument/2006/relationships/hyperlink" Target="#00_DASHBOARD!E8" TargetMode="External" Id="rId7"/><Relationship Type="http://schemas.openxmlformats.org/officeDocument/2006/relationships/hyperlink" Target="#00_DASHBOARD!E9" TargetMode="External" Id="rId8"/><Relationship Type="http://schemas.openxmlformats.org/officeDocument/2006/relationships/hyperlink" Target="#00_DASHBOARD!E10" TargetMode="External" Id="rId9"/><Relationship Type="http://schemas.openxmlformats.org/officeDocument/2006/relationships/hyperlink" Target="#00_DASHBOARD!E11" TargetMode="External" Id="rId10"/><Relationship Type="http://schemas.openxmlformats.org/officeDocument/2006/relationships/hyperlink" Target="#00_DASHBOARD!E16" TargetMode="External" Id="rId11"/><Relationship Type="http://schemas.openxmlformats.org/officeDocument/2006/relationships/hyperlink" Target="#00_DASHBOARD!E17" TargetMode="External" Id="rId12"/><Relationship Type="http://schemas.openxmlformats.org/officeDocument/2006/relationships/hyperlink" Target="#00_DASHBOARD!E18" TargetMode="External" Id="rId13"/><Relationship Type="http://schemas.openxmlformats.org/officeDocument/2006/relationships/hyperlink" Target="#00_DASHBOARD!E19" TargetMode="External" Id="rId14"/><Relationship Type="http://schemas.openxmlformats.org/officeDocument/2006/relationships/hyperlink" Target="#00_DASHBOARD!E20" TargetMode="External" Id="rId15"/><Relationship Type="http://schemas.openxmlformats.org/officeDocument/2006/relationships/hyperlink" Target="#00_DASHBOARD!E22" TargetMode="External" Id="rId16"/><Relationship Type="http://schemas.openxmlformats.org/officeDocument/2006/relationships/hyperlink" Target="#00_DASHBOARD!E25" TargetMode="External" Id="rId17"/><Relationship Type="http://schemas.openxmlformats.org/officeDocument/2006/relationships/hyperlink" Target="#00_DASHBOARD!E26" TargetMode="External" Id="rId18"/></Relationships>
</file>

<file path=xl/worksheets/_rels/sheet15.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 Type="http://schemas.openxmlformats.org/officeDocument/2006/relationships/hyperlink" Target="#80_ECM_LEARN_MAP!A1" TargetMode="External" Id="rId6"/><Relationship Type="http://schemas.openxmlformats.org/officeDocument/2006/relationships/hyperlink" Target="#04_OFFER_SETUP!E9" TargetMode="External" Id="rId7"/><Relationship Type="http://schemas.openxmlformats.org/officeDocument/2006/relationships/hyperlink" Target="#04_OFFER_SETUP!E8" TargetMode="External" Id="rId8"/><Relationship Type="http://schemas.openxmlformats.org/officeDocument/2006/relationships/hyperlink" Target="#01_CONTROL!E30" TargetMode="External" Id="rId9"/><Relationship Type="http://schemas.openxmlformats.org/officeDocument/2006/relationships/hyperlink" Target="#01_CONTROL!E37" TargetMode="External" Id="rId10"/><Relationship Type="http://schemas.openxmlformats.org/officeDocument/2006/relationships/hyperlink" Target="#01_CONTROL!E19" TargetMode="External" Id="rId11"/><Relationship Type="http://schemas.openxmlformats.org/officeDocument/2006/relationships/hyperlink" Target="#01_CONTROL!E46" TargetMode="External" Id="rId12"/><Relationship Type="http://schemas.openxmlformats.org/officeDocument/2006/relationships/hyperlink" Target="#07_PROCEEDS_AND_FEES!E16" TargetMode="External" Id="rId13"/><Relationship Type="http://schemas.openxmlformats.org/officeDocument/2006/relationships/hyperlink" Target="#06_CAP_TABLE_OWNERSHIP!E14" TargetMode="External" Id="rId14"/><Relationship Type="http://schemas.openxmlformats.org/officeDocument/2006/relationships/hyperlink" Target="#06_CAP_TABLE_OWNERSHIP!E34" TargetMode="External" Id="rId15"/><Relationship Type="http://schemas.openxmlformats.org/officeDocument/2006/relationships/hyperlink" Target="#08_PRO_FORMA_BS_LEVERAGE!E27" TargetMode="External" Id="rId16"/><Relationship Type="http://schemas.openxmlformats.org/officeDocument/2006/relationships/hyperlink" Target="#08_PRO_FORMA_BS_LEVERAGE!E34" TargetMode="External" Id="rId17"/><Relationship Type="http://schemas.openxmlformats.org/officeDocument/2006/relationships/hyperlink" Target="#90_CHECKS!E7" TargetMode="External" Id="rId18"/></Relationships>
</file>

<file path=xl/worksheets/_rels/sheet16.xml.rels><Relationships xmlns="http://schemas.openxmlformats.org/package/2006/relationships"><Relationship Type="http://schemas.openxmlformats.org/officeDocument/2006/relationships/hyperlink" Target="#04_OFFER_SETUP!F9" TargetMode="External" Id="rId1"/><Relationship Type="http://schemas.openxmlformats.org/officeDocument/2006/relationships/hyperlink" Target="#04_OFFER_SETUP!F8" TargetMode="External" Id="rId2"/><Relationship Type="http://schemas.openxmlformats.org/officeDocument/2006/relationships/hyperlink" Target="#07_PROCEEDS_AND_FEES!F16" TargetMode="External" Id="rId3"/><Relationship Type="http://schemas.openxmlformats.org/officeDocument/2006/relationships/hyperlink" Target="#06_CAP_TABLE_OWNERSHIP!F14" TargetMode="External" Id="rId4"/><Relationship Type="http://schemas.openxmlformats.org/officeDocument/2006/relationships/hyperlink" Target="#06_CAP_TABLE_OWNERSHIP!F34" TargetMode="External" Id="rId5"/><Relationship Type="http://schemas.openxmlformats.org/officeDocument/2006/relationships/hyperlink" Target="#08_PRO_FORMA_BS_LEVERAGE!F34" TargetMode="External" Id="rId6"/><Relationship Type="http://schemas.openxmlformats.org/officeDocument/2006/relationships/hyperlink" Target="#05_RIGHTS_TERP_ENTITLE!F12" TargetMode="External" Id="rId7"/><Relationship Type="http://schemas.openxmlformats.org/officeDocument/2006/relationships/hyperlink" Target="#01_CONTROL!E19" TargetMode="External" Id="rId8"/><Relationship Type="http://schemas.openxmlformats.org/officeDocument/2006/relationships/hyperlink" Target="#05_RIGHTS_TERP_ENTITLE!F9" TargetMode="External" Id="rId9"/><Relationship Type="http://schemas.openxmlformats.org/officeDocument/2006/relationships/hyperlink" Target="#05_RIGHTS_TERP_ENTITLE!F21" TargetMode="External" Id="rId10"/><Relationship Type="http://schemas.openxmlformats.org/officeDocument/2006/relationships/hyperlink" Target="#05_RIGHTS_TERP_ENTITLE!F22" TargetMode="External" Id="rId11"/><Relationship Type="http://schemas.openxmlformats.org/officeDocument/2006/relationships/hyperlink" Target="#05_RIGHTS_TERP_ENTITLE!F23" TargetMode="External" Id="rId12"/><Relationship Type="http://schemas.openxmlformats.org/officeDocument/2006/relationships/hyperlink" Target="#01_CONTROL!E8" TargetMode="External" Id="rId13"/><Relationship Type="http://schemas.openxmlformats.org/officeDocument/2006/relationships/hyperlink" Target="#90_CHECKS!F7" TargetMode="External" Id="rId14"/><Relationship Type="http://schemas.openxmlformats.org/officeDocument/2006/relationships/hyperlink" Target="#02_ISSUER_INPUTS!E29" TargetMode="External" Id="rId15"/></Relationships>
</file>

<file path=xl/worksheets/_rels/sheet17.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 Type="http://schemas.openxmlformats.org/officeDocument/2006/relationships/hyperlink" Target="#80_ECM_LEARN_MAP!A1" TargetMode="External" Id="rId6"/></Relationships>
</file>

<file path=xl/worksheets/_rels/sheet18.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 Type="http://schemas.openxmlformats.org/officeDocument/2006/relationships/hyperlink" Target="#80_ECM_LEARN_MAP!A1" TargetMode="External" Id="rId6"/><Relationship Type="http://schemas.openxmlformats.org/officeDocument/2006/relationships/hyperlink" Target="#03_MARKET_DATA!E7" TargetMode="External" Id="rId7"/><Relationship Type="http://schemas.openxmlformats.org/officeDocument/2006/relationships/hyperlink" Target="#04_OFFER_SETUP!F8 / F9" TargetMode="External" Id="rId8"/><Relationship Type="http://schemas.openxmlformats.org/officeDocument/2006/relationships/hyperlink" Target="#05_RIGHTS_TERP_ENTITLE!F8 / F9" TargetMode="External" Id="rId9"/><Relationship Type="http://schemas.openxmlformats.org/officeDocument/2006/relationships/hyperlink" Target="#05_RIGHTS_TERP_ENTITLE!F12" TargetMode="External" Id="rId10"/><Relationship Type="http://schemas.openxmlformats.org/officeDocument/2006/relationships/hyperlink" Target="#05_RIGHTS_TERP_ENTITLE!F13" TargetMode="External" Id="rId11"/><Relationship Type="http://schemas.openxmlformats.org/officeDocument/2006/relationships/hyperlink" Target="#01_CONTROL!E19 / 05_RIGHTS_TERP_ENTITLE" TargetMode="External" Id="rId12"/><Relationship Type="http://schemas.openxmlformats.org/officeDocument/2006/relationships/hyperlink" Target="#05_RIGHTS_TERP_ENTITLE!F22 / F23" TargetMode="External" Id="rId13"/><Relationship Type="http://schemas.openxmlformats.org/officeDocument/2006/relationships/hyperlink" Target="#07_PROCEEDS_AND_FEES!F16" TargetMode="External" Id="rId14"/><Relationship Type="http://schemas.openxmlformats.org/officeDocument/2006/relationships/hyperlink" Target="#08_PRO_FORMA_BS_LEVERAGE!F14" TargetMode="External" Id="rId15"/><Relationship Type="http://schemas.openxmlformats.org/officeDocument/2006/relationships/hyperlink" Target="#08_PRO_FORMA_BS_LEVERAGE!F20" TargetMode="External" Id="rId16"/><Relationship Type="http://schemas.openxmlformats.org/officeDocument/2006/relationships/hyperlink" Target="#08_PRO_FORMA_BS_LEVERAGE!F27" TargetMode="External" Id="rId17"/><Relationship Type="http://schemas.openxmlformats.org/officeDocument/2006/relationships/hyperlink" Target="#08_PRO_FORMA_BS_LEVERAGE!F34" TargetMode="External" Id="rId18"/></Relationships>
</file>

<file path=xl/worksheets/_rels/sheet19.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_rels/sheet20.xml.rels><Relationships xmlns="http://schemas.openxmlformats.org/package/2006/relationships"><Relationship Type="http://schemas.openxmlformats.org/officeDocument/2006/relationships/hyperlink" Target="#'00_DASHBOARD'!A1" TargetMode="External" Id="rId1"/><Relationship Type="http://schemas.openxmlformats.org/officeDocument/2006/relationships/hyperlink" Target="#'01_CONTROL'!A1" TargetMode="External" Id="rId2"/><Relationship Type="http://schemas.openxmlformats.org/officeDocument/2006/relationships/hyperlink" Target="#'02_ISSUER_INPUTS'!A1" TargetMode="External" Id="rId3"/><Relationship Type="http://schemas.openxmlformats.org/officeDocument/2006/relationships/hyperlink" Target="#'04_OFFER_SETUP'!A1" TargetMode="External" Id="rId4"/><Relationship Type="http://schemas.openxmlformats.org/officeDocument/2006/relationships/hyperlink" Target="#'90_CHECKS'!A1" TargetMode="External" Id="rId5"/></Relationships>
</file>

<file path=xl/worksheets/sheet1.xml><?xml version="1.0" encoding="utf-8"?>
<worksheet xmlns="http://schemas.openxmlformats.org/spreadsheetml/2006/main">
  <sheetPr>
    <outlinePr summaryBelow="1" summaryRight="1"/>
    <pageSetUpPr/>
  </sheetPr>
  <dimension ref="A1:O43"/>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26" customWidth="1" min="12" max="12"/>
    <col width="14"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ECM Transaction Dashboard</t>
        </is>
      </c>
      <c r="C2" s="80" t="n"/>
      <c r="D2" s="80" t="n"/>
      <c r="E2" s="80" t="n"/>
      <c r="F2" s="80" t="n"/>
      <c r="G2" s="80" t="n"/>
      <c r="H2" s="81" t="inlineStr">
        <is>
          <t>CHECKS:</t>
        </is>
      </c>
      <c r="I2" s="82">
        <f>'90_CHECKS'!$E$4</f>
        <v/>
      </c>
      <c r="J2" s="4" t="inlineStr">
        <is>
          <t>Failed:</t>
        </is>
      </c>
      <c r="K2" s="5">
        <f>'90_CHECKS'!$E$5</f>
        <v/>
      </c>
    </row>
    <row r="3" ht="15" customHeight="1"/>
    <row r="4" ht="15" customHeight="1"/>
    <row r="5" ht="15" customHeight="1"/>
    <row r="6" ht="18" customHeight="1">
      <c r="B6" s="83" t="inlineStr">
        <is>
          <t>KEY OUTPUTS (DIRECT LINKS ONLY)</t>
        </is>
      </c>
      <c r="C6" s="83" t="n"/>
      <c r="D6" s="83" t="n"/>
      <c r="E6" s="84" t="n"/>
      <c r="F6" s="84" t="n"/>
      <c r="G6" s="84" t="n"/>
      <c r="H6" s="84" t="n"/>
      <c r="I6" s="84" t="n"/>
      <c r="J6" s="84" t="n"/>
      <c r="K6" s="84" t="n"/>
      <c r="L6" s="117" t="inlineStr">
        <is>
          <t>Learn cue</t>
        </is>
      </c>
      <c r="M6" s="117" t="inlineStr">
        <is>
          <t>Go to learn</t>
        </is>
      </c>
      <c r="N6" s="84" t="n"/>
      <c r="O6" s="84" t="n"/>
    </row>
    <row r="7" ht="18" customHeight="1">
      <c r="B7" s="85" t="n"/>
      <c r="C7" s="86" t="n"/>
      <c r="D7" s="87" t="n"/>
      <c r="E7" s="87" t="inlineStr">
        <is>
          <t>LOW</t>
        </is>
      </c>
      <c r="F7" s="87" t="inlineStr">
        <is>
          <t>BASE</t>
        </is>
      </c>
      <c r="G7" s="88" t="inlineStr">
        <is>
          <t>HIGH</t>
        </is>
      </c>
      <c r="H7" s="84" t="n"/>
      <c r="I7" s="84" t="n"/>
      <c r="J7" s="84" t="n"/>
      <c r="K7" s="84" t="n"/>
      <c r="L7" s="84" t="n"/>
      <c r="M7" s="84" t="n"/>
      <c r="N7" s="84" t="n"/>
      <c r="O7" s="84" t="n"/>
    </row>
    <row r="8" ht="16" customHeight="1">
      <c r="B8" s="89" t="inlineStr">
        <is>
          <t>Offer type</t>
        </is>
      </c>
      <c r="C8" s="90" t="inlineStr"/>
      <c r="D8" s="91" t="n"/>
      <c r="E8" s="92">
        <f>'01_CONTROL'!$E$8</f>
        <v/>
      </c>
      <c r="F8" s="92">
        <f>'01_CONTROL'!$E$8</f>
        <v/>
      </c>
      <c r="G8" s="93">
        <f>'01_CONTROL'!$E$8</f>
        <v/>
      </c>
      <c r="L8" s="118" t="inlineStr">
        <is>
          <t>Selected method drives speed/fairness/certainty.</t>
        </is>
      </c>
      <c r="M8" s="119" t="inlineStr">
        <is>
          <t>Learn</t>
        </is>
      </c>
    </row>
    <row r="9" ht="16" customHeight="1">
      <c r="B9" s="94" t="n"/>
      <c r="C9" s="95" t="n"/>
      <c r="D9" s="91" t="n"/>
      <c r="E9" s="91" t="n"/>
      <c r="F9" s="91" t="n"/>
      <c r="G9" s="96" t="n"/>
      <c r="L9" s="118" t="inlineStr">
        <is>
          <t>Anchor for discount, TERP, and optics. Check basis/date.</t>
        </is>
      </c>
      <c r="M9" s="119" t="inlineStr">
        <is>
          <t>Learn</t>
        </is>
      </c>
    </row>
    <row r="10" ht="16" customHeight="1">
      <c r="B10" s="89" t="inlineStr">
        <is>
          <t>Issue price</t>
        </is>
      </c>
      <c r="C10" s="97" t="inlineStr">
        <is>
          <t>DKK/sh</t>
        </is>
      </c>
      <c r="D10" s="91" t="n"/>
      <c r="E10" s="98">
        <f>'04_OFFER_SETUP'!E8</f>
        <v/>
      </c>
      <c r="F10" s="98">
        <f>'04_OFFER_SETUP'!F8</f>
        <v/>
      </c>
      <c r="G10" s="99">
        <f>'04_OFFER_SETUP'!G8</f>
        <v/>
      </c>
      <c r="L10" s="118" t="inlineStr">
        <is>
          <t>Offer price: lower Ps improves take-up but worsens dilution.</t>
        </is>
      </c>
      <c r="M10" s="119" t="inlineStr">
        <is>
          <t>Learn</t>
        </is>
      </c>
    </row>
    <row r="11" ht="16" customHeight="1">
      <c r="B11" s="94" t="n"/>
      <c r="C11" s="95" t="n"/>
      <c r="D11" s="91" t="n"/>
      <c r="E11" s="91" t="n"/>
      <c r="F11" s="91" t="n"/>
      <c r="G11" s="96" t="n"/>
      <c r="L11" s="118" t="inlineStr">
        <is>
          <t>Discount is meaningless without basis (P0 definition).</t>
        </is>
      </c>
      <c r="M11" s="119" t="inlineStr">
        <is>
          <t>Learn</t>
        </is>
      </c>
    </row>
    <row r="12" ht="16" customHeight="1">
      <c r="B12" s="89" t="inlineStr">
        <is>
          <t>Discount</t>
        </is>
      </c>
      <c r="C12" s="97" t="inlineStr">
        <is>
          <t>%</t>
        </is>
      </c>
      <c r="D12" s="91" t="n"/>
      <c r="E12" s="100">
        <f>'04_OFFER_SETUP'!E9</f>
        <v/>
      </c>
      <c r="F12" s="100">
        <f>'04_OFFER_SETUP'!F9</f>
        <v/>
      </c>
      <c r="G12" s="101">
        <f>'04_OFFER_SETUP'!G9</f>
        <v/>
      </c>
    </row>
    <row r="13" ht="16" customHeight="1">
      <c r="B13" s="94" t="n"/>
      <c r="C13" s="95" t="n"/>
      <c r="D13" s="91" t="n"/>
      <c r="E13" s="91" t="n"/>
      <c r="F13" s="91" t="n"/>
      <c r="G13" s="96" t="n"/>
    </row>
    <row r="14" ht="16" customHeight="1">
      <c r="B14" s="89" t="inlineStr">
        <is>
          <t>New shares issued</t>
        </is>
      </c>
      <c r="C14" s="97" t="inlineStr">
        <is>
          <t>m sh</t>
        </is>
      </c>
      <c r="D14" s="91" t="n"/>
      <c r="E14" s="102">
        <f>'06_CAP_TABLE_OWNERSHIP'!E12</f>
        <v/>
      </c>
      <c r="F14" s="102">
        <f>'06_CAP_TABLE_OWNERSHIP'!F12</f>
        <v/>
      </c>
      <c r="G14" s="103">
        <f>'06_CAP_TABLE_OWNERSHIP'!G12</f>
        <v/>
      </c>
    </row>
    <row r="15" ht="16" customHeight="1">
      <c r="B15" s="94" t="n"/>
      <c r="C15" s="95" t="n"/>
      <c r="D15" s="91" t="n"/>
      <c r="E15" s="91" t="n"/>
      <c r="F15" s="91" t="n"/>
      <c r="G15" s="96" t="n"/>
    </row>
    <row r="16" ht="16" customHeight="1">
      <c r="B16" s="89" t="inlineStr">
        <is>
          <t>Gross proceeds (total)</t>
        </is>
      </c>
      <c r="C16" s="97" t="inlineStr">
        <is>
          <t>DKKm</t>
        </is>
      </c>
      <c r="D16" s="91" t="n"/>
      <c r="E16" s="104">
        <f>'07_PROCEEDS_AND_FEES'!E10</f>
        <v/>
      </c>
      <c r="F16" s="104">
        <f>'07_PROCEEDS_AND_FEES'!F10</f>
        <v/>
      </c>
      <c r="G16" s="105">
        <f>'07_PROCEEDS_AND_FEES'!G10</f>
        <v/>
      </c>
      <c r="L16" s="118" t="inlineStr">
        <is>
          <t>Headline size. Separate primary vs secondary in proceeds.</t>
        </is>
      </c>
      <c r="M16" s="119" t="inlineStr">
        <is>
          <t>Learn</t>
        </is>
      </c>
    </row>
    <row r="17" ht="16" customHeight="1">
      <c r="B17" s="94" t="n"/>
      <c r="C17" s="95" t="n"/>
      <c r="D17" s="91" t="n"/>
      <c r="E17" s="91" t="n"/>
      <c r="F17" s="91" t="n"/>
      <c r="G17" s="96" t="n"/>
      <c r="L17" s="118" t="inlineStr">
        <is>
          <t>Fees should reduce net proceeds (watch sign conventions).</t>
        </is>
      </c>
      <c r="M17" s="119" t="inlineStr">
        <is>
          <t>Learn</t>
        </is>
      </c>
    </row>
    <row r="18" ht="16" customHeight="1">
      <c r="B18" s="89" t="inlineStr">
        <is>
          <t>Net proceeds (issuer)</t>
        </is>
      </c>
      <c r="C18" s="97" t="inlineStr">
        <is>
          <t>DKKm</t>
        </is>
      </c>
      <c r="D18" s="91" t="n"/>
      <c r="E18" s="104">
        <f>'07_PROCEEDS_AND_FEES'!E16</f>
        <v/>
      </c>
      <c r="F18" s="104">
        <f>'07_PROCEEDS_AND_FEES'!F16</f>
        <v/>
      </c>
      <c r="G18" s="105">
        <f>'07_PROCEEDS_AND_FEES'!G16</f>
        <v/>
      </c>
      <c r="L18" s="118" t="inlineStr">
        <is>
          <t>This is what the issuer actually gets (cash bridge input).</t>
        </is>
      </c>
      <c r="M18" s="119" t="inlineStr">
        <is>
          <t>Learn</t>
        </is>
      </c>
    </row>
    <row r="19" ht="16" customHeight="1">
      <c r="B19" s="94" t="n"/>
      <c r="C19" s="95" t="n"/>
      <c r="D19" s="91" t="n"/>
      <c r="E19" s="91" t="n"/>
      <c r="F19" s="91" t="n"/>
      <c r="G19" s="96" t="n"/>
      <c r="L19" s="118" t="inlineStr">
        <is>
          <t>Share-count driver. Links to dilution and float mechanics.</t>
        </is>
      </c>
      <c r="M19" s="119" t="inlineStr">
        <is>
          <t>Learn</t>
        </is>
      </c>
    </row>
    <row r="20" ht="16" customHeight="1">
      <c r="B20" s="89" t="inlineStr">
        <is>
          <t>Dilution</t>
        </is>
      </c>
      <c r="C20" s="97" t="inlineStr">
        <is>
          <t>%</t>
        </is>
      </c>
      <c r="D20" s="91" t="n"/>
      <c r="E20" s="100">
        <f>'06_CAP_TABLE_OWNERSHIP'!E14</f>
        <v/>
      </c>
      <c r="F20" s="100">
        <f>'06_CAP_TABLE_OWNERSHIP'!F14</f>
        <v/>
      </c>
      <c r="G20" s="101">
        <f>'06_CAP_TABLE_OWNERSHIP'!G14</f>
        <v/>
      </c>
      <c r="L20" s="118" t="inlineStr">
        <is>
          <t>Mechanical dilution. Always show who is diluted.</t>
        </is>
      </c>
      <c r="M20" s="119" t="inlineStr">
        <is>
          <t>Learn</t>
        </is>
      </c>
    </row>
    <row r="21" ht="16" customHeight="1">
      <c r="B21" s="94" t="n"/>
      <c r="C21" s="95" t="n"/>
      <c r="D21" s="91" t="n"/>
      <c r="E21" s="91" t="n"/>
      <c r="F21" s="91" t="n"/>
      <c r="G21" s="96" t="n"/>
    </row>
    <row r="22" ht="16" customHeight="1">
      <c r="B22" s="89" t="inlineStr">
        <is>
          <t>Free float % post (base)</t>
        </is>
      </c>
      <c r="C22" s="97" t="inlineStr">
        <is>
          <t>%</t>
        </is>
      </c>
      <c r="D22" s="91" t="n"/>
      <c r="E22" s="100">
        <f>'06_CAP_TABLE_OWNERSHIP'!$E$34</f>
        <v/>
      </c>
      <c r="F22" s="100">
        <f>'06_CAP_TABLE_OWNERSHIP'!$F$34</f>
        <v/>
      </c>
      <c r="G22" s="101">
        <f>'06_CAP_TABLE_OWNERSHIP'!$G$34</f>
        <v/>
      </c>
      <c r="L22" s="118" t="inlineStr">
        <is>
          <t>Float matters for liquidity/index. Confirm holder tagging.</t>
        </is>
      </c>
      <c r="M22" s="119" t="inlineStr">
        <is>
          <t>Learn</t>
        </is>
      </c>
    </row>
    <row r="23" ht="16" customHeight="1">
      <c r="B23" s="94" t="n"/>
      <c r="C23" s="95" t="n"/>
      <c r="D23" s="91" t="n"/>
      <c r="E23" s="91" t="n"/>
      <c r="F23" s="91" t="n"/>
      <c r="G23" s="96" t="n"/>
    </row>
    <row r="24" ht="16" customHeight="1">
      <c r="B24" s="89" t="inlineStr">
        <is>
          <t>Net debt post (base)</t>
        </is>
      </c>
      <c r="C24" s="97" t="inlineStr">
        <is>
          <t>DKKm</t>
        </is>
      </c>
      <c r="D24" s="91" t="n"/>
      <c r="E24" s="104">
        <f>'08_PRO_FORMA_BS_LEVERAGE'!$E$27</f>
        <v/>
      </c>
      <c r="F24" s="104">
        <f>'08_PRO_FORMA_BS_LEVERAGE'!$F$27</f>
        <v/>
      </c>
      <c r="G24" s="105">
        <f>'08_PRO_FORMA_BS_LEVERAGE'!$G$27</f>
        <v/>
      </c>
    </row>
    <row r="25" ht="16" customHeight="1">
      <c r="B25" s="94" t="n"/>
      <c r="C25" s="95" t="n"/>
      <c r="D25" s="91" t="n"/>
      <c r="E25" s="91" t="n"/>
      <c r="F25" s="91" t="n"/>
      <c r="G25" s="96" t="n"/>
      <c r="L25" s="118" t="inlineStr">
        <is>
          <t>Net debt depends on proceeds split and definition.</t>
        </is>
      </c>
      <c r="M25" s="119" t="inlineStr">
        <is>
          <t>Learn</t>
        </is>
      </c>
    </row>
    <row r="26" ht="16" customHeight="1">
      <c r="B26" s="106" t="inlineStr">
        <is>
          <t>ND/EBITDA post (base)</t>
        </is>
      </c>
      <c r="C26" s="107" t="inlineStr">
        <is>
          <t>x</t>
        </is>
      </c>
      <c r="D26" s="108" t="n"/>
      <c r="E26" s="109">
        <f>'08_PRO_FORMA_BS_LEVERAGE'!$E$34</f>
        <v/>
      </c>
      <c r="F26" s="109">
        <f>'08_PRO_FORMA_BS_LEVERAGE'!$F$34</f>
        <v/>
      </c>
      <c r="G26" s="110">
        <f>'08_PRO_FORMA_BS_LEVERAGE'!$G$34</f>
        <v/>
      </c>
      <c r="L26" s="118" t="inlineStr">
        <is>
          <t>Leverage story: check EBITDA basis and currency.</t>
        </is>
      </c>
      <c r="M26" s="119" t="inlineStr">
        <is>
          <t>Learn</t>
        </is>
      </c>
    </row>
    <row r="27" ht="15" customHeight="1"/>
    <row r="28" ht="15" customHeight="1"/>
    <row r="29" ht="15" customHeight="1"/>
    <row r="30" ht="18" customHeight="1">
      <c r="B30" s="83" t="inlineStr">
        <is>
          <t>CHECKS STATUS</t>
        </is>
      </c>
      <c r="C30" s="83" t="n"/>
      <c r="D30" s="83" t="n"/>
      <c r="E30" s="84" t="n"/>
      <c r="F30" s="84" t="n"/>
      <c r="G30" s="84" t="n"/>
      <c r="H30" s="84" t="n"/>
      <c r="I30" s="84" t="n"/>
      <c r="J30" s="84" t="n"/>
      <c r="K30" s="84" t="n"/>
      <c r="L30" s="118" t="inlineStr">
        <is>
          <t>Hard gate: do not present outputs unless 90_CHECKS = PASS.</t>
        </is>
      </c>
      <c r="M30" s="119" t="inlineStr">
        <is>
          <t>Learn</t>
        </is>
      </c>
      <c r="N30" s="84" t="n"/>
      <c r="O30" s="84" t="n"/>
    </row>
    <row r="31" ht="15" customHeight="1">
      <c r="B31" s="17" t="inlineStr">
        <is>
          <t>Overall</t>
        </is>
      </c>
      <c r="E31" s="18">
        <f>'90_CHECKS'!$E$4</f>
        <v/>
      </c>
    </row>
    <row r="32" ht="18" customHeight="1">
      <c r="B32" s="83" t="inlineStr">
        <is>
          <t>Failed checks</t>
        </is>
      </c>
      <c r="C32" s="83" t="inlineStr">
        <is>
          <t>#</t>
        </is>
      </c>
      <c r="D32" s="83" t="n"/>
      <c r="E32" s="111">
        <f>'90_CHECKS'!$E$5</f>
        <v/>
      </c>
      <c r="F32" s="84" t="n"/>
      <c r="G32" s="84" t="n"/>
      <c r="H32" s="84" t="n"/>
      <c r="I32" s="84" t="n"/>
      <c r="J32" s="84" t="n"/>
      <c r="K32" s="84" t="n"/>
      <c r="L32" s="84" t="n"/>
      <c r="M32" s="84" t="n"/>
      <c r="N32" s="84" t="n"/>
      <c r="O32" s="84" t="n"/>
    </row>
    <row r="33" ht="15" customHeight="1"/>
    <row r="34" ht="15" customHeight="1"/>
    <row r="35" ht="18" customHeight="1">
      <c r="B35" s="83" t="inlineStr">
        <is>
          <t>CHARTS (BASE)</t>
        </is>
      </c>
      <c r="C35" s="83" t="n"/>
      <c r="D35" s="83" t="n"/>
      <c r="E35" s="84" t="n"/>
      <c r="F35" s="84" t="n"/>
      <c r="G35" s="84" t="n"/>
      <c r="H35" s="84" t="n"/>
      <c r="I35" s="84" t="n"/>
      <c r="J35" s="84" t="n"/>
      <c r="K35" s="84" t="n"/>
      <c r="L35" s="84" t="n"/>
      <c r="M35" s="84" t="n"/>
      <c r="N35" s="84" t="n"/>
      <c r="O35" s="84" t="n"/>
    </row>
    <row r="36" ht="15" customHeight="1">
      <c r="B36" s="21" t="inlineStr">
        <is>
          <t>Metric</t>
        </is>
      </c>
      <c r="C36" s="21" t="inlineStr">
        <is>
          <t>Value</t>
        </is>
      </c>
    </row>
    <row r="37" ht="15" customHeight="1">
      <c r="B37" s="22" t="inlineStr">
        <is>
          <t>Free float % pre</t>
        </is>
      </c>
      <c r="C37" s="61">
        <f>'06_CAP_TABLE_OWNERSHIP'!$E$33</f>
        <v/>
      </c>
    </row>
    <row r="38" ht="15" customHeight="1">
      <c r="B38" s="22" t="inlineStr">
        <is>
          <t>Free float % post</t>
        </is>
      </c>
      <c r="C38" s="61">
        <f>'06_CAP_TABLE_OWNERSHIP'!$E$34</f>
        <v/>
      </c>
    </row>
    <row r="39" ht="15" customHeight="1"/>
    <row r="40" ht="15" customHeight="1">
      <c r="B40" s="21" t="inlineStr">
        <is>
          <t>Waterfall</t>
        </is>
      </c>
      <c r="C40" s="21" t="inlineStr">
        <is>
          <t>DKKm</t>
        </is>
      </c>
    </row>
    <row r="41" ht="15" customHeight="1">
      <c r="B41" s="22" t="inlineStr">
        <is>
          <t>Primary Gross</t>
        </is>
      </c>
      <c r="C41" s="62">
        <f>'07_PROCEEDS_AND_FEES'!$F$8</f>
        <v/>
      </c>
    </row>
    <row r="42" ht="15" customHeight="1">
      <c r="B42" s="22" t="inlineStr">
        <is>
          <t>Fees</t>
        </is>
      </c>
      <c r="C42" s="62">
        <f>-'07_PROCEEDS_AND_FEES'!$F$15</f>
        <v/>
      </c>
    </row>
    <row r="43" ht="15" customHeight="1">
      <c r="B43" s="22" t="inlineStr">
        <is>
          <t>Net to issuer</t>
        </is>
      </c>
      <c r="C43" s="62">
        <f>'07_PROCEEDS_AND_FEES'!$F$16</f>
        <v/>
      </c>
    </row>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I2">
    <cfRule type="expression" priority="1" dxfId="2">
      <formula>I2="PASS"</formula>
    </cfRule>
    <cfRule type="expression" priority="2" dxfId="3">
      <formula>I2="FAIL"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M8" r:id="rId6"/>
    <hyperlink xmlns:r="http://schemas.openxmlformats.org/officeDocument/2006/relationships" ref="M9" r:id="rId7"/>
    <hyperlink xmlns:r="http://schemas.openxmlformats.org/officeDocument/2006/relationships" ref="M10" r:id="rId8"/>
    <hyperlink xmlns:r="http://schemas.openxmlformats.org/officeDocument/2006/relationships" ref="M11" r:id="rId9"/>
    <hyperlink xmlns:r="http://schemas.openxmlformats.org/officeDocument/2006/relationships" ref="M16" r:id="rId10"/>
    <hyperlink xmlns:r="http://schemas.openxmlformats.org/officeDocument/2006/relationships" ref="M17" r:id="rId11"/>
    <hyperlink xmlns:r="http://schemas.openxmlformats.org/officeDocument/2006/relationships" ref="M18" r:id="rId12"/>
    <hyperlink xmlns:r="http://schemas.openxmlformats.org/officeDocument/2006/relationships" ref="M19" r:id="rId13"/>
    <hyperlink xmlns:r="http://schemas.openxmlformats.org/officeDocument/2006/relationships" ref="M20" r:id="rId14"/>
    <hyperlink xmlns:r="http://schemas.openxmlformats.org/officeDocument/2006/relationships" ref="M22" r:id="rId15"/>
    <hyperlink xmlns:r="http://schemas.openxmlformats.org/officeDocument/2006/relationships" ref="M25" r:id="rId16"/>
    <hyperlink xmlns:r="http://schemas.openxmlformats.org/officeDocument/2006/relationships" ref="M26" r:id="rId17"/>
    <hyperlink xmlns:r="http://schemas.openxmlformats.org/officeDocument/2006/relationships" ref="M30" r:id="rId18"/>
  </hyperlinks>
  <pageMargins left="0.75" right="0.75" top="1" bottom="1" header="0.5" footer="0.5"/>
  <pageSetup orientation="landscape" fitToHeight="0" fitToWidth="1"/>
  <drawing xmlns:r="http://schemas.openxmlformats.org/officeDocument/2006/relationships" r:id="rId19"/>
</worksheet>
</file>

<file path=xl/worksheets/sheet2.xml><?xml version="1.0" encoding="utf-8"?>
<worksheet xmlns="http://schemas.openxmlformats.org/spreadsheetml/2006/main">
  <sheetPr>
    <outlinePr summaryBelow="1" summaryRight="1"/>
    <pageSetUpPr/>
  </sheetPr>
  <dimension ref="B1:O59"/>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ECM Model Control Panel</t>
        </is>
      </c>
      <c r="C2" s="80" t="n"/>
      <c r="D2" s="80" t="n"/>
      <c r="E2" s="80" t="n"/>
      <c r="F2" s="80" t="n"/>
      <c r="G2" s="80" t="n"/>
      <c r="H2" s="81" t="inlineStr">
        <is>
          <t>CHECKS:</t>
        </is>
      </c>
      <c r="I2" s="82">
        <f>'90_CHECKS'!$E$4</f>
        <v/>
      </c>
      <c r="J2" s="4" t="inlineStr">
        <is>
          <t>Failed:</t>
        </is>
      </c>
      <c r="K2" s="5">
        <f>'90_CHECKS'!$E$5</f>
        <v/>
      </c>
    </row>
    <row r="3" ht="15" customHeight="1"/>
    <row r="4" ht="15" customHeight="1"/>
    <row r="5" ht="15" customHeight="1"/>
    <row r="6" ht="18" customHeight="1">
      <c r="B6" s="83" t="inlineStr">
        <is>
          <t>MASTER TOGGLES (SINGLE SOURCE OF TRUTH)</t>
        </is>
      </c>
      <c r="C6" s="83" t="n"/>
      <c r="D6" s="83" t="n"/>
      <c r="E6" s="84" t="n"/>
      <c r="F6" s="84" t="n"/>
      <c r="G6" s="84" t="n"/>
      <c r="H6" s="84" t="n"/>
      <c r="I6" s="84" t="n"/>
      <c r="J6" s="84" t="n"/>
      <c r="K6" s="84" t="n"/>
      <c r="L6" s="84" t="n"/>
      <c r="M6" s="84" t="n"/>
      <c r="N6" s="84" t="n"/>
      <c r="O6" s="84" t="n"/>
    </row>
    <row r="7" ht="15" customHeight="1"/>
    <row r="8" ht="15" customHeight="1">
      <c r="B8" s="8" t="inlineStr">
        <is>
          <t>Offer type</t>
        </is>
      </c>
      <c r="C8" s="26" t="n"/>
      <c r="D8" s="26" t="n"/>
      <c r="E8" s="27" t="inlineStr">
        <is>
          <t>RIGHTS ISSUE</t>
        </is>
      </c>
      <c r="F8" s="26" t="n"/>
      <c r="G8" s="26" t="n"/>
      <c r="H8" s="26" t="n"/>
    </row>
    <row r="9" ht="15" customHeight="1">
      <c r="B9" s="26" t="n"/>
      <c r="C9" s="26" t="n"/>
      <c r="D9" s="26" t="n"/>
      <c r="E9" s="26" t="n"/>
      <c r="F9" s="26" t="n"/>
      <c r="G9" s="26" t="n"/>
      <c r="H9" s="26" t="n"/>
    </row>
    <row r="10" ht="15" customHeight="1">
      <c r="B10" s="8" t="inlineStr">
        <is>
          <t>Reference price type</t>
        </is>
      </c>
      <c r="C10" s="26" t="n"/>
      <c r="D10" s="26" t="n"/>
      <c r="E10" s="27" t="inlineStr">
        <is>
          <t>LAST CLOSE</t>
        </is>
      </c>
      <c r="F10" s="26" t="n"/>
      <c r="G10" s="26" t="n"/>
      <c r="H10" s="26" t="n"/>
    </row>
    <row r="11" ht="18" customHeight="1">
      <c r="B11" s="83" t="inlineStr">
        <is>
          <t>Price input mode</t>
        </is>
      </c>
      <c r="C11" s="83" t="n"/>
      <c r="D11" s="83" t="n"/>
      <c r="E11" s="84" t="inlineStr">
        <is>
          <t>DISCOUNT</t>
        </is>
      </c>
      <c r="F11" s="84" t="n"/>
      <c r="G11" s="84" t="n"/>
      <c r="H11" s="84" t="n"/>
      <c r="I11" s="84" t="n"/>
      <c r="J11" s="84" t="n"/>
      <c r="K11" s="84" t="n"/>
      <c r="L11" s="84" t="n"/>
      <c r="M11" s="84" t="n"/>
      <c r="N11" s="84" t="n"/>
      <c r="O11" s="84" t="n"/>
    </row>
    <row r="12" ht="15" customHeight="1">
      <c r="B12" s="26" t="n"/>
      <c r="C12" s="26" t="n"/>
      <c r="D12" s="26" t="n"/>
      <c r="E12" s="26" t="n"/>
      <c r="F12" s="26" t="n"/>
      <c r="G12" s="26" t="n"/>
      <c r="H12" s="26" t="n"/>
    </row>
    <row r="13" ht="15" customHeight="1">
      <c r="B13" s="8" t="inlineStr">
        <is>
          <t>Raise mode</t>
        </is>
      </c>
      <c r="C13" s="26" t="n"/>
      <c r="D13" s="26" t="n"/>
      <c r="E13" s="27" t="inlineStr">
        <is>
          <t>TARGET_GROSS</t>
        </is>
      </c>
      <c r="F13" s="26" t="n"/>
      <c r="G13" s="26" t="n"/>
      <c r="H13" s="26" t="n"/>
    </row>
    <row r="14" ht="15" customHeight="1">
      <c r="B14" s="8" t="inlineStr">
        <is>
          <t>Primary vs secondary</t>
        </is>
      </c>
      <c r="C14" s="26" t="n"/>
      <c r="D14" s="26" t="n"/>
      <c r="E14" s="27" t="inlineStr">
        <is>
          <t>PRIMARY_ONLY</t>
        </is>
      </c>
      <c r="F14" s="26" t="n"/>
      <c r="G14" s="26" t="n"/>
      <c r="H14" s="26" t="n"/>
    </row>
    <row r="15" ht="15" customHeight="1">
      <c r="B15" s="26" t="n"/>
      <c r="C15" s="26" t="n"/>
      <c r="D15" s="26" t="n"/>
      <c r="E15" s="26" t="n"/>
      <c r="F15" s="26" t="n"/>
      <c r="G15" s="26" t="n"/>
      <c r="H15" s="26" t="n"/>
    </row>
    <row r="16" ht="15" customHeight="1">
      <c r="B16" s="8" t="inlineStr">
        <is>
          <t>Underwriting (RI)</t>
        </is>
      </c>
      <c r="C16" s="26" t="n"/>
      <c r="D16" s="26" t="n"/>
      <c r="E16" s="27" t="inlineStr">
        <is>
          <t>FULLY_UNDERWRITTEN</t>
        </is>
      </c>
      <c r="F16" s="26" t="n"/>
      <c r="G16" s="26" t="n"/>
      <c r="H16" s="26" t="n"/>
    </row>
    <row r="17" ht="15" customHeight="1">
      <c r="B17" s="26" t="n"/>
      <c r="C17" s="26" t="n"/>
      <c r="D17" s="26" t="n"/>
      <c r="E17" s="26" t="n"/>
      <c r="F17" s="26" t="n"/>
      <c r="G17" s="26" t="n"/>
      <c r="H17" s="26" t="n"/>
    </row>
    <row r="18" ht="15" customHeight="1">
      <c r="B18" s="8" t="inlineStr">
        <is>
          <t>Take up scenario (RI)</t>
        </is>
      </c>
      <c r="C18" s="26" t="n"/>
      <c r="D18" s="26" t="n"/>
      <c r="E18" s="27" t="inlineStr">
        <is>
          <t>80%</t>
        </is>
      </c>
      <c r="F18" s="26" t="n"/>
      <c r="G18" s="26" t="n"/>
      <c r="H18" s="28" t="inlineStr">
        <is>
          <t>Map</t>
        </is>
      </c>
    </row>
    <row r="19" ht="15" customHeight="1">
      <c r="B19" s="26" t="n"/>
      <c r="C19" s="26" t="n"/>
      <c r="D19" s="29" t="inlineStr">
        <is>
          <t>Take up rate (numeric)</t>
        </is>
      </c>
      <c r="E19" s="58">
        <f>INDEX($I$19:$I$21,MATCH(E18,$H$19:$H$21,0))</f>
        <v/>
      </c>
      <c r="F19" s="26" t="n"/>
      <c r="G19" s="26" t="n"/>
      <c r="H19" s="26" t="inlineStr">
        <is>
          <t>60%</t>
        </is>
      </c>
      <c r="I19" s="63" t="n">
        <v>0.6</v>
      </c>
    </row>
    <row r="20" ht="15" customHeight="1">
      <c r="B20" s="8" t="inlineStr">
        <is>
          <t>Rump extra discount (RI)</t>
        </is>
      </c>
      <c r="C20" s="9" t="inlineStr">
        <is>
          <t>%</t>
        </is>
      </c>
      <c r="D20" s="26" t="n"/>
      <c r="E20" s="64" t="n">
        <v>0</v>
      </c>
      <c r="F20" s="26" t="n"/>
      <c r="G20" s="26" t="n"/>
      <c r="H20" s="26" t="inlineStr">
        <is>
          <t>80%</t>
        </is>
      </c>
      <c r="I20" s="63" t="n">
        <v>0.8</v>
      </c>
    </row>
    <row r="21" ht="15" customHeight="1">
      <c r="B21" s="8" t="inlineStr">
        <is>
          <t>Backstop enabled (RI)</t>
        </is>
      </c>
      <c r="C21" s="26" t="n"/>
      <c r="D21" s="26" t="n"/>
      <c r="E21" s="27" t="inlineStr">
        <is>
          <t>NO</t>
        </is>
      </c>
      <c r="F21" s="26" t="n"/>
      <c r="G21" s="26" t="n"/>
      <c r="H21" s="26" t="inlineStr">
        <is>
          <t>100%</t>
        </is>
      </c>
      <c r="I21" s="63" t="n">
        <v>1</v>
      </c>
    </row>
    <row r="22" ht="15" customHeight="1">
      <c r="B22" s="8" t="inlineStr">
        <is>
          <t>Backstop fee % (RI)</t>
        </is>
      </c>
      <c r="C22" s="9" t="inlineStr">
        <is>
          <t>%</t>
        </is>
      </c>
      <c r="D22" s="26" t="n"/>
      <c r="E22" s="64" t="n">
        <v>0</v>
      </c>
      <c r="F22" s="26" t="n"/>
      <c r="G22" s="26" t="n"/>
      <c r="H22" s="26" t="n"/>
    </row>
    <row r="23" ht="15" customHeight="1"/>
    <row r="24" ht="15" customHeight="1"/>
    <row r="25" ht="15" customHeight="1"/>
    <row r="26" ht="18" customHeight="1">
      <c r="B26" s="83" t="inlineStr">
        <is>
          <t>SCENARIO INPUTS (LOW / BASE / HIGH)</t>
        </is>
      </c>
      <c r="C26" s="83" t="n"/>
      <c r="D26" s="83" t="n"/>
      <c r="E26" s="84" t="n"/>
      <c r="F26" s="84" t="n"/>
      <c r="G26" s="84" t="n"/>
      <c r="H26" s="84" t="n"/>
      <c r="I26" s="84" t="n"/>
      <c r="J26" s="84" t="n"/>
      <c r="K26" s="84" t="n"/>
      <c r="L26" s="84" t="n"/>
      <c r="M26" s="84" t="n"/>
      <c r="N26" s="84" t="n"/>
      <c r="O26" s="84" t="n"/>
    </row>
    <row r="27" ht="18" customHeight="1">
      <c r="B27" s="83" t="n"/>
      <c r="C27" s="83" t="n"/>
      <c r="D27" s="83" t="n"/>
      <c r="E27" s="84" t="inlineStr">
        <is>
          <t>LOW</t>
        </is>
      </c>
      <c r="F27" s="84" t="inlineStr">
        <is>
          <t>BASE</t>
        </is>
      </c>
      <c r="G27" s="84" t="inlineStr">
        <is>
          <t>HIGH</t>
        </is>
      </c>
      <c r="H27" s="84" t="n"/>
      <c r="I27" s="84" t="n"/>
      <c r="J27" s="84" t="n"/>
      <c r="K27" s="84" t="n"/>
      <c r="L27" s="84" t="n"/>
      <c r="M27" s="84" t="n"/>
      <c r="N27" s="84" t="n"/>
      <c r="O27" s="84" t="n"/>
    </row>
    <row r="28" ht="15" customHeight="1">
      <c r="B28" s="8" t="inlineStr">
        <is>
          <t>Discount %</t>
        </is>
      </c>
      <c r="C28" s="9" t="inlineStr">
        <is>
          <t>%</t>
        </is>
      </c>
      <c r="D28" s="26" t="n"/>
      <c r="E28" s="64" t="n">
        <v>0.1</v>
      </c>
      <c r="F28" s="64" t="n">
        <v>0.08</v>
      </c>
      <c r="G28" s="64" t="n">
        <v>0.05</v>
      </c>
      <c r="H28" s="26" t="n"/>
    </row>
    <row r="29" ht="15" customHeight="1">
      <c r="B29" s="8" t="inlineStr">
        <is>
          <t>Direct issue price</t>
        </is>
      </c>
      <c r="C29" s="9" t="inlineStr">
        <is>
          <t>DKK/sh</t>
        </is>
      </c>
      <c r="D29" s="26" t="n"/>
      <c r="E29" s="65" t="n">
        <v>0</v>
      </c>
      <c r="F29" s="65" t="n">
        <v>0</v>
      </c>
      <c r="G29" s="65" t="n">
        <v>0</v>
      </c>
      <c r="H29" s="26" t="n"/>
    </row>
    <row r="30" ht="15" customHeight="1">
      <c r="B30" s="8" t="inlineStr">
        <is>
          <t>Target gross (primary)</t>
        </is>
      </c>
      <c r="C30" s="9" t="inlineStr">
        <is>
          <t>DKKm</t>
        </is>
      </c>
      <c r="D30" s="26" t="n"/>
      <c r="E30" s="66" t="n">
        <v>500</v>
      </c>
      <c r="F30" s="66" t="n">
        <v>700</v>
      </c>
      <c r="G30" s="66" t="n">
        <v>900</v>
      </c>
      <c r="H30" s="26" t="n"/>
    </row>
    <row r="31" ht="15" customHeight="1">
      <c r="B31" s="8" t="inlineStr">
        <is>
          <t>Target net (primary)</t>
        </is>
      </c>
      <c r="C31" s="9" t="inlineStr">
        <is>
          <t>DKKm</t>
        </is>
      </c>
      <c r="D31" s="26" t="n"/>
      <c r="E31" s="66" t="n">
        <v>0</v>
      </c>
      <c r="F31" s="66" t="n">
        <v>0</v>
      </c>
      <c r="G31" s="66" t="n">
        <v>0</v>
      </c>
      <c r="H31" s="26" t="n"/>
    </row>
    <row r="32" ht="15" customHeight="1">
      <c r="B32" s="8" t="inlineStr">
        <is>
          <t>Shares issued (primary)</t>
        </is>
      </c>
      <c r="C32" s="9" t="inlineStr">
        <is>
          <t>m sh</t>
        </is>
      </c>
      <c r="D32" s="26" t="n"/>
      <c r="E32" s="67" t="n">
        <v>0</v>
      </c>
      <c r="F32" s="67" t="n">
        <v>0</v>
      </c>
      <c r="G32" s="67" t="n">
        <v>0</v>
      </c>
      <c r="H32" s="26" t="n"/>
    </row>
    <row r="33" ht="15" customHeight="1">
      <c r="B33" s="8" t="inlineStr">
        <is>
          <t>Secondary shares sold</t>
        </is>
      </c>
      <c r="C33" s="9" t="inlineStr">
        <is>
          <t>m sh</t>
        </is>
      </c>
      <c r="D33" s="26" t="n"/>
      <c r="E33" s="67" t="n">
        <v>0</v>
      </c>
      <c r="F33" s="67" t="n">
        <v>0</v>
      </c>
      <c r="G33" s="67" t="n">
        <v>0</v>
      </c>
      <c r="H33" s="26" t="n"/>
    </row>
    <row r="34" ht="15" customHeight="1"/>
    <row r="35" ht="15" customHeight="1"/>
    <row r="36" ht="15" customHeight="1"/>
    <row r="37" ht="18" customHeight="1">
      <c r="B37" s="83" t="inlineStr">
        <is>
          <t>FEES (APPLY TO PRIMARY GROSS)</t>
        </is>
      </c>
      <c r="C37" s="83" t="n"/>
      <c r="D37" s="83" t="n"/>
      <c r="E37" s="84" t="n"/>
      <c r="F37" s="84" t="n"/>
      <c r="G37" s="84" t="n"/>
      <c r="H37" s="84" t="n"/>
      <c r="I37" s="84" t="n"/>
      <c r="J37" s="84" t="n"/>
      <c r="K37" s="84" t="n"/>
      <c r="L37" s="84" t="n"/>
      <c r="M37" s="84" t="n"/>
      <c r="N37" s="84" t="n"/>
      <c r="O37" s="84" t="n"/>
    </row>
    <row r="38" ht="15" customHeight="1">
      <c r="B38" s="8" t="inlineStr">
        <is>
          <t>Underwriting fee %</t>
        </is>
      </c>
      <c r="C38" s="9" t="inlineStr">
        <is>
          <t>%</t>
        </is>
      </c>
      <c r="D38" s="26" t="n"/>
      <c r="E38" s="64" t="n">
        <v>0.03</v>
      </c>
      <c r="F38" s="26" t="n"/>
      <c r="G38" s="26" t="n"/>
      <c r="H38" s="26" t="n"/>
    </row>
    <row r="39" ht="15" customHeight="1">
      <c r="B39" s="8" t="inlineStr">
        <is>
          <t>Advisory fee %</t>
        </is>
      </c>
      <c r="C39" s="9" t="inlineStr">
        <is>
          <t>%</t>
        </is>
      </c>
      <c r="D39" s="26" t="n"/>
      <c r="E39" s="64" t="n">
        <v>0.01</v>
      </c>
      <c r="F39" s="26" t="n"/>
      <c r="G39" s="26" t="n"/>
      <c r="H39" s="26" t="n"/>
    </row>
    <row r="40" ht="15" customHeight="1">
      <c r="B40" s="8" t="inlineStr">
        <is>
          <t>Other costs (fixed)</t>
        </is>
      </c>
      <c r="C40" s="9" t="inlineStr">
        <is>
          <t>DKKm</t>
        </is>
      </c>
      <c r="D40" s="26" t="n"/>
      <c r="E40" s="66" t="n">
        <v>5</v>
      </c>
      <c r="F40" s="26" t="n"/>
      <c r="G40" s="26" t="n"/>
      <c r="H40" s="26" t="n"/>
    </row>
    <row r="41" ht="15" customHeight="1"/>
    <row r="42" ht="15" customHeight="1"/>
    <row r="43" ht="15" customHeight="1"/>
    <row r="44" ht="18" customHeight="1">
      <c r="B44" s="83" t="inlineStr">
        <is>
          <t>USE OF PROCEEDS (MUST SUM TO 100%)</t>
        </is>
      </c>
      <c r="C44" s="83" t="n"/>
      <c r="D44" s="83" t="n"/>
      <c r="E44" s="84" t="n"/>
      <c r="F44" s="84" t="n"/>
      <c r="G44" s="84" t="n"/>
      <c r="H44" s="84" t="n"/>
      <c r="I44" s="84" t="n"/>
      <c r="J44" s="84" t="n"/>
      <c r="K44" s="84" t="n"/>
      <c r="L44" s="84" t="n"/>
      <c r="M44" s="84" t="n"/>
      <c r="N44" s="84" t="n"/>
      <c r="O44" s="84" t="n"/>
    </row>
    <row r="45" ht="15" customHeight="1">
      <c r="B45" s="8" t="inlineStr">
        <is>
          <t>Debt paydown %</t>
        </is>
      </c>
      <c r="C45" s="9" t="inlineStr">
        <is>
          <t>%</t>
        </is>
      </c>
      <c r="D45" s="26" t="n"/>
      <c r="E45" s="64" t="n">
        <v>0.6</v>
      </c>
      <c r="F45" s="26" t="n"/>
      <c r="G45" s="26" t="n"/>
      <c r="H45" s="26" t="n"/>
    </row>
    <row r="46" ht="15" customHeight="1">
      <c r="B46" s="8" t="inlineStr">
        <is>
          <t>Cash retained %</t>
        </is>
      </c>
      <c r="C46" s="9" t="inlineStr">
        <is>
          <t>%</t>
        </is>
      </c>
      <c r="D46" s="26" t="n"/>
      <c r="E46" s="64" t="n">
        <v>0.3</v>
      </c>
      <c r="F46" s="26" t="n"/>
      <c r="G46" s="26" t="n"/>
      <c r="H46" s="26" t="n"/>
    </row>
    <row r="47" ht="15" customHeight="1">
      <c r="B47" s="8" t="inlineStr">
        <is>
          <t>Growth investment %</t>
        </is>
      </c>
      <c r="C47" s="9" t="inlineStr">
        <is>
          <t>%</t>
        </is>
      </c>
      <c r="D47" s="26" t="n"/>
      <c r="E47" s="64" t="n">
        <v>0.1</v>
      </c>
      <c r="F47" s="26" t="n"/>
      <c r="G47" s="26" t="n"/>
      <c r="H47" s="26" t="n"/>
    </row>
    <row r="48" ht="15" customHeight="1">
      <c r="B48" s="8" t="inlineStr">
        <is>
          <t>Sum</t>
        </is>
      </c>
      <c r="C48" s="9" t="inlineStr">
        <is>
          <t>%</t>
        </is>
      </c>
      <c r="D48" s="26" t="n"/>
      <c r="E48" s="68">
        <f>E45+E46+E47</f>
        <v/>
      </c>
      <c r="F48" s="36">
        <f>IF(ABS(E48-1)&lt;0.0001,"OK","FIX")</f>
        <v/>
      </c>
      <c r="G48" s="26" t="n"/>
      <c r="H48" s="26" t="n"/>
    </row>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F48">
    <cfRule type="cellIs" priority="1" operator="equal" dxfId="0">
      <formula>"OK"</formula>
    </cfRule>
    <cfRule type="cellIs" priority="2" operator="equal" dxfId="1">
      <formula>"FIX"</formula>
    </cfRule>
  </conditionalFormatting>
  <conditionalFormatting sqref="I2">
    <cfRule type="expression" priority="3" dxfId="2">
      <formula>I2="PASS"</formula>
    </cfRule>
    <cfRule type="expression" priority="4" dxfId="3">
      <formula>I2="FAIL"</formula>
    </cfRule>
  </conditionalFormatting>
  <dataValidations count="8">
    <dataValidation sqref="E8" showDropDown="0" showInputMessage="0" showErrorMessage="0" allowBlank="1" type="list">
      <formula1>"RIGHTS ISSUE,PRIVATE PLACEMENT,ABB"</formula1>
    </dataValidation>
    <dataValidation sqref="E10" showDropDown="0" showInputMessage="0" showErrorMessage="0" allowBlank="1" type="list">
      <formula1>"LAST CLOSE,VWAP,OTHER"</formula1>
    </dataValidation>
    <dataValidation sqref="E11" showDropDown="0" showInputMessage="0" showErrorMessage="0" allowBlank="1" type="list">
      <formula1>"DISCOUNT,DIRECT_PRICE"</formula1>
    </dataValidation>
    <dataValidation sqref="E13" showDropDown="0" showInputMessage="0" showErrorMessage="0" allowBlank="1" type="list">
      <formula1>"TARGET_GROSS,TARGET_NET,SHARES_ISSUED"</formula1>
    </dataValidation>
    <dataValidation sqref="E14" showDropDown="0" showInputMessage="0" showErrorMessage="0" allowBlank="1" type="list">
      <formula1>"PRIMARY_ONLY,MIXED"</formula1>
    </dataValidation>
    <dataValidation sqref="E16" showDropDown="0" showInputMessage="0" showErrorMessage="0" allowBlank="1" type="list">
      <formula1>"FULLY_UNDERWRITTEN,BEST_EFFORTS"</formula1>
    </dataValidation>
    <dataValidation sqref="E18" showDropDown="0" showInputMessage="0" showErrorMessage="0" allowBlank="1" type="list">
      <formula1>"60%,80%,100%"</formula1>
    </dataValidation>
    <dataValidation sqref="E21" showDropDown="0" showInputMessage="0" showErrorMessage="0" allowBlank="1" type="list">
      <formula1>"YES,NO"</formula1>
    </dataValidation>
  </dataValidations>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B1:O34"/>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Issuer Inputs</t>
        </is>
      </c>
      <c r="C2" s="80" t="n"/>
      <c r="D2" s="80" t="n"/>
      <c r="E2" s="80" t="n"/>
      <c r="F2" s="80" t="n"/>
      <c r="G2" s="80" t="n"/>
      <c r="H2" s="81" t="inlineStr">
        <is>
          <t>CHECKS:</t>
        </is>
      </c>
      <c r="I2" s="82">
        <f>'90_CHECKS'!$E$4</f>
        <v/>
      </c>
      <c r="J2" s="4" t="inlineStr">
        <is>
          <t>Failed:</t>
        </is>
      </c>
      <c r="K2" s="5">
        <f>'90_CHECKS'!$E$5</f>
        <v/>
      </c>
    </row>
    <row r="3" ht="15" customHeight="1"/>
    <row r="4" ht="15" customHeight="1"/>
    <row r="5" ht="15" customHeight="1"/>
    <row r="6" ht="18" customHeight="1">
      <c r="B6" s="83" t="inlineStr">
        <is>
          <t>SHARE STRUCTURE</t>
        </is>
      </c>
      <c r="C6" s="83" t="n"/>
      <c r="D6" s="83" t="n"/>
      <c r="E6" s="84" t="n"/>
      <c r="F6" s="84" t="n"/>
      <c r="G6" s="84" t="n"/>
      <c r="H6" s="84" t="n"/>
      <c r="I6" s="84" t="n"/>
      <c r="J6" s="84" t="n"/>
      <c r="K6" s="84" t="n"/>
      <c r="L6" s="84" t="n"/>
      <c r="M6" s="84" t="n"/>
      <c r="N6" s="84" t="n"/>
      <c r="O6" s="84" t="n"/>
    </row>
    <row r="7" ht="15" customHeight="1">
      <c r="B7" s="8" t="inlineStr">
        <is>
          <t>Current shares outstanding</t>
        </is>
      </c>
      <c r="C7" s="9" t="inlineStr">
        <is>
          <t>m sh</t>
        </is>
      </c>
      <c r="D7" s="26" t="n"/>
      <c r="E7" s="67" t="n">
        <v>100</v>
      </c>
      <c r="F7" s="26" t="n"/>
      <c r="G7" s="26" t="n"/>
      <c r="H7" s="26" t="n"/>
    </row>
    <row r="8" ht="15" customHeight="1">
      <c r="B8" s="8" t="inlineStr">
        <is>
          <t>Dilutive instruments (optional)</t>
        </is>
      </c>
      <c r="C8" s="9" t="inlineStr">
        <is>
          <t>m sh</t>
        </is>
      </c>
      <c r="D8" s="26" t="n"/>
      <c r="E8" s="67" t="n">
        <v>0</v>
      </c>
      <c r="F8" s="26" t="n"/>
      <c r="G8" s="26" t="n"/>
      <c r="H8" s="26" t="n"/>
    </row>
    <row r="9" ht="18" customHeight="1">
      <c r="B9" s="83" t="inlineStr">
        <is>
          <t>Fully diluted shares (optional)</t>
        </is>
      </c>
      <c r="C9" s="83" t="inlineStr">
        <is>
          <t>m sh</t>
        </is>
      </c>
      <c r="D9" s="83" t="n"/>
      <c r="E9" s="112">
        <f>E7+E8</f>
        <v/>
      </c>
      <c r="F9" s="84" t="n"/>
      <c r="G9" s="84" t="n"/>
      <c r="H9" s="84" t="n"/>
      <c r="I9" s="84" t="n"/>
      <c r="J9" s="84" t="n"/>
      <c r="K9" s="84" t="n"/>
      <c r="L9" s="84" t="n"/>
      <c r="M9" s="84" t="n"/>
      <c r="N9" s="84" t="n"/>
      <c r="O9" s="84" t="n"/>
    </row>
    <row r="10" ht="15" customHeight="1"/>
    <row r="11" ht="15" customHeight="1"/>
    <row r="12" ht="15" customHeight="1"/>
    <row r="13" ht="18" customHeight="1">
      <c r="B13" s="83" t="inlineStr">
        <is>
          <t>SHAREHOLDER TABLE (INPUTS)</t>
        </is>
      </c>
      <c r="C13" s="83" t="n"/>
      <c r="D13" s="83" t="n"/>
      <c r="E13" s="84" t="n"/>
      <c r="F13" s="84" t="n"/>
      <c r="G13" s="84" t="n"/>
      <c r="H13" s="84" t="n"/>
      <c r="I13" s="84" t="n"/>
      <c r="J13" s="84" t="n"/>
      <c r="K13" s="84" t="n"/>
      <c r="L13" s="84" t="n"/>
      <c r="M13" s="84" t="n"/>
      <c r="N13" s="84" t="n"/>
      <c r="O13" s="84" t="n"/>
    </row>
    <row r="14" ht="15" customHeight="1">
      <c r="B14" s="38" t="inlineStr">
        <is>
          <t>Holder</t>
        </is>
      </c>
      <c r="C14" s="38" t="inlineStr">
        <is>
          <t>Bucket</t>
        </is>
      </c>
      <c r="D14" s="38" t="inlineStr">
        <is>
          <t>Pre %</t>
        </is>
      </c>
      <c r="E14" s="38" t="inlineStr">
        <is>
          <t>Participation adj (RI)</t>
        </is>
      </c>
      <c r="F14" s="38" t="inlineStr">
        <is>
          <t>Allocation % (PP/ABB)</t>
        </is>
      </c>
      <c r="G14" s="38" t="inlineStr">
        <is>
          <t>Pre shares (m)</t>
        </is>
      </c>
    </row>
    <row r="15" ht="15" customHeight="1">
      <c r="B15" s="27" t="inlineStr">
        <is>
          <t>Holder 1</t>
        </is>
      </c>
      <c r="C15" s="27" t="inlineStr">
        <is>
          <t>MAJOR</t>
        </is>
      </c>
      <c r="D15" s="64" t="n">
        <v>0.2</v>
      </c>
      <c r="E15" s="64" t="n">
        <v>1</v>
      </c>
      <c r="F15" s="64" t="n">
        <v>0.2</v>
      </c>
      <c r="G15" s="70">
        <f>$E$7*D15</f>
        <v/>
      </c>
    </row>
    <row r="16" ht="15" customHeight="1">
      <c r="B16" s="27" t="inlineStr">
        <is>
          <t>Holder 2</t>
        </is>
      </c>
      <c r="C16" s="27" t="inlineStr">
        <is>
          <t>MAJOR</t>
        </is>
      </c>
      <c r="D16" s="64" t="n">
        <v>0.15</v>
      </c>
      <c r="E16" s="64" t="n">
        <v>1</v>
      </c>
      <c r="F16" s="64" t="n">
        <v>0.15</v>
      </c>
      <c r="G16" s="70">
        <f>$E$7*D16</f>
        <v/>
      </c>
    </row>
    <row r="17" ht="15" customHeight="1">
      <c r="B17" s="27" t="inlineStr">
        <is>
          <t>Holder 3</t>
        </is>
      </c>
      <c r="C17" s="27" t="inlineStr">
        <is>
          <t>MAJOR</t>
        </is>
      </c>
      <c r="D17" s="64" t="n">
        <v>0.1</v>
      </c>
      <c r="E17" s="64" t="n">
        <v>0.8</v>
      </c>
      <c r="F17" s="64" t="n">
        <v>0.1</v>
      </c>
      <c r="G17" s="70">
        <f>$E$7*D17</f>
        <v/>
      </c>
    </row>
    <row r="18" ht="15" customHeight="1">
      <c r="B18" s="27" t="inlineStr">
        <is>
          <t>Holder 4</t>
        </is>
      </c>
      <c r="C18" s="27" t="inlineStr">
        <is>
          <t>MAJOR</t>
        </is>
      </c>
      <c r="D18" s="64" t="n">
        <v>0.05</v>
      </c>
      <c r="E18" s="64" t="n">
        <v>0.5</v>
      </c>
      <c r="F18" s="64" t="n">
        <v>0.05</v>
      </c>
      <c r="G18" s="70">
        <f>$E$7*D18</f>
        <v/>
      </c>
    </row>
    <row r="19" ht="15" customHeight="1">
      <c r="B19" s="27" t="inlineStr">
        <is>
          <t>Holder 5</t>
        </is>
      </c>
      <c r="C19" s="27" t="inlineStr">
        <is>
          <t>MAJOR</t>
        </is>
      </c>
      <c r="D19" s="64" t="n">
        <v>0.03</v>
      </c>
      <c r="E19" s="64" t="n">
        <v>0</v>
      </c>
      <c r="F19" s="64" t="n">
        <v>0.03</v>
      </c>
      <c r="G19" s="70">
        <f>$E$7*D19</f>
        <v/>
      </c>
    </row>
    <row r="20" ht="15" customHeight="1">
      <c r="B20" s="27" t="inlineStr">
        <is>
          <t>Free float</t>
        </is>
      </c>
      <c r="C20" s="27" t="inlineStr">
        <is>
          <t>FREE_FLOAT</t>
        </is>
      </c>
      <c r="D20" s="64" t="n">
        <v>0.47</v>
      </c>
      <c r="E20" s="64" t="n">
        <v>0.6</v>
      </c>
      <c r="F20" s="64" t="n">
        <v>0.47</v>
      </c>
      <c r="G20" s="70">
        <f>$E$7*D20</f>
        <v/>
      </c>
    </row>
    <row r="21" ht="15" customHeight="1">
      <c r="B21" s="27" t="inlineStr">
        <is>
          <t>New investors (post)</t>
        </is>
      </c>
      <c r="C21" s="27" t="inlineStr">
        <is>
          <t>NEW</t>
        </is>
      </c>
      <c r="D21" s="64" t="n">
        <v>0</v>
      </c>
      <c r="E21" s="64" t="n">
        <v>0</v>
      </c>
      <c r="F21" s="64" t="n">
        <v>0</v>
      </c>
      <c r="G21" s="70">
        <f>$E$7*D21</f>
        <v/>
      </c>
    </row>
    <row r="22" ht="15" customHeight="1">
      <c r="B22" s="27" t="inlineStr">
        <is>
          <t>Other (balancing)</t>
        </is>
      </c>
      <c r="C22" s="27" t="inlineStr">
        <is>
          <t>OTHER</t>
        </is>
      </c>
      <c r="D22" s="64" t="n">
        <v>0</v>
      </c>
      <c r="E22" s="64" t="n">
        <v>0</v>
      </c>
      <c r="F22" s="64" t="n">
        <v>0</v>
      </c>
      <c r="G22" s="70">
        <f>$E$7*D22</f>
        <v/>
      </c>
    </row>
    <row r="23" ht="18" customHeight="1">
      <c r="B23" s="83" t="inlineStr">
        <is>
          <t>TOTAL</t>
        </is>
      </c>
      <c r="C23" s="83" t="n"/>
      <c r="D23" s="113">
        <f>SUM(D15:D22)</f>
        <v/>
      </c>
      <c r="E23" s="84" t="n"/>
      <c r="F23" s="84" t="n"/>
      <c r="G23" s="112">
        <f>SUM(G15:G22)</f>
        <v/>
      </c>
      <c r="H23" s="84" t="n"/>
      <c r="I23" s="84" t="n"/>
      <c r="J23" s="84" t="n"/>
      <c r="K23" s="84" t="n"/>
      <c r="L23" s="84" t="n"/>
      <c r="M23" s="84" t="n"/>
      <c r="N23" s="84" t="n"/>
      <c r="O23" s="84" t="n"/>
    </row>
    <row r="24" ht="15" customHeight="1"/>
    <row r="25" ht="15" customHeight="1"/>
    <row r="26" ht="18" customHeight="1">
      <c r="B26" s="83" t="inlineStr">
        <is>
          <t>BALANCE SHEET SNAPSHOT</t>
        </is>
      </c>
      <c r="C26" s="83" t="n"/>
      <c r="D26" s="83" t="n"/>
      <c r="E26" s="84" t="n"/>
      <c r="F26" s="84" t="n"/>
      <c r="G26" s="84" t="n"/>
      <c r="H26" s="84" t="n"/>
      <c r="I26" s="84" t="n"/>
      <c r="J26" s="84" t="n"/>
      <c r="K26" s="84" t="n"/>
      <c r="L26" s="84" t="n"/>
      <c r="M26" s="84" t="n"/>
      <c r="N26" s="84" t="n"/>
      <c r="O26" s="84" t="n"/>
    </row>
    <row r="27" ht="15" customHeight="1">
      <c r="B27" s="17" t="inlineStr">
        <is>
          <t>Cash</t>
        </is>
      </c>
      <c r="C27" s="19" t="inlineStr">
        <is>
          <t>DKKm</t>
        </is>
      </c>
      <c r="E27" s="66" t="n">
        <v>200</v>
      </c>
    </row>
    <row r="28" ht="15" customHeight="1">
      <c r="B28" s="17" t="inlineStr">
        <is>
          <t>Gross debt</t>
        </is>
      </c>
      <c r="C28" s="19" t="inlineStr">
        <is>
          <t>DKKm</t>
        </is>
      </c>
      <c r="E28" s="66" t="n">
        <v>600</v>
      </c>
    </row>
    <row r="29" ht="18" customHeight="1">
      <c r="B29" s="83" t="inlineStr">
        <is>
          <t>Net debt</t>
        </is>
      </c>
      <c r="C29" s="83" t="inlineStr">
        <is>
          <t>DKKm</t>
        </is>
      </c>
      <c r="D29" s="83" t="n"/>
      <c r="E29" s="114">
        <f>E28-E27</f>
        <v/>
      </c>
      <c r="F29" s="84" t="n"/>
      <c r="G29" s="84" t="n"/>
      <c r="H29" s="84" t="n"/>
      <c r="I29" s="84" t="n"/>
      <c r="J29" s="84" t="n"/>
      <c r="K29" s="84" t="n"/>
      <c r="L29" s="84" t="n"/>
      <c r="M29" s="84" t="n"/>
      <c r="N29" s="84" t="n"/>
      <c r="O29" s="84" t="n"/>
    </row>
    <row r="30" ht="15" customHeight="1"/>
    <row r="31" ht="15" customHeight="1"/>
    <row r="32" ht="18" customHeight="1">
      <c r="B32" s="83" t="inlineStr">
        <is>
          <t>LEVERAGE INPUT</t>
        </is>
      </c>
      <c r="C32" s="83" t="n"/>
      <c r="D32" s="83" t="n"/>
      <c r="E32" s="84" t="n"/>
      <c r="F32" s="84" t="n"/>
      <c r="G32" s="84" t="n"/>
      <c r="H32" s="84" t="n"/>
      <c r="I32" s="84" t="n"/>
      <c r="J32" s="84" t="n"/>
      <c r="K32" s="84" t="n"/>
      <c r="L32" s="84" t="n"/>
      <c r="M32" s="84" t="n"/>
      <c r="N32" s="84" t="n"/>
      <c r="O32" s="84" t="n"/>
    </row>
    <row r="33" ht="18" customHeight="1">
      <c r="B33" s="83" t="inlineStr">
        <is>
          <t>EBITDA</t>
        </is>
      </c>
      <c r="C33" s="83" t="inlineStr">
        <is>
          <t>DKKm</t>
        </is>
      </c>
      <c r="D33" s="83" t="n"/>
      <c r="E33" s="114" t="n">
        <v>250</v>
      </c>
      <c r="F33" s="84" t="n"/>
      <c r="G33" s="84" t="n"/>
      <c r="H33" s="84" t="n"/>
      <c r="I33" s="84" t="n"/>
      <c r="J33" s="84" t="n"/>
      <c r="K33" s="84" t="n"/>
      <c r="L33" s="84" t="n"/>
      <c r="M33" s="84" t="n"/>
      <c r="N33" s="84" t="n"/>
      <c r="O33" s="84" t="n"/>
    </row>
    <row r="34" ht="18" customHeight="1">
      <c r="B34" s="83" t="inlineStr">
        <is>
          <t>Net debt / EBITDA</t>
        </is>
      </c>
      <c r="C34" s="83" t="inlineStr">
        <is>
          <t>x</t>
        </is>
      </c>
      <c r="D34" s="83" t="n"/>
      <c r="E34" s="115">
        <f>IFERROR(E29/E33,0)</f>
        <v/>
      </c>
      <c r="F34" s="84" t="n"/>
      <c r="G34" s="84" t="n"/>
      <c r="H34" s="84" t="n"/>
      <c r="I34" s="84" t="n"/>
      <c r="J34" s="84" t="n"/>
      <c r="K34" s="84" t="n"/>
      <c r="L34" s="84" t="n"/>
      <c r="M34" s="84" t="n"/>
      <c r="N34" s="84" t="n"/>
      <c r="O34" s="84" t="n"/>
    </row>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I2">
    <cfRule type="expression" priority="1" dxfId="2">
      <formula>I2="PASS"</formula>
    </cfRule>
    <cfRule type="expression" priority="2" dxfId="3">
      <formula>I2="FAIL"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sheetPr>
  <dimension ref="B1:O15"/>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Market Data</t>
        </is>
      </c>
      <c r="C2" s="80" t="n"/>
      <c r="D2" s="80" t="n"/>
      <c r="E2" s="80" t="n"/>
      <c r="F2" s="80" t="n"/>
      <c r="G2" s="80" t="n"/>
      <c r="H2" s="81" t="inlineStr">
        <is>
          <t>CHECKS:</t>
        </is>
      </c>
      <c r="I2" s="82">
        <f>'90_CHECKS'!$E$4</f>
        <v/>
      </c>
      <c r="J2" s="4" t="inlineStr">
        <is>
          <t>Failed:</t>
        </is>
      </c>
      <c r="K2" s="5">
        <f>'90_CHECKS'!$E$5</f>
        <v/>
      </c>
    </row>
    <row r="3" ht="15" customHeight="1"/>
    <row r="4" ht="15" customHeight="1"/>
    <row r="5" ht="15" customHeight="1"/>
    <row r="6" ht="18" customHeight="1">
      <c r="B6" s="83" t="inlineStr">
        <is>
          <t>REFERENCE PRICE</t>
        </is>
      </c>
      <c r="C6" s="83" t="n"/>
      <c r="D6" s="83" t="n"/>
      <c r="E6" s="84" t="n"/>
      <c r="F6" s="84" t="n"/>
      <c r="G6" s="84" t="n"/>
      <c r="H6" s="84" t="n"/>
      <c r="I6" s="84" t="n"/>
      <c r="J6" s="84" t="n"/>
      <c r="K6" s="84" t="n"/>
      <c r="L6" s="84" t="n"/>
      <c r="M6" s="84" t="n"/>
      <c r="N6" s="84" t="n"/>
      <c r="O6" s="84" t="n"/>
    </row>
    <row r="7" ht="15" customHeight="1">
      <c r="B7" s="17" t="inlineStr">
        <is>
          <t>Reference price (P0)</t>
        </is>
      </c>
      <c r="C7" s="19" t="inlineStr">
        <is>
          <t>DKK/sh</t>
        </is>
      </c>
      <c r="E7" s="65" t="n">
        <v>100</v>
      </c>
    </row>
    <row r="8" ht="15" customHeight="1">
      <c r="B8" s="17" t="inlineStr">
        <is>
          <t>Reference price type</t>
        </is>
      </c>
      <c r="E8" s="18">
        <f>'01_CONTROL'!$E$10</f>
        <v/>
      </c>
    </row>
    <row r="9" ht="15" customHeight="1"/>
    <row r="10" ht="18" customHeight="1">
      <c r="B10" s="83" t="inlineStr">
        <is>
          <t>Market cap pre</t>
        </is>
      </c>
      <c r="C10" s="83" t="inlineStr">
        <is>
          <t>DKKm</t>
        </is>
      </c>
      <c r="D10" s="83" t="n"/>
      <c r="E10" s="114">
        <f>'02_ISSUER_INPUTS'!$E$7*E7</f>
        <v/>
      </c>
      <c r="F10" s="84" t="n"/>
      <c r="G10" s="84" t="n"/>
      <c r="H10" s="84" t="n"/>
      <c r="I10" s="84" t="n"/>
      <c r="J10" s="84" t="n"/>
      <c r="K10" s="84" t="n"/>
      <c r="L10" s="84" t="n"/>
      <c r="M10" s="84" t="n"/>
      <c r="N10" s="84" t="n"/>
      <c r="O10" s="84" t="n"/>
    </row>
    <row r="11" ht="15" customHeight="1"/>
    <row r="12" ht="15" customHeight="1"/>
    <row r="13" ht="15" customHeight="1"/>
    <row r="14" ht="18" customHeight="1">
      <c r="B14" s="83" t="inlineStr">
        <is>
          <t>OPTIONAL TRADING METRICS</t>
        </is>
      </c>
      <c r="C14" s="83" t="n"/>
      <c r="D14" s="83" t="n"/>
      <c r="E14" s="84" t="n"/>
      <c r="F14" s="84" t="n"/>
      <c r="G14" s="84" t="n"/>
      <c r="H14" s="84" t="n"/>
      <c r="I14" s="84" t="n"/>
      <c r="J14" s="84" t="n"/>
      <c r="K14" s="84" t="n"/>
      <c r="L14" s="84" t="n"/>
      <c r="M14" s="84" t="n"/>
      <c r="N14" s="84" t="n"/>
      <c r="O14" s="84" t="n"/>
    </row>
    <row r="15" ht="15" customHeight="1">
      <c r="B15" s="17" t="inlineStr">
        <is>
          <t>Volatility proxy (optional)</t>
        </is>
      </c>
      <c r="C15" s="19" t="inlineStr">
        <is>
          <t>%</t>
        </is>
      </c>
      <c r="E15" s="64" t="n">
        <v>0.3</v>
      </c>
    </row>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I2">
    <cfRule type="expression" priority="1" dxfId="2">
      <formula>I2="PASS"</formula>
    </cfRule>
    <cfRule type="expression" priority="2" dxfId="3">
      <formula>I2="FAIL"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sheetPr>
  <dimension ref="B1:O21"/>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Offer Setup</t>
        </is>
      </c>
      <c r="C2" s="80" t="n"/>
      <c r="D2" s="80" t="n"/>
      <c r="E2" s="80" t="n"/>
      <c r="F2" s="80" t="n"/>
      <c r="G2" s="80" t="n"/>
      <c r="H2" s="81" t="inlineStr">
        <is>
          <t>CHECKS:</t>
        </is>
      </c>
      <c r="I2" s="82">
        <f>'90_CHECKS'!$E$4</f>
        <v/>
      </c>
      <c r="J2" s="4" t="inlineStr">
        <is>
          <t>Failed:</t>
        </is>
      </c>
      <c r="K2" s="5">
        <f>'90_CHECKS'!$E$5</f>
        <v/>
      </c>
    </row>
    <row r="3" ht="15" customHeight="1"/>
    <row r="4" ht="15" customHeight="1"/>
    <row r="5" ht="15" customHeight="1"/>
    <row r="6" ht="18" customHeight="1">
      <c r="B6" s="83" t="inlineStr">
        <is>
          <t>CORE INPUTS AND PRICING</t>
        </is>
      </c>
      <c r="C6" s="83" t="n"/>
      <c r="D6" s="83" t="n"/>
      <c r="E6" s="84" t="n"/>
      <c r="F6" s="84" t="n"/>
      <c r="G6" s="84" t="n"/>
      <c r="H6" s="84" t="n"/>
      <c r="I6" s="84" t="n"/>
      <c r="J6" s="84" t="n"/>
      <c r="K6" s="84" t="n"/>
      <c r="L6" s="84" t="n"/>
      <c r="M6" s="84" t="n"/>
      <c r="N6" s="84" t="n"/>
      <c r="O6" s="84" t="n"/>
    </row>
    <row r="7" ht="18" customHeight="1">
      <c r="B7" s="83" t="n"/>
      <c r="C7" s="83" t="n"/>
      <c r="D7" s="83" t="n"/>
      <c r="E7" s="84" t="inlineStr">
        <is>
          <t>LOW</t>
        </is>
      </c>
      <c r="F7" s="84" t="inlineStr">
        <is>
          <t>BASE</t>
        </is>
      </c>
      <c r="G7" s="84" t="inlineStr">
        <is>
          <t>HIGH</t>
        </is>
      </c>
      <c r="H7" s="84" t="n"/>
      <c r="I7" s="84" t="n"/>
      <c r="J7" s="84" t="n"/>
      <c r="K7" s="84" t="n"/>
      <c r="L7" s="84" t="n"/>
      <c r="M7" s="84" t="n"/>
      <c r="N7" s="84" t="n"/>
      <c r="O7" s="84" t="n"/>
    </row>
    <row r="8" ht="15" customHeight="1">
      <c r="B8" s="17" t="inlineStr">
        <is>
          <t>Issue price (Ps)</t>
        </is>
      </c>
      <c r="C8" s="19" t="inlineStr">
        <is>
          <t>DKK/sh</t>
        </is>
      </c>
      <c r="E8" s="74">
        <f>IF('01_CONTROL'!$E$11="DISCOUNT",'03_MARKET_DATA'!$E$7*(1-'01_CONTROL'!E$28),'01_CONTROL'!E$29)</f>
        <v/>
      </c>
      <c r="F8" s="74">
        <f>IF('01_CONTROL'!$E$11="DISCOUNT",'03_MARKET_DATA'!$E$7*(1-'01_CONTROL'!F$28),'01_CONTROL'!F$29)</f>
        <v/>
      </c>
      <c r="G8" s="74">
        <f>IF('01_CONTROL'!$E$11="DISCOUNT",'03_MARKET_DATA'!$E$7*(1-'01_CONTROL'!G$28),'01_CONTROL'!G$29)</f>
        <v/>
      </c>
    </row>
    <row r="9" ht="15" customHeight="1">
      <c r="B9" s="17" t="inlineStr">
        <is>
          <t>Discount</t>
        </is>
      </c>
      <c r="C9" s="19" t="inlineStr">
        <is>
          <t>%</t>
        </is>
      </c>
      <c r="E9" s="75">
        <f>IFERROR(1-E$8/'03_MARKET_DATA'!$E$7,0)</f>
        <v/>
      </c>
      <c r="F9" s="75">
        <f>IFERROR(1-F$8/'03_MARKET_DATA'!$E$7,0)</f>
        <v/>
      </c>
      <c r="G9" s="75">
        <f>IFERROR(1-G$8/'03_MARKET_DATA'!$E$7,0)</f>
        <v/>
      </c>
    </row>
    <row r="10" ht="15" customHeight="1"/>
    <row r="11" ht="15" customHeight="1"/>
    <row r="12" ht="15" customHeight="1"/>
    <row r="13" ht="18" customHeight="1">
      <c r="B13" s="83" t="inlineStr">
        <is>
          <t>OFFER SIZING (PRIMARY AND SECONDARY)</t>
        </is>
      </c>
      <c r="C13" s="83" t="n"/>
      <c r="D13" s="83" t="n"/>
      <c r="E13" s="84" t="n"/>
      <c r="F13" s="84" t="n"/>
      <c r="G13" s="84" t="n"/>
      <c r="H13" s="84" t="n"/>
      <c r="I13" s="84" t="n"/>
      <c r="J13" s="84" t="n"/>
      <c r="K13" s="84" t="n"/>
      <c r="L13" s="84" t="n"/>
      <c r="M13" s="84" t="n"/>
      <c r="N13" s="84" t="n"/>
      <c r="O13" s="84" t="n"/>
    </row>
    <row r="14" ht="15" customHeight="1">
      <c r="B14" s="17" t="inlineStr">
        <is>
          <t>Raise mode</t>
        </is>
      </c>
      <c r="E14" s="18">
        <f>'01_CONTROL'!$E$13</f>
        <v/>
      </c>
    </row>
    <row r="15" ht="15" customHeight="1">
      <c r="B15" s="17" t="inlineStr">
        <is>
          <t>Primary new shares</t>
        </is>
      </c>
      <c r="C15" s="19" t="inlineStr">
        <is>
          <t>m sh</t>
        </is>
      </c>
      <c r="E15" s="69">
        <f>IF('01_CONTROL'!$E$13="TARGET_GROSS",'01_CONTROL'!E$30/E$8,IF('01_CONTROL'!$E$13="TARGET_NET",('01_CONTROL'!E$31 + '01_CONTROL'!$E$40)/(1-('01_CONTROL'!$E$38+'01_CONTROL'!$E$39))/E$8,'01_CONTROL'!E$32))</f>
        <v/>
      </c>
      <c r="F15" s="69">
        <f>IF('01_CONTROL'!$E$13="TARGET_GROSS",'01_CONTROL'!F$30/F$8,IF('01_CONTROL'!$E$13="TARGET_NET",('01_CONTROL'!F$31 + '01_CONTROL'!$E$40)/(1-('01_CONTROL'!$E$38+'01_CONTROL'!$E$39))/F$8,'01_CONTROL'!F$32))</f>
        <v/>
      </c>
      <c r="G15" s="69">
        <f>IF('01_CONTROL'!$E$13="TARGET_GROSS",'01_CONTROL'!G$30/G$8,IF('01_CONTROL'!$E$13="TARGET_NET",('01_CONTROL'!G$31 + '01_CONTROL'!$E$40)/(1-('01_CONTROL'!$E$38+'01_CONTROL'!$E$39))/G$8,'01_CONTROL'!G$32))</f>
        <v/>
      </c>
    </row>
    <row r="16" ht="15" customHeight="1">
      <c r="B16" s="17" t="inlineStr">
        <is>
          <t>Secondary shares sold</t>
        </is>
      </c>
      <c r="C16" s="19" t="inlineStr">
        <is>
          <t>m sh</t>
        </is>
      </c>
      <c r="E16" s="59">
        <f>'01_CONTROL'!E$33</f>
        <v/>
      </c>
      <c r="F16" s="59">
        <f>'01_CONTROL'!F$33</f>
        <v/>
      </c>
      <c r="G16" s="59">
        <f>'01_CONTROL'!G$33</f>
        <v/>
      </c>
    </row>
    <row r="17" ht="15" customHeight="1">
      <c r="B17" s="17" t="inlineStr">
        <is>
          <t>Total shares sold</t>
        </is>
      </c>
      <c r="C17" s="19" t="inlineStr">
        <is>
          <t>m sh</t>
        </is>
      </c>
      <c r="E17" s="70">
        <f>E$15+E$16</f>
        <v/>
      </c>
      <c r="F17" s="70">
        <f>F$15+F$16</f>
        <v/>
      </c>
      <c r="G17" s="70">
        <f>G$15+G$16</f>
        <v/>
      </c>
    </row>
    <row r="18" ht="15" customHeight="1"/>
    <row r="19" ht="15" customHeight="1">
      <c r="B19" s="17" t="inlineStr">
        <is>
          <t>Gross proceeds (primary)</t>
        </is>
      </c>
      <c r="C19" s="19" t="inlineStr">
        <is>
          <t>DKKm</t>
        </is>
      </c>
      <c r="E19" s="73">
        <f>E$15*E$8</f>
        <v/>
      </c>
      <c r="F19" s="73">
        <f>F$15*F$8</f>
        <v/>
      </c>
      <c r="G19" s="73">
        <f>G$15*G$8</f>
        <v/>
      </c>
    </row>
    <row r="20" ht="15" customHeight="1">
      <c r="B20" s="17" t="inlineStr">
        <is>
          <t>Gross proceeds (secondary)</t>
        </is>
      </c>
      <c r="C20" s="19" t="inlineStr">
        <is>
          <t>DKKm</t>
        </is>
      </c>
      <c r="E20" s="76">
        <f>E$16*E$8</f>
        <v/>
      </c>
      <c r="F20" s="76">
        <f>F$16*F$8</f>
        <v/>
      </c>
      <c r="G20" s="76">
        <f>G$16*G$8</f>
        <v/>
      </c>
    </row>
    <row r="21" ht="15" customHeight="1">
      <c r="B21" s="17" t="inlineStr">
        <is>
          <t>Gross proceeds (total)</t>
        </is>
      </c>
      <c r="C21" s="19" t="inlineStr">
        <is>
          <t>DKKm</t>
        </is>
      </c>
      <c r="E21" s="73">
        <f>E$19+E$20</f>
        <v/>
      </c>
      <c r="F21" s="73">
        <f>F$19+F$20</f>
        <v/>
      </c>
      <c r="G21" s="73">
        <f>G$19+G$20</f>
        <v/>
      </c>
    </row>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I2">
    <cfRule type="expression" priority="1" dxfId="2">
      <formula>I2="PASS"</formula>
    </cfRule>
    <cfRule type="expression" priority="2" dxfId="3">
      <formula>I2="FAIL"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xl/worksheets/sheet6.xml><?xml version="1.0" encoding="utf-8"?>
<worksheet xmlns="http://schemas.openxmlformats.org/spreadsheetml/2006/main">
  <sheetPr>
    <outlinePr summaryBelow="1" summaryRight="1"/>
    <pageSetUpPr/>
  </sheetPr>
  <dimension ref="A1:O99"/>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Rights Issue: TERP and Entitlement</t>
        </is>
      </c>
      <c r="C2" s="80" t="n"/>
      <c r="D2" s="80" t="n"/>
      <c r="E2" s="80" t="n"/>
      <c r="F2" s="80" t="n"/>
      <c r="G2" s="80" t="n"/>
      <c r="H2" s="81" t="inlineStr">
        <is>
          <t>CHECKS:</t>
        </is>
      </c>
      <c r="I2" s="82">
        <f>'90_CHECKS'!$E$4</f>
        <v/>
      </c>
      <c r="J2" s="4" t="inlineStr">
        <is>
          <t>Failed:</t>
        </is>
      </c>
      <c r="K2" s="5">
        <f>'90_CHECKS'!$E$5</f>
        <v/>
      </c>
    </row>
    <row r="3" ht="15" customHeight="1"/>
    <row r="4" ht="15" customHeight="1"/>
    <row r="5" ht="15" customHeight="1"/>
    <row r="6" ht="18" customHeight="1">
      <c r="B6" s="83" t="inlineStr">
        <is>
          <t>TERP MECHANICS</t>
        </is>
      </c>
      <c r="C6" s="83" t="n"/>
      <c r="D6" s="83" t="n"/>
      <c r="E6" s="84" t="n"/>
      <c r="F6" s="84" t="n"/>
      <c r="G6" s="84" t="n"/>
      <c r="H6" s="84" t="n"/>
      <c r="I6" s="84" t="n"/>
      <c r="J6" s="84" t="n"/>
      <c r="K6" s="84" t="n"/>
      <c r="L6" s="84" t="n"/>
      <c r="M6" s="84" t="n"/>
      <c r="N6" s="84" t="n"/>
      <c r="O6" s="84" t="n"/>
    </row>
    <row r="7" ht="18" customHeight="1">
      <c r="B7" s="83" t="n"/>
      <c r="C7" s="83" t="n"/>
      <c r="D7" s="83" t="n"/>
      <c r="E7" s="84" t="inlineStr">
        <is>
          <t>LOW</t>
        </is>
      </c>
      <c r="F7" s="84" t="inlineStr">
        <is>
          <t>BASE</t>
        </is>
      </c>
      <c r="G7" s="84" t="inlineStr">
        <is>
          <t>HIGH</t>
        </is>
      </c>
      <c r="H7" s="84" t="n"/>
      <c r="I7" s="84" t="n"/>
      <c r="J7" s="84" t="n"/>
      <c r="K7" s="84" t="n"/>
      <c r="L7" s="84" t="n"/>
      <c r="M7" s="84" t="n"/>
      <c r="N7" s="84" t="n"/>
      <c r="O7" s="84" t="n"/>
    </row>
    <row r="8" ht="15" customHeight="1">
      <c r="B8" s="17" t="inlineStr">
        <is>
          <t>Pre shares (N)</t>
        </is>
      </c>
      <c r="C8" s="19" t="inlineStr">
        <is>
          <t>m sh</t>
        </is>
      </c>
      <c r="E8" s="59">
        <f>'02_ISSUER_INPUTS'!$E$7</f>
        <v/>
      </c>
      <c r="F8" s="59">
        <f>'02_ISSUER_INPUTS'!$E$7</f>
        <v/>
      </c>
      <c r="G8" s="59">
        <f>'02_ISSUER_INPUTS'!$E$7</f>
        <v/>
      </c>
    </row>
    <row r="9" ht="15" customHeight="1">
      <c r="B9" s="17" t="inlineStr">
        <is>
          <t>New shares marketed (M)</t>
        </is>
      </c>
      <c r="C9" s="19" t="inlineStr">
        <is>
          <t>m sh</t>
        </is>
      </c>
      <c r="E9" s="59">
        <f>'04_OFFER_SETUP'!E$15</f>
        <v/>
      </c>
      <c r="F9" s="59">
        <f>'04_OFFER_SETUP'!F$15</f>
        <v/>
      </c>
      <c r="G9" s="59">
        <f>'04_OFFER_SETUP'!G$15</f>
        <v/>
      </c>
    </row>
    <row r="10" ht="15" customHeight="1">
      <c r="B10" s="17" t="inlineStr">
        <is>
          <t>Reference price (P0)</t>
        </is>
      </c>
      <c r="C10" s="19" t="inlineStr">
        <is>
          <t>DKK/sh</t>
        </is>
      </c>
      <c r="E10" s="57">
        <f>'03_MARKET_DATA'!$E$7</f>
        <v/>
      </c>
      <c r="F10" s="57">
        <f>'03_MARKET_DATA'!$E$7</f>
        <v/>
      </c>
      <c r="G10" s="57">
        <f>'03_MARKET_DATA'!$E$7</f>
        <v/>
      </c>
    </row>
    <row r="11" ht="15" customHeight="1">
      <c r="B11" s="17" t="inlineStr">
        <is>
          <t>Issue price (Ps)</t>
        </is>
      </c>
      <c r="C11" s="19" t="inlineStr">
        <is>
          <t>DKK/sh</t>
        </is>
      </c>
      <c r="E11" s="57">
        <f>'04_OFFER_SETUP'!E$8</f>
        <v/>
      </c>
      <c r="F11" s="57">
        <f>'04_OFFER_SETUP'!F$8</f>
        <v/>
      </c>
      <c r="G11" s="57">
        <f>'04_OFFER_SETUP'!G$8</f>
        <v/>
      </c>
    </row>
    <row r="12" ht="15" customHeight="1">
      <c r="B12" s="17" t="inlineStr">
        <is>
          <t>TERP</t>
        </is>
      </c>
      <c r="C12" s="19" t="inlineStr">
        <is>
          <t>DKK/sh</t>
        </is>
      </c>
      <c r="E12" s="74">
        <f>IFERROR((E$8*E$10+E$9*E$11)/(E$8+E$9),0)</f>
        <v/>
      </c>
      <c r="F12" s="74">
        <f>IFERROR((F$8*F$10+F$9*F$11)/(F$8+F$9),0)</f>
        <v/>
      </c>
      <c r="G12" s="74">
        <f>IFERROR((G$8*G$10+G$9*G$11)/(G$8+G$9),0)</f>
        <v/>
      </c>
    </row>
    <row r="13" ht="15" customHeight="1">
      <c r="B13" s="17" t="inlineStr">
        <is>
          <t>Value of right (P0 - TERP)</t>
        </is>
      </c>
      <c r="C13" s="19" t="inlineStr">
        <is>
          <t>DKK/sh</t>
        </is>
      </c>
      <c r="E13" s="77">
        <f>E$10-E$12</f>
        <v/>
      </c>
      <c r="F13" s="77">
        <f>F$10-F$12</f>
        <v/>
      </c>
      <c r="G13" s="77">
        <f>G$10-G$12</f>
        <v/>
      </c>
    </row>
    <row r="14" ht="15" customHeight="1"/>
    <row r="15" ht="15" customHeight="1"/>
    <row r="16" ht="15" customHeight="1"/>
    <row r="17" ht="18" customHeight="1">
      <c r="B17" s="83" t="inlineStr">
        <is>
          <t>TAKE UP AND RUMP</t>
        </is>
      </c>
      <c r="C17" s="83" t="n"/>
      <c r="D17" s="83" t="n"/>
      <c r="E17" s="84" t="n"/>
      <c r="F17" s="84" t="n"/>
      <c r="G17" s="84" t="n"/>
      <c r="H17" s="84" t="n"/>
      <c r="I17" s="84" t="n"/>
      <c r="J17" s="84" t="n"/>
      <c r="K17" s="84" t="n"/>
      <c r="L17" s="84" t="n"/>
      <c r="M17" s="84" t="n"/>
      <c r="N17" s="84" t="n"/>
      <c r="O17" s="84" t="n"/>
    </row>
    <row r="18" ht="15" customHeight="1">
      <c r="B18" s="17" t="inlineStr">
        <is>
          <t>Underwriting</t>
        </is>
      </c>
      <c r="E18" s="18">
        <f>'01_CONTROL'!$E$16</f>
        <v/>
      </c>
    </row>
    <row r="19" ht="15" customHeight="1">
      <c r="B19" s="17" t="inlineStr">
        <is>
          <t>Take up rate</t>
        </is>
      </c>
      <c r="C19" s="19" t="inlineStr">
        <is>
          <t>%</t>
        </is>
      </c>
      <c r="E19" s="58">
        <f>'01_CONTROL'!$E$19</f>
        <v/>
      </c>
    </row>
    <row r="20" ht="15" customHeight="1"/>
    <row r="21" ht="15" customHeight="1">
      <c r="B21" s="17" t="inlineStr">
        <is>
          <t>Subscribed shares (M * take up)</t>
        </is>
      </c>
      <c r="C21" s="19" t="inlineStr">
        <is>
          <t>m sh</t>
        </is>
      </c>
      <c r="E21" s="70">
        <f>E$9*$E$19</f>
        <v/>
      </c>
      <c r="F21" s="70">
        <f>F$9*$E$19</f>
        <v/>
      </c>
      <c r="G21" s="70">
        <f>G$9*$E$19</f>
        <v/>
      </c>
    </row>
    <row r="22" ht="15" customHeight="1">
      <c r="B22" s="17" t="inlineStr">
        <is>
          <t>Rump shares</t>
        </is>
      </c>
      <c r="C22" s="19" t="inlineStr">
        <is>
          <t>m sh</t>
        </is>
      </c>
      <c r="E22" s="70">
        <f>E$9-E$21</f>
        <v/>
      </c>
      <c r="F22" s="70">
        <f>F$9-F$21</f>
        <v/>
      </c>
      <c r="G22" s="70">
        <f>G$9-G$21</f>
        <v/>
      </c>
    </row>
    <row r="23" ht="15" customHeight="1">
      <c r="B23" s="17" t="inlineStr">
        <is>
          <t>Issued shares</t>
        </is>
      </c>
      <c r="C23" s="19" t="inlineStr">
        <is>
          <t>m sh</t>
        </is>
      </c>
      <c r="E23" s="69">
        <f>IF($E$18="BEST_EFFORTS",E$21,E$9)</f>
        <v/>
      </c>
      <c r="F23" s="69">
        <f>IF($E$18="BEST_EFFORTS",F$21,F$9)</f>
        <v/>
      </c>
      <c r="G23" s="69">
        <f>IF($E$18="BEST_EFFORTS",G$21,G$9)</f>
        <v/>
      </c>
    </row>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I2">
    <cfRule type="expression" priority="1" dxfId="2">
      <formula>I2="PASS"</formula>
    </cfRule>
    <cfRule type="expression" priority="2" dxfId="3">
      <formula>I2="FAIL"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xl/worksheets/sheet7.xml><?xml version="1.0" encoding="utf-8"?>
<worksheet xmlns="http://schemas.openxmlformats.org/spreadsheetml/2006/main">
  <sheetPr>
    <outlinePr summaryBelow="1" summaryRight="1"/>
    <pageSetUpPr/>
  </sheetPr>
  <dimension ref="A1:O249"/>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Cap Table and Ownership</t>
        </is>
      </c>
      <c r="C2" s="80" t="n"/>
      <c r="D2" s="80" t="n"/>
      <c r="E2" s="80" t="n"/>
      <c r="F2" s="80" t="n"/>
      <c r="G2" s="80" t="n"/>
      <c r="H2" s="81" t="inlineStr">
        <is>
          <t>CHECKS:</t>
        </is>
      </c>
      <c r="I2" s="82">
        <f>'90_CHECKS'!$E$4</f>
        <v/>
      </c>
      <c r="J2" s="4" t="inlineStr">
        <is>
          <t>Failed:</t>
        </is>
      </c>
      <c r="K2" s="5">
        <f>'90_CHECKS'!$E$5</f>
        <v/>
      </c>
    </row>
    <row r="3" ht="15" customHeight="1"/>
    <row r="4" ht="15" customHeight="1"/>
    <row r="5" ht="15" customHeight="1"/>
    <row r="6" ht="18" customHeight="1">
      <c r="B6" s="83" t="inlineStr">
        <is>
          <t>SHARE COUNT BRIDGE</t>
        </is>
      </c>
      <c r="C6" s="83" t="n"/>
      <c r="D6" s="83" t="n"/>
      <c r="E6" s="84" t="n"/>
      <c r="F6" s="84" t="n"/>
      <c r="G6" s="84" t="n"/>
      <c r="H6" s="84" t="n"/>
      <c r="I6" s="84" t="n"/>
      <c r="J6" s="84" t="n"/>
      <c r="K6" s="84" t="n"/>
      <c r="L6" s="84" t="n"/>
      <c r="M6" s="84" t="n"/>
      <c r="N6" s="84" t="n"/>
      <c r="O6" s="84" t="n"/>
    </row>
    <row r="7" ht="18" customHeight="1">
      <c r="B7" s="83" t="n"/>
      <c r="C7" s="83" t="n"/>
      <c r="D7" s="83" t="n"/>
      <c r="E7" s="84" t="inlineStr">
        <is>
          <t>LOW</t>
        </is>
      </c>
      <c r="F7" s="84" t="inlineStr">
        <is>
          <t>BASE</t>
        </is>
      </c>
      <c r="G7" s="84" t="inlineStr">
        <is>
          <t>HIGH</t>
        </is>
      </c>
      <c r="H7" s="84" t="n"/>
      <c r="I7" s="84" t="n"/>
      <c r="J7" s="84" t="n"/>
      <c r="K7" s="84" t="n"/>
      <c r="L7" s="84" t="n"/>
      <c r="M7" s="84" t="n"/>
      <c r="N7" s="84" t="n"/>
      <c r="O7" s="84" t="n"/>
    </row>
    <row r="8" ht="15" customHeight="1">
      <c r="B8" s="17" t="inlineStr">
        <is>
          <t>Offer type</t>
        </is>
      </c>
      <c r="E8" s="18">
        <f>'01_CONTROL'!$E$8</f>
        <v/>
      </c>
      <c r="F8">
        <f>E8</f>
        <v/>
      </c>
      <c r="G8">
        <f>E8</f>
        <v/>
      </c>
    </row>
    <row r="9" ht="15" customHeight="1">
      <c r="B9" s="17" t="inlineStr">
        <is>
          <t>Pre shares</t>
        </is>
      </c>
      <c r="C9" s="19" t="inlineStr">
        <is>
          <t>m sh</t>
        </is>
      </c>
      <c r="E9" s="59">
        <f>'02_ISSUER_INPUTS'!$E$7</f>
        <v/>
      </c>
      <c r="F9" s="59">
        <f>'02_ISSUER_INPUTS'!$E$7</f>
        <v/>
      </c>
      <c r="G9" s="59">
        <f>'02_ISSUER_INPUTS'!$E$7</f>
        <v/>
      </c>
    </row>
    <row r="10" ht="15" customHeight="1">
      <c r="B10" s="17" t="inlineStr">
        <is>
          <t>New shares marketed (primary)</t>
        </is>
      </c>
      <c r="C10" s="19" t="inlineStr">
        <is>
          <t>m sh</t>
        </is>
      </c>
      <c r="E10" s="59">
        <f>'04_OFFER_SETUP'!E$15</f>
        <v/>
      </c>
      <c r="F10" s="59">
        <f>'04_OFFER_SETUP'!F$15</f>
        <v/>
      </c>
      <c r="G10" s="59">
        <f>'04_OFFER_SETUP'!G$15</f>
        <v/>
      </c>
    </row>
    <row r="11" ht="15" customHeight="1">
      <c r="B11" s="17" t="inlineStr">
        <is>
          <t>Take up rate (RI)</t>
        </is>
      </c>
      <c r="C11" s="19" t="inlineStr">
        <is>
          <t>%</t>
        </is>
      </c>
      <c r="E11" s="58">
        <f>'01_CONTROL'!$E$19</f>
        <v/>
      </c>
      <c r="F11">
        <f>E11</f>
        <v/>
      </c>
      <c r="G11">
        <f>E11</f>
        <v/>
      </c>
    </row>
    <row r="12" ht="15" customHeight="1">
      <c r="B12" s="17" t="inlineStr">
        <is>
          <t>New shares issued</t>
        </is>
      </c>
      <c r="C12" s="19" t="inlineStr">
        <is>
          <t>m sh</t>
        </is>
      </c>
      <c r="E12" s="69">
        <f>IF($E$8="RIGHTS ISSUE",IF('01_CONTROL'!$E$16="BEST_EFFORTS",E$10*$E$11,E$10),E$10)</f>
        <v/>
      </c>
      <c r="F12" s="69">
        <f>IF($E$8="RIGHTS ISSUE",IF('01_CONTROL'!$E$16="BEST_EFFORTS",F$10*$E$11,F$10),F$10)</f>
        <v/>
      </c>
      <c r="G12" s="69">
        <f>IF($E$8="RIGHTS ISSUE",IF('01_CONTROL'!$E$16="BEST_EFFORTS",G$10*$E$11,G$10),G$10)</f>
        <v/>
      </c>
    </row>
    <row r="13" ht="15" customHeight="1">
      <c r="B13" s="17" t="inlineStr">
        <is>
          <t>Post shares</t>
        </is>
      </c>
      <c r="C13" s="19" t="inlineStr">
        <is>
          <t>m sh</t>
        </is>
      </c>
      <c r="E13" s="69">
        <f>E$9+E$12</f>
        <v/>
      </c>
      <c r="F13" s="69">
        <f>F$9+F$12</f>
        <v/>
      </c>
      <c r="G13" s="69">
        <f>G$9+G$12</f>
        <v/>
      </c>
    </row>
    <row r="14" ht="15" customHeight="1">
      <c r="B14" s="17" t="inlineStr">
        <is>
          <t>Dilution to non participating</t>
        </is>
      </c>
      <c r="C14" s="19" t="inlineStr">
        <is>
          <t>%</t>
        </is>
      </c>
      <c r="E14" s="75">
        <f>IFERROR(1-(E$9/E$13),0)</f>
        <v/>
      </c>
      <c r="F14" s="75">
        <f>IFERROR(1-(F$9/F$13),0)</f>
        <v/>
      </c>
      <c r="G14" s="75">
        <f>IFERROR(1-(G$9/G$13),0)</f>
        <v/>
      </c>
    </row>
    <row r="15" ht="15" customHeight="1"/>
    <row r="16" ht="15" customHeight="1"/>
    <row r="17" ht="15" customHeight="1"/>
    <row r="18" ht="18" customHeight="1">
      <c r="B18" s="83" t="inlineStr">
        <is>
          <t>OWNERSHIP TABLE (BASE)</t>
        </is>
      </c>
      <c r="C18" s="83" t="n"/>
      <c r="D18" s="83" t="n"/>
      <c r="E18" s="84" t="n"/>
      <c r="F18" s="84" t="n"/>
      <c r="G18" s="84" t="n"/>
      <c r="H18" s="84" t="n"/>
      <c r="I18" s="84" t="n"/>
      <c r="J18" s="84" t="n"/>
      <c r="K18" s="84" t="n"/>
      <c r="L18" s="84" t="n"/>
      <c r="M18" s="84" t="n"/>
      <c r="N18" s="84" t="n"/>
      <c r="O18" s="84" t="n"/>
    </row>
    <row r="19" ht="15" customHeight="1">
      <c r="B19" s="38" t="inlineStr">
        <is>
          <t>Holder</t>
        </is>
      </c>
      <c r="C19" s="38" t="inlineStr">
        <is>
          <t>Bucket</t>
        </is>
      </c>
      <c r="D19" s="38" t="inlineStr">
        <is>
          <t>Pre %</t>
        </is>
      </c>
      <c r="E19" s="38" t="inlineStr">
        <is>
          <t>Pre shares (m)</t>
        </is>
      </c>
      <c r="F19" s="38" t="inlineStr">
        <is>
          <t>New shares (m)</t>
        </is>
      </c>
      <c r="G19" s="38" t="inlineStr">
        <is>
          <t>Post shares (m)</t>
        </is>
      </c>
      <c r="H19" s="38" t="inlineStr">
        <is>
          <t>Post %</t>
        </is>
      </c>
      <c r="I19" s="38" t="inlineStr">
        <is>
          <t>Delta %</t>
        </is>
      </c>
    </row>
    <row r="20" ht="15" customHeight="1">
      <c r="B20" s="51">
        <f>'02_ISSUER_INPUTS'!B15</f>
        <v/>
      </c>
      <c r="C20" s="51">
        <f>'02_ISSUER_INPUTS'!C15</f>
        <v/>
      </c>
      <c r="D20" s="58">
        <f>'02_ISSUER_INPUTS'!D15</f>
        <v/>
      </c>
      <c r="E20" s="59">
        <f>'02_ISSUER_INPUTS'!G15</f>
        <v/>
      </c>
      <c r="F20" s="70">
        <f>IF($E$8="RIGHTS ISSUE",IF($B20="New investors (post)",0,IFERROR($E20*($F$10/$F$9)*$E$11*'02_ISSUER_INPUTS'!E15,0)),IFERROR($F$12*'02_ISSUER_INPUTS'!F15,0))</f>
        <v/>
      </c>
      <c r="G20" s="70">
        <f>$E20+F20</f>
        <v/>
      </c>
      <c r="H20" s="75">
        <f>IFERROR(G20/$F$13,0)</f>
        <v/>
      </c>
      <c r="I20" s="75">
        <f>H20-D20</f>
        <v/>
      </c>
    </row>
    <row r="21" ht="15" customHeight="1">
      <c r="B21" s="51">
        <f>'02_ISSUER_INPUTS'!B16</f>
        <v/>
      </c>
      <c r="C21" s="51">
        <f>'02_ISSUER_INPUTS'!C16</f>
        <v/>
      </c>
      <c r="D21" s="58">
        <f>'02_ISSUER_INPUTS'!D16</f>
        <v/>
      </c>
      <c r="E21" s="59">
        <f>'02_ISSUER_INPUTS'!G16</f>
        <v/>
      </c>
      <c r="F21" s="70">
        <f>IF($E$8="RIGHTS ISSUE",IF($B21="New investors (post)",0,IFERROR($E21*($F$10/$F$9)*$E$11*'02_ISSUER_INPUTS'!E16,0)),IFERROR($F$12*'02_ISSUER_INPUTS'!F16,0))</f>
        <v/>
      </c>
      <c r="G21" s="70">
        <f>$E21+F21</f>
        <v/>
      </c>
      <c r="H21" s="75">
        <f>IFERROR(G21/$F$13,0)</f>
        <v/>
      </c>
      <c r="I21" s="75">
        <f>H21-D21</f>
        <v/>
      </c>
    </row>
    <row r="22" ht="15" customHeight="1">
      <c r="B22" s="51">
        <f>'02_ISSUER_INPUTS'!B17</f>
        <v/>
      </c>
      <c r="C22" s="51">
        <f>'02_ISSUER_INPUTS'!C17</f>
        <v/>
      </c>
      <c r="D22" s="58">
        <f>'02_ISSUER_INPUTS'!D17</f>
        <v/>
      </c>
      <c r="E22" s="59">
        <f>'02_ISSUER_INPUTS'!G17</f>
        <v/>
      </c>
      <c r="F22" s="70">
        <f>IF($E$8="RIGHTS ISSUE",IF($B22="New investors (post)",0,IFERROR($E22*($F$10/$F$9)*$E$11*'02_ISSUER_INPUTS'!E17,0)),IFERROR($F$12*'02_ISSUER_INPUTS'!F17,0))</f>
        <v/>
      </c>
      <c r="G22" s="70">
        <f>$E22+F22</f>
        <v/>
      </c>
      <c r="H22" s="75">
        <f>IFERROR(G22/$F$13,0)</f>
        <v/>
      </c>
      <c r="I22" s="75">
        <f>H22-D22</f>
        <v/>
      </c>
    </row>
    <row r="23" ht="15" customHeight="1">
      <c r="B23" s="51">
        <f>'02_ISSUER_INPUTS'!B18</f>
        <v/>
      </c>
      <c r="C23" s="51">
        <f>'02_ISSUER_INPUTS'!C18</f>
        <v/>
      </c>
      <c r="D23" s="58">
        <f>'02_ISSUER_INPUTS'!D18</f>
        <v/>
      </c>
      <c r="E23" s="59">
        <f>'02_ISSUER_INPUTS'!G18</f>
        <v/>
      </c>
      <c r="F23" s="70">
        <f>IF($E$8="RIGHTS ISSUE",IF($B23="New investors (post)",0,IFERROR($E23*($F$10/$F$9)*$E$11*'02_ISSUER_INPUTS'!E18,0)),IFERROR($F$12*'02_ISSUER_INPUTS'!F18,0))</f>
        <v/>
      </c>
      <c r="G23" s="70">
        <f>$E23+F23</f>
        <v/>
      </c>
      <c r="H23" s="75">
        <f>IFERROR(G23/$F$13,0)</f>
        <v/>
      </c>
      <c r="I23" s="75">
        <f>H23-D23</f>
        <v/>
      </c>
    </row>
    <row r="24" ht="15" customHeight="1">
      <c r="B24" s="51">
        <f>'02_ISSUER_INPUTS'!B19</f>
        <v/>
      </c>
      <c r="C24" s="51">
        <f>'02_ISSUER_INPUTS'!C19</f>
        <v/>
      </c>
      <c r="D24" s="58">
        <f>'02_ISSUER_INPUTS'!D19</f>
        <v/>
      </c>
      <c r="E24" s="59">
        <f>'02_ISSUER_INPUTS'!G19</f>
        <v/>
      </c>
      <c r="F24" s="70">
        <f>IF($E$8="RIGHTS ISSUE",IF($B24="New investors (post)",0,IFERROR($E24*($F$10/$F$9)*$E$11*'02_ISSUER_INPUTS'!E19,0)),IFERROR($F$12*'02_ISSUER_INPUTS'!F19,0))</f>
        <v/>
      </c>
      <c r="G24" s="70">
        <f>$E24+F24</f>
        <v/>
      </c>
      <c r="H24" s="75">
        <f>IFERROR(G24/$F$13,0)</f>
        <v/>
      </c>
      <c r="I24" s="75">
        <f>H24-D24</f>
        <v/>
      </c>
    </row>
    <row r="25" ht="15" customHeight="1">
      <c r="B25" s="51">
        <f>'02_ISSUER_INPUTS'!B20</f>
        <v/>
      </c>
      <c r="C25" s="51">
        <f>'02_ISSUER_INPUTS'!C20</f>
        <v/>
      </c>
      <c r="D25" s="58">
        <f>'02_ISSUER_INPUTS'!D20</f>
        <v/>
      </c>
      <c r="E25" s="59">
        <f>'02_ISSUER_INPUTS'!G20</f>
        <v/>
      </c>
      <c r="F25" s="70">
        <f>IF($E$8="RIGHTS ISSUE",IF($B25="New investors (post)",0,IFERROR($E25*($F$10/$F$9)*$E$11*'02_ISSUER_INPUTS'!E20,0)),IFERROR($F$12*'02_ISSUER_INPUTS'!F20,0))</f>
        <v/>
      </c>
      <c r="G25" s="70">
        <f>$E25+F25</f>
        <v/>
      </c>
      <c r="H25" s="75">
        <f>IFERROR(G25/$F$13,0)</f>
        <v/>
      </c>
      <c r="I25" s="75">
        <f>H25-D25</f>
        <v/>
      </c>
    </row>
    <row r="26" ht="15" customHeight="1">
      <c r="B26" s="51">
        <f>'02_ISSUER_INPUTS'!B21</f>
        <v/>
      </c>
      <c r="C26" s="51">
        <f>'02_ISSUER_INPUTS'!C21</f>
        <v/>
      </c>
      <c r="D26" s="58">
        <f>'02_ISSUER_INPUTS'!D21</f>
        <v/>
      </c>
      <c r="E26" s="59">
        <f>'02_ISSUER_INPUTS'!G21</f>
        <v/>
      </c>
      <c r="F26" s="70">
        <f>IF($E$8="RIGHTS ISSUE",IF('01_CONTROL'!$E$16="FULLY_UNDERWRITTEN",$E$28,0),MAX(0,$F$12-SUM(F20:F25)))</f>
        <v/>
      </c>
      <c r="G26" s="70">
        <f>$E26+F26</f>
        <v/>
      </c>
      <c r="H26" s="75">
        <f>IFERROR(G26/$F$13,0)</f>
        <v/>
      </c>
      <c r="I26" s="75">
        <f>H26-D26</f>
        <v/>
      </c>
    </row>
    <row r="27" ht="15" customHeight="1">
      <c r="B27" s="51">
        <f>'02_ISSUER_INPUTS'!B22</f>
        <v/>
      </c>
      <c r="C27" s="51">
        <f>'02_ISSUER_INPUTS'!C22</f>
        <v/>
      </c>
      <c r="D27" s="58">
        <f>'02_ISSUER_INPUTS'!D22</f>
        <v/>
      </c>
      <c r="E27" s="59">
        <f>'02_ISSUER_INPUTS'!G22</f>
        <v/>
      </c>
      <c r="F27" s="70">
        <f>IF($E$8="RIGHTS ISSUE",IF($B27="New investors (post)",0,IFERROR($E27*($F$10/$F$9)*$E$11*'02_ISSUER_INPUTS'!E22,0)),IFERROR($F$12*'02_ISSUER_INPUTS'!F22,0))</f>
        <v/>
      </c>
      <c r="G27" s="70">
        <f>$E27+F27</f>
        <v/>
      </c>
      <c r="H27" s="75">
        <f>IFERROR(G27/$F$13,0)</f>
        <v/>
      </c>
      <c r="I27" s="75">
        <f>H27-D27</f>
        <v/>
      </c>
    </row>
    <row r="28" ht="18" customHeight="1">
      <c r="B28" s="83" t="inlineStr">
        <is>
          <t>Residual new shares (base)</t>
        </is>
      </c>
      <c r="C28" s="83" t="inlineStr">
        <is>
          <t>m sh</t>
        </is>
      </c>
      <c r="D28" s="83" t="n"/>
      <c r="E28" s="112">
        <f>MAX(0,$F$12-SUM(F20:F25))</f>
        <v/>
      </c>
      <c r="F28" s="84" t="n"/>
      <c r="G28" s="84" t="n"/>
      <c r="H28" s="84" t="n"/>
      <c r="I28" s="84" t="n"/>
      <c r="J28" s="84" t="n"/>
      <c r="K28" s="84" t="n"/>
      <c r="L28" s="84" t="n"/>
      <c r="M28" s="84" t="n"/>
      <c r="N28" s="84" t="n"/>
      <c r="O28" s="84" t="n"/>
    </row>
    <row r="29" ht="15" customHeight="1">
      <c r="B29" s="40" t="inlineStr">
        <is>
          <t>TOTAL</t>
        </is>
      </c>
      <c r="C29" s="41" t="n"/>
      <c r="D29" s="71">
        <f>SUM(D20:D27)</f>
        <v/>
      </c>
      <c r="E29" s="72">
        <f>SUM(E20:E27)</f>
        <v/>
      </c>
      <c r="F29" s="72">
        <f>SUM(F20:F27)</f>
        <v/>
      </c>
      <c r="G29" s="72">
        <f>SUM(G20:G27)</f>
        <v/>
      </c>
      <c r="H29" s="71">
        <f>SUM(H20:H27)</f>
        <v/>
      </c>
      <c r="I29" s="43" t="n"/>
    </row>
    <row r="30" ht="15" customHeight="1"/>
    <row r="31" ht="15" customHeight="1"/>
    <row r="32" ht="18" customHeight="1">
      <c r="B32" s="83" t="inlineStr">
        <is>
          <t>FREE FLOAT (BASE)</t>
        </is>
      </c>
      <c r="C32" s="83" t="n"/>
      <c r="D32" s="83" t="n"/>
      <c r="E32" s="84" t="n"/>
      <c r="F32" s="84" t="n"/>
      <c r="G32" s="84" t="n"/>
      <c r="H32" s="84" t="n"/>
      <c r="I32" s="84" t="n"/>
      <c r="J32" s="84" t="n"/>
      <c r="K32" s="84" t="n"/>
      <c r="L32" s="84" t="n"/>
      <c r="M32" s="84" t="n"/>
      <c r="N32" s="84" t="n"/>
      <c r="O32" s="84" t="n"/>
    </row>
    <row r="33" ht="15" customHeight="1">
      <c r="B33" s="17" t="inlineStr">
        <is>
          <t>Free float % pre</t>
        </is>
      </c>
      <c r="C33" s="19" t="inlineStr">
        <is>
          <t>%</t>
        </is>
      </c>
      <c r="E33" s="68">
        <f>SUMIF('02_ISSUER_INPUTS'!$C$15:$C$22,"FREE_FLOAT",'02_ISSUER_INPUTS'!$D$15:$D$22)</f>
        <v/>
      </c>
      <c r="F33">
        <f>E33</f>
        <v/>
      </c>
      <c r="G33">
        <f>E33</f>
        <v/>
      </c>
    </row>
    <row r="34" ht="15" customHeight="1">
      <c r="B34" s="17" t="inlineStr">
        <is>
          <t>Free float % post</t>
        </is>
      </c>
      <c r="C34" s="19" t="inlineStr">
        <is>
          <t>%</t>
        </is>
      </c>
      <c r="E34" s="68">
        <f>IFERROR((('02_ISSUER_INPUTS'!$E$7*SUMPRODUCT(('02_ISSUER_INPUTS'!$C$15:$C$22="FREE_FLOAT")*('02_ISSUER_INPUTS'!$D$15:$D$22)))+IF('01_CONTROL'!$E$8="RIGHTS ISSUE",(E$10*$E$11)*SUMPRODUCT(('02_ISSUER_INPUTS'!$C$15:$C$22="FREE_FLOAT")*('02_ISSUER_INPUTS'!$C$15:$C$22&lt;&gt;"NEW")*('02_ISSUER_INPUTS'!$D$15:$D$22)*('02_ISSUER_INPUTS'!$E$15:$E$22))/SUMPRODUCT(('02_ISSUER_INPUTS'!$C$15:$C$22&lt;&gt;"NEW")*('02_ISSUER_INPUTS'!$D$15:$D$22)*('02_ISSUER_INPUTS'!$E$15:$E$22)),(E$12)*SUMPRODUCT(('02_ISSUER_INPUTS'!$C$15:$C$22="FREE_FLOAT")*('02_ISSUER_INPUTS'!$F$15:$F$22))))/('02_ISSUER_INPUTS'!$E$7+(E$12)),0)</f>
        <v/>
      </c>
      <c r="F34">
        <f>IFERROR((('02_ISSUER_INPUTS'!$E$7*SUMPRODUCT(('02_ISSUER_INPUTS'!$C$15:$C$22="FREE_FLOAT")*('02_ISSUER_INPUTS'!$D$15:$D$22)))+IF('01_CONTROL'!$E$8="RIGHTS ISSUE",(F$10*$E$11)*SUMPRODUCT(('02_ISSUER_INPUTS'!$C$15:$C$22="FREE_FLOAT")*('02_ISSUER_INPUTS'!$C$15:$C$22&lt;&gt;"NEW")*('02_ISSUER_INPUTS'!$D$15:$D$22)*('02_ISSUER_INPUTS'!$E$15:$E$22))/SUMPRODUCT(('02_ISSUER_INPUTS'!$C$15:$C$22&lt;&gt;"NEW")*('02_ISSUER_INPUTS'!$D$15:$D$22)*('02_ISSUER_INPUTS'!$E$15:$E$22)),(F$12)*SUMPRODUCT(('02_ISSUER_INPUTS'!$C$15:$C$22="FREE_FLOAT")*('02_ISSUER_INPUTS'!$F$15:$F$22))))/('02_ISSUER_INPUTS'!$E$7+(F$12)),0)</f>
        <v/>
      </c>
      <c r="G34">
        <f>IFERROR((('02_ISSUER_INPUTS'!$E$7*SUMPRODUCT(('02_ISSUER_INPUTS'!$C$15:$C$22="FREE_FLOAT")*('02_ISSUER_INPUTS'!$D$15:$D$22)))+IF('01_CONTROL'!$E$8="RIGHTS ISSUE",(G$10*$E$11)*SUMPRODUCT(('02_ISSUER_INPUTS'!$C$15:$C$22="FREE_FLOAT")*('02_ISSUER_INPUTS'!$C$15:$C$22&lt;&gt;"NEW")*('02_ISSUER_INPUTS'!$D$15:$D$22)*('02_ISSUER_INPUTS'!$E$15:$E$22))/SUMPRODUCT(('02_ISSUER_INPUTS'!$C$15:$C$22&lt;&gt;"NEW")*('02_ISSUER_INPUTS'!$D$15:$D$22)*('02_ISSUER_INPUTS'!$E$15:$E$22)),(G$12)*SUMPRODUCT(('02_ISSUER_INPUTS'!$C$15:$C$22="FREE_FLOAT")*('02_ISSUER_INPUTS'!$F$15:$F$22))))/('02_ISSUER_INPUTS'!$E$7+(G$12)),0)</f>
        <v/>
      </c>
    </row>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I2">
    <cfRule type="expression" priority="1" dxfId="2">
      <formula>I2="PASS"</formula>
    </cfRule>
    <cfRule type="expression" priority="2" dxfId="3">
      <formula>I2="FAIL"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xl/worksheets/sheet8.xml><?xml version="1.0" encoding="utf-8"?>
<worksheet xmlns="http://schemas.openxmlformats.org/spreadsheetml/2006/main">
  <sheetPr>
    <outlinePr summaryBelow="1" summaryRight="1"/>
    <pageSetUpPr/>
  </sheetPr>
  <dimension ref="B1:O17"/>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Proceeds and Fees</t>
        </is>
      </c>
      <c r="C2" s="80" t="n"/>
      <c r="D2" s="80" t="n"/>
      <c r="E2" s="80" t="n"/>
      <c r="F2" s="80" t="n"/>
      <c r="G2" s="80" t="n"/>
      <c r="H2" s="81" t="inlineStr">
        <is>
          <t>CHECKS:</t>
        </is>
      </c>
      <c r="I2" s="82">
        <f>'90_CHECKS'!$E$4</f>
        <v/>
      </c>
      <c r="J2" s="4" t="inlineStr">
        <is>
          <t>Failed:</t>
        </is>
      </c>
      <c r="K2" s="5">
        <f>'90_CHECKS'!$E$5</f>
        <v/>
      </c>
    </row>
    <row r="3" ht="15" customHeight="1"/>
    <row r="4" ht="15" customHeight="1"/>
    <row r="5" ht="15" customHeight="1"/>
    <row r="6" ht="18" customHeight="1">
      <c r="B6" s="83" t="inlineStr">
        <is>
          <t>PROCEEDS WATERFALL (ISSUER)</t>
        </is>
      </c>
      <c r="C6" s="83" t="n"/>
      <c r="D6" s="83" t="n"/>
      <c r="E6" s="84" t="n"/>
      <c r="F6" s="84" t="n"/>
      <c r="G6" s="84" t="n"/>
      <c r="H6" s="84" t="n"/>
      <c r="I6" s="84" t="n"/>
      <c r="J6" s="84" t="n"/>
      <c r="K6" s="84" t="n"/>
      <c r="L6" s="84" t="n"/>
      <c r="M6" s="84" t="n"/>
      <c r="N6" s="84" t="n"/>
      <c r="O6" s="84" t="n"/>
    </row>
    <row r="7" ht="18" customHeight="1">
      <c r="B7" s="83" t="n"/>
      <c r="C7" s="83" t="n"/>
      <c r="D7" s="83" t="n"/>
      <c r="E7" s="84" t="inlineStr">
        <is>
          <t>LOW</t>
        </is>
      </c>
      <c r="F7" s="84" t="inlineStr">
        <is>
          <t>BASE</t>
        </is>
      </c>
      <c r="G7" s="84" t="inlineStr">
        <is>
          <t>HIGH</t>
        </is>
      </c>
      <c r="H7" s="84" t="n"/>
      <c r="I7" s="84" t="n"/>
      <c r="J7" s="84" t="n"/>
      <c r="K7" s="84" t="n"/>
      <c r="L7" s="84" t="n"/>
      <c r="M7" s="84" t="n"/>
      <c r="N7" s="84" t="n"/>
      <c r="O7" s="84" t="n"/>
    </row>
    <row r="8" ht="15" customHeight="1">
      <c r="B8" s="17" t="inlineStr">
        <is>
          <t>Gross proceeds (primary)</t>
        </is>
      </c>
      <c r="C8" s="19" t="inlineStr">
        <is>
          <t>DKKm</t>
        </is>
      </c>
      <c r="E8" s="60">
        <f>'04_OFFER_SETUP'!E$19</f>
        <v/>
      </c>
      <c r="F8" s="60">
        <f>'04_OFFER_SETUP'!F$19</f>
        <v/>
      </c>
      <c r="G8" s="60">
        <f>'04_OFFER_SETUP'!G$19</f>
        <v/>
      </c>
    </row>
    <row r="9" ht="15" customHeight="1">
      <c r="B9" s="17" t="inlineStr">
        <is>
          <t>Gross proceeds (secondary)</t>
        </is>
      </c>
      <c r="C9" s="19" t="inlineStr">
        <is>
          <t>DKKm</t>
        </is>
      </c>
      <c r="E9" s="60">
        <f>'04_OFFER_SETUP'!E$20</f>
        <v/>
      </c>
      <c r="F9" s="60">
        <f>'04_OFFER_SETUP'!F$20</f>
        <v/>
      </c>
      <c r="G9" s="60">
        <f>'04_OFFER_SETUP'!G$20</f>
        <v/>
      </c>
    </row>
    <row r="10" ht="15" customHeight="1">
      <c r="B10" s="17" t="inlineStr">
        <is>
          <t>Gross proceeds (total)</t>
        </is>
      </c>
      <c r="C10" s="19" t="inlineStr">
        <is>
          <t>DKKm</t>
        </is>
      </c>
      <c r="E10" s="60">
        <f>'04_OFFER_SETUP'!E$21</f>
        <v/>
      </c>
      <c r="F10" s="60">
        <f>'04_OFFER_SETUP'!F$21</f>
        <v/>
      </c>
      <c r="G10" s="60">
        <f>'04_OFFER_SETUP'!G$21</f>
        <v/>
      </c>
    </row>
    <row r="11" ht="15" customHeight="1"/>
    <row r="12" ht="15" customHeight="1">
      <c r="B12" s="17" t="inlineStr">
        <is>
          <t>Underwriting fee (on primary)</t>
        </is>
      </c>
      <c r="C12" s="19" t="inlineStr">
        <is>
          <t>DKKm</t>
        </is>
      </c>
      <c r="E12" s="76">
        <f>E$8*'01_CONTROL'!$E$38</f>
        <v/>
      </c>
      <c r="F12" s="76">
        <f>F$8*'01_CONTROL'!$E$38</f>
        <v/>
      </c>
      <c r="G12" s="76">
        <f>G$8*'01_CONTROL'!$E$38</f>
        <v/>
      </c>
    </row>
    <row r="13" ht="15" customHeight="1">
      <c r="B13" s="17" t="inlineStr">
        <is>
          <t>Advisory fee (on primary)</t>
        </is>
      </c>
      <c r="C13" s="19" t="inlineStr">
        <is>
          <t>DKKm</t>
        </is>
      </c>
      <c r="E13" s="76">
        <f>E$8*'01_CONTROL'!$E$39</f>
        <v/>
      </c>
      <c r="F13" s="76">
        <f>F$8*'01_CONTROL'!$E$39</f>
        <v/>
      </c>
      <c r="G13" s="76">
        <f>G$8*'01_CONTROL'!$E$39</f>
        <v/>
      </c>
    </row>
    <row r="14" ht="15" customHeight="1">
      <c r="B14" s="17" t="inlineStr">
        <is>
          <t>Other costs (fixed)</t>
        </is>
      </c>
      <c r="C14" s="19" t="inlineStr">
        <is>
          <t>DKKm</t>
        </is>
      </c>
      <c r="E14" s="60">
        <f>'01_CONTROL'!$E$40</f>
        <v/>
      </c>
      <c r="F14" s="60">
        <f>'01_CONTROL'!$E$40</f>
        <v/>
      </c>
      <c r="G14" s="60">
        <f>'01_CONTROL'!$E$40</f>
        <v/>
      </c>
    </row>
    <row r="15" ht="15" customHeight="1">
      <c r="B15" s="17" t="inlineStr">
        <is>
          <t>Total fees</t>
        </is>
      </c>
      <c r="C15" s="19" t="inlineStr">
        <is>
          <t>DKKm</t>
        </is>
      </c>
      <c r="E15" s="76">
        <f>E$12+E$13+E$14</f>
        <v/>
      </c>
      <c r="F15" s="76">
        <f>F$12+F$13+F$14</f>
        <v/>
      </c>
      <c r="G15" s="76">
        <f>G$12+G$13+G$14</f>
        <v/>
      </c>
    </row>
    <row r="16" ht="15" customHeight="1">
      <c r="B16" s="17" t="inlineStr">
        <is>
          <t>Net proceeds to issuer</t>
        </is>
      </c>
      <c r="C16" s="19" t="inlineStr">
        <is>
          <t>DKKm</t>
        </is>
      </c>
      <c r="E16" s="73">
        <f>E$8-E$15</f>
        <v/>
      </c>
      <c r="F16" s="73">
        <f>F$8-F$15</f>
        <v/>
      </c>
      <c r="G16" s="73">
        <f>G$8-G$15</f>
        <v/>
      </c>
    </row>
    <row r="17" ht="15" customHeight="1">
      <c r="B17" s="17" t="inlineStr">
        <is>
          <t>Proceeds to selling SHs</t>
        </is>
      </c>
      <c r="C17" s="19" t="inlineStr">
        <is>
          <t>DKKm</t>
        </is>
      </c>
      <c r="E17" s="60">
        <f>E$9</f>
        <v/>
      </c>
      <c r="F17" s="60">
        <f>F$9</f>
        <v/>
      </c>
      <c r="G17" s="60">
        <f>G$9</f>
        <v/>
      </c>
    </row>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I2">
    <cfRule type="expression" priority="1" dxfId="2">
      <formula>I2="PASS"</formula>
    </cfRule>
    <cfRule type="expression" priority="2" dxfId="3">
      <formula>I2="FAIL"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xl/worksheets/sheet9.xml><?xml version="1.0" encoding="utf-8"?>
<worksheet xmlns="http://schemas.openxmlformats.org/spreadsheetml/2006/main">
  <sheetPr>
    <outlinePr summaryBelow="1" summaryRight="1"/>
    <pageSetUpPr/>
  </sheetPr>
  <dimension ref="B1:O34"/>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Pro Forma Balance Sheet and Leverage</t>
        </is>
      </c>
      <c r="C2" s="80" t="n"/>
      <c r="D2" s="80" t="n"/>
      <c r="E2" s="80" t="n"/>
      <c r="F2" s="80" t="n"/>
      <c r="G2" s="80" t="n"/>
      <c r="H2" s="81" t="inlineStr">
        <is>
          <t>CHECKS:</t>
        </is>
      </c>
      <c r="I2" s="82">
        <f>'90_CHECKS'!$E$4</f>
        <v/>
      </c>
      <c r="J2" s="4" t="inlineStr">
        <is>
          <t>Failed:</t>
        </is>
      </c>
      <c r="K2" s="5">
        <f>'90_CHECKS'!$E$5</f>
        <v/>
      </c>
    </row>
    <row r="3" ht="15" customHeight="1"/>
    <row r="4" ht="15" customHeight="1"/>
    <row r="5" ht="15" customHeight="1"/>
    <row r="6" ht="18" customHeight="1">
      <c r="B6" s="83" t="inlineStr">
        <is>
          <t>USE OF PROCEEDS</t>
        </is>
      </c>
      <c r="C6" s="83" t="n"/>
      <c r="D6" s="83" t="n"/>
      <c r="E6" s="84" t="n"/>
      <c r="F6" s="84" t="n"/>
      <c r="G6" s="84" t="n"/>
      <c r="H6" s="84" t="n"/>
      <c r="I6" s="84" t="n"/>
      <c r="J6" s="84" t="n"/>
      <c r="K6" s="84" t="n"/>
      <c r="L6" s="84" t="n"/>
      <c r="M6" s="84" t="n"/>
      <c r="N6" s="84" t="n"/>
      <c r="O6" s="84" t="n"/>
    </row>
    <row r="7" ht="18" customHeight="1">
      <c r="B7" s="83" t="n"/>
      <c r="C7" s="83" t="n"/>
      <c r="D7" s="83" t="n"/>
      <c r="E7" s="84" t="inlineStr">
        <is>
          <t>LOW</t>
        </is>
      </c>
      <c r="F7" s="84" t="inlineStr">
        <is>
          <t>BASE</t>
        </is>
      </c>
      <c r="G7" s="84" t="inlineStr">
        <is>
          <t>HIGH</t>
        </is>
      </c>
      <c r="H7" s="84" t="n"/>
      <c r="I7" s="84" t="n"/>
      <c r="J7" s="84" t="n"/>
      <c r="K7" s="84" t="n"/>
      <c r="L7" s="84" t="n"/>
      <c r="M7" s="84" t="n"/>
      <c r="N7" s="84" t="n"/>
      <c r="O7" s="84" t="n"/>
    </row>
    <row r="8" ht="15" customHeight="1">
      <c r="B8" s="17" t="inlineStr">
        <is>
          <t>Net proceeds to issuer</t>
        </is>
      </c>
      <c r="C8" s="19" t="inlineStr">
        <is>
          <t>DKKm</t>
        </is>
      </c>
      <c r="E8" s="60">
        <f>'07_PROCEEDS_AND_FEES'!E$16</f>
        <v/>
      </c>
      <c r="F8" s="60">
        <f>'07_PROCEEDS_AND_FEES'!F$16</f>
        <v/>
      </c>
      <c r="G8" s="60">
        <f>'07_PROCEEDS_AND_FEES'!G$16</f>
        <v/>
      </c>
    </row>
    <row r="9" ht="15" customHeight="1"/>
    <row r="10" ht="15" customHeight="1">
      <c r="B10" s="17" t="inlineStr">
        <is>
          <t>Debt paydown %</t>
        </is>
      </c>
      <c r="C10" s="19" t="inlineStr">
        <is>
          <t>%</t>
        </is>
      </c>
      <c r="E10" s="58">
        <f>'01_CONTROL'!$E$45</f>
        <v/>
      </c>
    </row>
    <row r="11" ht="15" customHeight="1">
      <c r="B11" s="17" t="inlineStr">
        <is>
          <t>Cash retained %</t>
        </is>
      </c>
      <c r="C11" s="19" t="inlineStr">
        <is>
          <t>%</t>
        </is>
      </c>
      <c r="E11" s="58">
        <f>'01_CONTROL'!$E$46</f>
        <v/>
      </c>
    </row>
    <row r="12" ht="15" customHeight="1">
      <c r="B12" s="17" t="inlineStr">
        <is>
          <t>Growth investment %</t>
        </is>
      </c>
      <c r="C12" s="19" t="inlineStr">
        <is>
          <t>%</t>
        </is>
      </c>
      <c r="E12" s="58">
        <f>'01_CONTROL'!$E$47</f>
        <v/>
      </c>
    </row>
    <row r="13" ht="15" customHeight="1"/>
    <row r="14" ht="15" customHeight="1">
      <c r="B14" s="17" t="inlineStr">
        <is>
          <t>Debt paydown</t>
        </is>
      </c>
      <c r="C14" s="19" t="inlineStr">
        <is>
          <t>DKKm</t>
        </is>
      </c>
      <c r="E14" s="76">
        <f>E$8*$E$10</f>
        <v/>
      </c>
      <c r="F14" s="76">
        <f>F$8*$E$10</f>
        <v/>
      </c>
      <c r="G14" s="76">
        <f>G$8*$E$10</f>
        <v/>
      </c>
    </row>
    <row r="15" ht="15" customHeight="1">
      <c r="B15" s="17" t="inlineStr">
        <is>
          <t>Cash retained</t>
        </is>
      </c>
      <c r="C15" s="19" t="inlineStr">
        <is>
          <t>DKKm</t>
        </is>
      </c>
      <c r="E15" s="76">
        <f>E$8*$E$11</f>
        <v/>
      </c>
      <c r="F15" s="76">
        <f>F$8*$E$11</f>
        <v/>
      </c>
      <c r="G15" s="76">
        <f>G$8*$E$11</f>
        <v/>
      </c>
    </row>
    <row r="16" ht="15" customHeight="1">
      <c r="B16" s="17" t="inlineStr">
        <is>
          <t>Growth investment</t>
        </is>
      </c>
      <c r="C16" s="19" t="inlineStr">
        <is>
          <t>DKKm</t>
        </is>
      </c>
      <c r="E16" s="76">
        <f>E$8*$E$12</f>
        <v/>
      </c>
      <c r="F16" s="76">
        <f>F$8*$E$12</f>
        <v/>
      </c>
      <c r="G16" s="76">
        <f>G$8*$E$12</f>
        <v/>
      </c>
    </row>
    <row r="17" ht="15" customHeight="1"/>
    <row r="18" ht="15" customHeight="1"/>
    <row r="19" ht="15" customHeight="1"/>
    <row r="20" ht="18" customHeight="1">
      <c r="B20" s="6" t="inlineStr">
        <is>
          <t>PRO FORMA BALANCE SHEET (DKKm)</t>
        </is>
      </c>
      <c r="C20" s="6" t="n"/>
      <c r="D20" s="6" t="n"/>
      <c r="E20" s="6" t="n"/>
      <c r="F20" s="6" t="n"/>
      <c r="G20" s="6" t="n"/>
      <c r="H20" s="6" t="n"/>
    </row>
    <row r="21" ht="15" customHeight="1">
      <c r="B21" s="17" t="inlineStr">
        <is>
          <t>Cash (pre)</t>
        </is>
      </c>
      <c r="C21" s="19" t="inlineStr">
        <is>
          <t>DKKm</t>
        </is>
      </c>
      <c r="E21" s="60">
        <f>'02_ISSUER_INPUTS'!$E$27</f>
        <v/>
      </c>
      <c r="F21" s="60">
        <f>'02_ISSUER_INPUTS'!$E$27</f>
        <v/>
      </c>
      <c r="G21" s="60">
        <f>'02_ISSUER_INPUTS'!$E$27</f>
        <v/>
      </c>
    </row>
    <row r="22" ht="15" customHeight="1">
      <c r="B22" s="17" t="inlineStr">
        <is>
          <t>Gross debt (pre)</t>
        </is>
      </c>
      <c r="C22" s="19" t="inlineStr">
        <is>
          <t>DKKm</t>
        </is>
      </c>
      <c r="E22" s="60">
        <f>'02_ISSUER_INPUTS'!$E$28</f>
        <v/>
      </c>
      <c r="F22" s="60">
        <f>'02_ISSUER_INPUTS'!$E$28</f>
        <v/>
      </c>
      <c r="G22" s="60">
        <f>'02_ISSUER_INPUTS'!$E$28</f>
        <v/>
      </c>
    </row>
    <row r="23" ht="15" customHeight="1">
      <c r="B23" s="17" t="inlineStr">
        <is>
          <t>Net debt (pre)</t>
        </is>
      </c>
      <c r="C23" s="19" t="inlineStr">
        <is>
          <t>DKKm</t>
        </is>
      </c>
      <c r="E23" s="60">
        <f>'02_ISSUER_INPUTS'!$E$29</f>
        <v/>
      </c>
      <c r="F23" s="60">
        <f>'02_ISSUER_INPUTS'!$E$29</f>
        <v/>
      </c>
      <c r="G23" s="60">
        <f>'02_ISSUER_INPUTS'!$E$29</f>
        <v/>
      </c>
    </row>
    <row r="24" ht="15" customHeight="1"/>
    <row r="25" ht="15" customHeight="1">
      <c r="B25" s="17" t="inlineStr">
        <is>
          <t>Cash (post)</t>
        </is>
      </c>
      <c r="C25" s="19" t="inlineStr">
        <is>
          <t>DKKm</t>
        </is>
      </c>
      <c r="E25" s="73">
        <f>E$21+E$15-E$16</f>
        <v/>
      </c>
      <c r="F25" s="73">
        <f>F$21+F$15-F$16</f>
        <v/>
      </c>
      <c r="G25" s="73">
        <f>G$21+G$15-G$16</f>
        <v/>
      </c>
    </row>
    <row r="26" ht="15" customHeight="1">
      <c r="B26" s="17" t="inlineStr">
        <is>
          <t>Gross debt (post)</t>
        </is>
      </c>
      <c r="C26" s="19" t="inlineStr">
        <is>
          <t>DKKm</t>
        </is>
      </c>
      <c r="E26" s="73">
        <f>E$22-E$14</f>
        <v/>
      </c>
      <c r="F26" s="73">
        <f>F$22-F$14</f>
        <v/>
      </c>
      <c r="G26" s="73">
        <f>G$22-G$14</f>
        <v/>
      </c>
    </row>
    <row r="27" ht="15" customHeight="1">
      <c r="B27" s="17" t="inlineStr">
        <is>
          <t>Net debt (post)</t>
        </is>
      </c>
      <c r="C27" s="19" t="inlineStr">
        <is>
          <t>DKKm</t>
        </is>
      </c>
      <c r="E27" s="73">
        <f>E$26-E$25</f>
        <v/>
      </c>
      <c r="F27" s="73">
        <f>F$26-F$25</f>
        <v/>
      </c>
      <c r="G27" s="73">
        <f>G$26-G$25</f>
        <v/>
      </c>
    </row>
    <row r="28" ht="15" customHeight="1"/>
    <row r="29" ht="15" customHeight="1"/>
    <row r="30" ht="15" customHeight="1"/>
    <row r="31" ht="18" customHeight="1">
      <c r="B31" s="83" t="inlineStr">
        <is>
          <t>LEVERAGE</t>
        </is>
      </c>
      <c r="C31" s="83" t="n"/>
      <c r="D31" s="83" t="n"/>
      <c r="E31" s="84" t="n"/>
      <c r="F31" s="84" t="n"/>
      <c r="G31" s="84" t="n"/>
      <c r="H31" s="84" t="n"/>
      <c r="I31" s="84" t="n"/>
      <c r="J31" s="84" t="n"/>
      <c r="K31" s="84" t="n"/>
      <c r="L31" s="84" t="n"/>
      <c r="M31" s="84" t="n"/>
      <c r="N31" s="84" t="n"/>
      <c r="O31" s="84" t="n"/>
    </row>
    <row r="32" ht="15" customHeight="1">
      <c r="B32" s="17" t="inlineStr">
        <is>
          <t>EBITDA</t>
        </is>
      </c>
      <c r="C32" s="19" t="inlineStr">
        <is>
          <t>DKKm</t>
        </is>
      </c>
      <c r="E32" s="60">
        <f>'02_ISSUER_INPUTS'!$E$33</f>
        <v/>
      </c>
      <c r="F32" s="60">
        <f>'02_ISSUER_INPUTS'!$E$33</f>
        <v/>
      </c>
      <c r="G32" s="60">
        <f>'02_ISSUER_INPUTS'!$E$33</f>
        <v/>
      </c>
    </row>
    <row r="33" ht="15" customHeight="1">
      <c r="B33" s="17" t="inlineStr">
        <is>
          <t>ND/EBITDA (pre)</t>
        </is>
      </c>
      <c r="C33" s="19" t="inlineStr">
        <is>
          <t>x</t>
        </is>
      </c>
      <c r="E33" s="52">
        <f>IFERROR(E$23/E$32,0)</f>
        <v/>
      </c>
      <c r="F33" s="52">
        <f>IFERROR(F$23/F$32,0)</f>
        <v/>
      </c>
      <c r="G33" s="52">
        <f>IFERROR(G$23/G$32,0)</f>
        <v/>
      </c>
    </row>
    <row r="34" ht="15" customHeight="1">
      <c r="B34" s="17" t="inlineStr">
        <is>
          <t>ND/EBITDA (post)</t>
        </is>
      </c>
      <c r="C34" s="19" t="inlineStr">
        <is>
          <t>x</t>
        </is>
      </c>
      <c r="E34" s="46">
        <f>IFERROR(E$27/E$32,0)</f>
        <v/>
      </c>
      <c r="F34" s="46">
        <f>IFERROR(F$27/F$32,0)</f>
        <v/>
      </c>
      <c r="G34" s="46">
        <f>IFERROR(G$27/G$32,0)</f>
        <v/>
      </c>
    </row>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I2">
    <cfRule type="expression" priority="1" dxfId="2">
      <formula>I2="PASS"</formula>
    </cfRule>
    <cfRule type="expression" priority="2" dxfId="3">
      <formula>I2="FAIL"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xl/worksheets/sheet10.xml><?xml version="1.0" encoding="utf-8"?>
<worksheet xmlns="http://schemas.openxmlformats.org/spreadsheetml/2006/main">
  <sheetPr>
    <outlinePr summaryBelow="1" summaryRight="1"/>
    <pageSetUpPr/>
  </sheetPr>
  <dimension ref="B1:O20"/>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Free Float and Trading Metrics</t>
        </is>
      </c>
      <c r="C2" s="80" t="n"/>
      <c r="D2" s="80" t="n"/>
      <c r="E2" s="80" t="n"/>
      <c r="F2" s="80" t="n"/>
      <c r="G2" s="80" t="n"/>
      <c r="H2" s="81" t="inlineStr">
        <is>
          <t>CHECKS:</t>
        </is>
      </c>
      <c r="I2" s="82">
        <f>'90_CHECKS'!$E$4</f>
        <v/>
      </c>
      <c r="J2" s="4" t="inlineStr">
        <is>
          <t>Failed:</t>
        </is>
      </c>
      <c r="K2" s="5">
        <f>'90_CHECKS'!$E$5</f>
        <v/>
      </c>
    </row>
    <row r="3" ht="15" customHeight="1"/>
    <row r="4" ht="15" customHeight="1"/>
    <row r="5" ht="15" customHeight="1"/>
    <row r="6" ht="18" customHeight="1">
      <c r="B6" s="83" t="inlineStr">
        <is>
          <t>MARKET CAP</t>
        </is>
      </c>
      <c r="C6" s="83" t="n"/>
      <c r="D6" s="83" t="n"/>
      <c r="E6" s="84" t="n"/>
      <c r="F6" s="84" t="n"/>
      <c r="G6" s="84" t="n"/>
      <c r="H6" s="84" t="n"/>
      <c r="I6" s="84" t="n"/>
      <c r="J6" s="84" t="n"/>
      <c r="K6" s="84" t="n"/>
      <c r="L6" s="84" t="n"/>
      <c r="M6" s="84" t="n"/>
      <c r="N6" s="84" t="n"/>
      <c r="O6" s="84" t="n"/>
    </row>
    <row r="7" ht="18" customHeight="1">
      <c r="B7" s="83" t="n"/>
      <c r="C7" s="83" t="n"/>
      <c r="D7" s="83" t="n"/>
      <c r="E7" s="84" t="inlineStr">
        <is>
          <t>LOW</t>
        </is>
      </c>
      <c r="F7" s="84" t="inlineStr">
        <is>
          <t>BASE</t>
        </is>
      </c>
      <c r="G7" s="84" t="inlineStr">
        <is>
          <t>HIGH</t>
        </is>
      </c>
      <c r="H7" s="84" t="n"/>
      <c r="I7" s="84" t="n"/>
      <c r="J7" s="84" t="n"/>
      <c r="K7" s="84" t="n"/>
      <c r="L7" s="84" t="n"/>
      <c r="M7" s="84" t="n"/>
      <c r="N7" s="84" t="n"/>
      <c r="O7" s="84" t="n"/>
    </row>
    <row r="8" ht="15" customHeight="1">
      <c r="B8" s="17" t="inlineStr">
        <is>
          <t>Market cap pre (at ref)</t>
        </is>
      </c>
      <c r="C8" s="19" t="inlineStr">
        <is>
          <t>DKKm</t>
        </is>
      </c>
      <c r="E8" s="76">
        <f>'02_ISSUER_INPUTS'!$E$7*'03_MARKET_DATA'!$E$7</f>
        <v/>
      </c>
      <c r="F8" s="76">
        <f>'02_ISSUER_INPUTS'!$E$7*'03_MARKET_DATA'!$E$7</f>
        <v/>
      </c>
      <c r="G8" s="76">
        <f>'02_ISSUER_INPUTS'!$E$7*'03_MARKET_DATA'!$E$7</f>
        <v/>
      </c>
    </row>
    <row r="9" ht="15" customHeight="1">
      <c r="B9" s="17" t="inlineStr">
        <is>
          <t>Market cap post (at issue price)</t>
        </is>
      </c>
      <c r="C9" s="19" t="inlineStr">
        <is>
          <t>DKKm</t>
        </is>
      </c>
      <c r="E9" s="73">
        <f>'06_CAP_TABLE_OWNERSHIP'!E$13*'04_OFFER_SETUP'!E$8</f>
        <v/>
      </c>
      <c r="F9" s="73">
        <f>'06_CAP_TABLE_OWNERSHIP'!F$13*'04_OFFER_SETUP'!F$8</f>
        <v/>
      </c>
      <c r="G9" s="73">
        <f>'06_CAP_TABLE_OWNERSHIP'!G$13*'04_OFFER_SETUP'!G$8</f>
        <v/>
      </c>
    </row>
    <row r="10" ht="18" customHeight="1">
      <c r="B10" s="83" t="inlineStr">
        <is>
          <t>Free float % pre (base)</t>
        </is>
      </c>
      <c r="C10" s="83" t="inlineStr">
        <is>
          <t>%</t>
        </is>
      </c>
      <c r="D10" s="83" t="n"/>
      <c r="E10" s="116">
        <f>'06_CAP_TABLE_OWNERSHIP'!$E$33</f>
        <v/>
      </c>
      <c r="F10" s="84" t="n"/>
      <c r="G10" s="84" t="n"/>
      <c r="H10" s="84" t="n"/>
      <c r="I10" s="84" t="n"/>
      <c r="J10" s="84" t="n"/>
      <c r="K10" s="84" t="n"/>
      <c r="L10" s="84" t="n"/>
      <c r="M10" s="84" t="n"/>
      <c r="N10" s="84" t="n"/>
      <c r="O10" s="84" t="n"/>
    </row>
    <row r="11" ht="18" customHeight="1">
      <c r="B11" s="83" t="inlineStr">
        <is>
          <t>Free float % post (base)</t>
        </is>
      </c>
      <c r="C11" s="83" t="inlineStr">
        <is>
          <t>%</t>
        </is>
      </c>
      <c r="D11" s="83" t="n"/>
      <c r="E11" s="116">
        <f>'06_CAP_TABLE_OWNERSHIP'!$E$34</f>
        <v/>
      </c>
      <c r="F11" s="84" t="n"/>
      <c r="G11" s="84" t="n"/>
      <c r="H11" s="84" t="n"/>
      <c r="I11" s="84" t="n"/>
      <c r="J11" s="84" t="n"/>
      <c r="K11" s="84" t="n"/>
      <c r="L11" s="84" t="n"/>
      <c r="M11" s="84" t="n"/>
      <c r="N11" s="84" t="n"/>
      <c r="O11" s="84" t="n"/>
    </row>
    <row r="12" ht="15" customHeight="1"/>
    <row r="13" ht="18" customHeight="1">
      <c r="B13" s="83" t="inlineStr">
        <is>
          <t>Free float shares pre (base)</t>
        </is>
      </c>
      <c r="C13" s="83" t="inlineStr">
        <is>
          <t>m sh</t>
        </is>
      </c>
      <c r="D13" s="83" t="n"/>
      <c r="E13" s="112">
        <f>'02_ISSUER_INPUTS'!$E$7*$E$10</f>
        <v/>
      </c>
      <c r="F13" s="84" t="n"/>
      <c r="G13" s="84" t="n"/>
      <c r="H13" s="84" t="n"/>
      <c r="I13" s="84" t="n"/>
      <c r="J13" s="84" t="n"/>
      <c r="K13" s="84" t="n"/>
      <c r="L13" s="84" t="n"/>
      <c r="M13" s="84" t="n"/>
      <c r="N13" s="84" t="n"/>
      <c r="O13" s="84" t="n"/>
    </row>
    <row r="14" ht="18" customHeight="1">
      <c r="B14" s="83" t="inlineStr">
        <is>
          <t>Free float shares post (base)</t>
        </is>
      </c>
      <c r="C14" s="83" t="inlineStr">
        <is>
          <t>m sh</t>
        </is>
      </c>
      <c r="D14" s="83" t="n"/>
      <c r="E14" s="112">
        <f>'06_CAP_TABLE_OWNERSHIP'!$F$13*$E$11</f>
        <v/>
      </c>
      <c r="F14" s="84" t="n"/>
      <c r="G14" s="84" t="n"/>
      <c r="H14" s="84" t="n"/>
      <c r="I14" s="84" t="n"/>
      <c r="J14" s="84" t="n"/>
      <c r="K14" s="84" t="n"/>
      <c r="L14" s="84" t="n"/>
      <c r="M14" s="84" t="n"/>
      <c r="N14" s="84" t="n"/>
      <c r="O14" s="84" t="n"/>
    </row>
    <row r="15" ht="15" customHeight="1"/>
    <row r="16" ht="15" customHeight="1"/>
    <row r="17" ht="15" customHeight="1"/>
    <row r="18" ht="18" customHeight="1">
      <c r="B18" s="83" t="inlineStr">
        <is>
          <t>LEVERAGE SUMMARY (BASE)</t>
        </is>
      </c>
      <c r="C18" s="83" t="n"/>
      <c r="D18" s="83" t="n"/>
      <c r="E18" s="84" t="n"/>
      <c r="F18" s="84" t="n"/>
      <c r="G18" s="84" t="n"/>
      <c r="H18" s="84" t="n"/>
      <c r="I18" s="84" t="n"/>
      <c r="J18" s="84" t="n"/>
      <c r="K18" s="84" t="n"/>
      <c r="L18" s="84" t="n"/>
      <c r="M18" s="84" t="n"/>
      <c r="N18" s="84" t="n"/>
      <c r="O18" s="84" t="n"/>
    </row>
    <row r="19" ht="15" customHeight="1">
      <c r="B19" s="17" t="inlineStr">
        <is>
          <t>Net debt post (base)</t>
        </is>
      </c>
      <c r="C19" s="19" t="inlineStr">
        <is>
          <t>DKKm</t>
        </is>
      </c>
      <c r="E19" s="60">
        <f>'08_PRO_FORMA_BS_LEVERAGE'!$F$27</f>
        <v/>
      </c>
    </row>
    <row r="20" ht="15" customHeight="1">
      <c r="B20" s="17" t="inlineStr">
        <is>
          <t>ND/EBITDA post (base)</t>
        </is>
      </c>
      <c r="C20" s="19" t="inlineStr">
        <is>
          <t>x</t>
        </is>
      </c>
      <c r="E20" s="16">
        <f>'08_PRO_FORMA_BS_LEVERAGE'!$F$34</f>
        <v/>
      </c>
    </row>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I2">
    <cfRule type="expression" priority="1" dxfId="2">
      <formula>I2="PASS"</formula>
    </cfRule>
    <cfRule type="expression" priority="2" dxfId="3">
      <formula>I2="FAIL"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xl/worksheets/sheet11.xml><?xml version="1.0" encoding="utf-8"?>
<worksheet xmlns="http://schemas.openxmlformats.org/spreadsheetml/2006/main">
  <sheetPr>
    <outlinePr summaryBelow="1" summaryRight="1"/>
    <pageSetUpPr/>
  </sheetPr>
  <dimension ref="B1:O39"/>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Sensitivities</t>
        </is>
      </c>
      <c r="C2" s="80" t="n"/>
      <c r="D2" s="80" t="n"/>
      <c r="E2" s="80" t="n"/>
      <c r="F2" s="80" t="n"/>
      <c r="G2" s="80" t="n"/>
      <c r="H2" s="81" t="inlineStr">
        <is>
          <t>CHECKS:</t>
        </is>
      </c>
      <c r="I2" s="82">
        <f>'90_CHECKS'!$E$4</f>
        <v/>
      </c>
      <c r="J2" s="4" t="inlineStr">
        <is>
          <t>Failed:</t>
        </is>
      </c>
      <c r="K2" s="5">
        <f>'90_CHECKS'!$E$5</f>
        <v/>
      </c>
    </row>
    <row r="3" ht="15" customHeight="1"/>
    <row r="4" ht="15" customHeight="1"/>
    <row r="5" ht="15" customHeight="1"/>
    <row r="6" ht="18" customHeight="1">
      <c r="B6" s="83" t="inlineStr">
        <is>
          <t>DISCOUNT SENSITIVITY (ASSUMES TARGET GROSS BASE)</t>
        </is>
      </c>
      <c r="C6" s="83" t="n"/>
      <c r="D6" s="83" t="n"/>
      <c r="E6" s="84" t="n"/>
      <c r="F6" s="84" t="n"/>
      <c r="G6" s="84" t="n"/>
      <c r="H6" s="84" t="n"/>
      <c r="I6" s="84" t="n"/>
      <c r="J6" s="84" t="n"/>
      <c r="K6" s="84" t="n"/>
      <c r="L6" s="84" t="n"/>
      <c r="M6" s="84" t="n"/>
      <c r="N6" s="84" t="n"/>
      <c r="O6" s="84" t="n"/>
    </row>
    <row r="7" ht="15" customHeight="1">
      <c r="B7" s="38" t="inlineStr">
        <is>
          <t>Discount</t>
        </is>
      </c>
      <c r="C7" s="38" t="inlineStr">
        <is>
          <t>Issue price</t>
        </is>
      </c>
      <c r="D7" s="38" t="inlineStr">
        <is>
          <t>New shares (m)</t>
        </is>
      </c>
      <c r="E7" s="38" t="inlineStr">
        <is>
          <t>Net proceeds (DKKm)</t>
        </is>
      </c>
      <c r="F7" s="38" t="inlineStr">
        <is>
          <t>Dilution %</t>
        </is>
      </c>
    </row>
    <row r="8" ht="15" customHeight="1">
      <c r="B8" s="64" t="n">
        <v>0</v>
      </c>
      <c r="C8" s="77">
        <f>'03_MARKET_DATA'!$E$7*(1-$B8)</f>
        <v/>
      </c>
      <c r="D8" s="70">
        <f>IFERROR('01_CONTROL'!$F$30/$C8,0)</f>
        <v/>
      </c>
      <c r="E8" s="76">
        <f>'01_CONTROL'!$F$30 - ('01_CONTROL'!$F$30*('01_CONTROL'!$E$38+'01_CONTROL'!$E$39) + '01_CONTROL'!$E$40)</f>
        <v/>
      </c>
      <c r="F8" s="75">
        <f>IFERROR(1-('02_ISSUER_INPUTS'!$E$7/('02_ISSUER_INPUTS'!$E$7+$D8)),0)</f>
        <v/>
      </c>
    </row>
    <row r="9" ht="15" customHeight="1">
      <c r="B9" s="64" t="n">
        <v>0.05</v>
      </c>
      <c r="C9" s="77">
        <f>'03_MARKET_DATA'!$E$7*(1-$B9)</f>
        <v/>
      </c>
      <c r="D9" s="70">
        <f>IFERROR('01_CONTROL'!$F$30/$C9,0)</f>
        <v/>
      </c>
      <c r="E9" s="76">
        <f>'01_CONTROL'!$F$30 - ('01_CONTROL'!$F$30*('01_CONTROL'!$E$38+'01_CONTROL'!$E$39) + '01_CONTROL'!$E$40)</f>
        <v/>
      </c>
      <c r="F9" s="75">
        <f>IFERROR(1-('02_ISSUER_INPUTS'!$E$7/('02_ISSUER_INPUTS'!$E$7+$D9)),0)</f>
        <v/>
      </c>
    </row>
    <row r="10" ht="15" customHeight="1">
      <c r="B10" s="64" t="n">
        <v>0.08</v>
      </c>
      <c r="C10" s="77">
        <f>'03_MARKET_DATA'!$E$7*(1-$B10)</f>
        <v/>
      </c>
      <c r="D10" s="70">
        <f>IFERROR('01_CONTROL'!$F$30/$C10,0)</f>
        <v/>
      </c>
      <c r="E10" s="76">
        <f>'01_CONTROL'!$F$30 - ('01_CONTROL'!$F$30*('01_CONTROL'!$E$38+'01_CONTROL'!$E$39) + '01_CONTROL'!$E$40)</f>
        <v/>
      </c>
      <c r="F10" s="75">
        <f>IFERROR(1-('02_ISSUER_INPUTS'!$E$7/('02_ISSUER_INPUTS'!$E$7+$D10)),0)</f>
        <v/>
      </c>
    </row>
    <row r="11" ht="15" customHeight="1">
      <c r="B11" s="64" t="n">
        <v>0.1</v>
      </c>
      <c r="C11" s="77">
        <f>'03_MARKET_DATA'!$E$7*(1-$B11)</f>
        <v/>
      </c>
      <c r="D11" s="70">
        <f>IFERROR('01_CONTROL'!$F$30/$C11,0)</f>
        <v/>
      </c>
      <c r="E11" s="76">
        <f>'01_CONTROL'!$F$30 - ('01_CONTROL'!$F$30*('01_CONTROL'!$E$38+'01_CONTROL'!$E$39) + '01_CONTROL'!$E$40)</f>
        <v/>
      </c>
      <c r="F11" s="75">
        <f>IFERROR(1-('02_ISSUER_INPUTS'!$E$7/('02_ISSUER_INPUTS'!$E$7+$D11)),0)</f>
        <v/>
      </c>
    </row>
    <row r="12" ht="15" customHeight="1">
      <c r="B12" s="64" t="n">
        <v>0.12</v>
      </c>
      <c r="C12" s="77">
        <f>'03_MARKET_DATA'!$E$7*(1-$B12)</f>
        <v/>
      </c>
      <c r="D12" s="70">
        <f>IFERROR('01_CONTROL'!$F$30/$C12,0)</f>
        <v/>
      </c>
      <c r="E12" s="76">
        <f>'01_CONTROL'!$F$30 - ('01_CONTROL'!$F$30*('01_CONTROL'!$E$38+'01_CONTROL'!$E$39) + '01_CONTROL'!$E$40)</f>
        <v/>
      </c>
      <c r="F12" s="75">
        <f>IFERROR(1-('02_ISSUER_INPUTS'!$E$7/('02_ISSUER_INPUTS'!$E$7+$D12)),0)</f>
        <v/>
      </c>
    </row>
    <row r="13" ht="15" customHeight="1">
      <c r="B13" s="64" t="n">
        <v>0.15</v>
      </c>
      <c r="C13" s="77">
        <f>'03_MARKET_DATA'!$E$7*(1-$B13)</f>
        <v/>
      </c>
      <c r="D13" s="70">
        <f>IFERROR('01_CONTROL'!$F$30/$C13,0)</f>
        <v/>
      </c>
      <c r="E13" s="76">
        <f>'01_CONTROL'!$F$30 - ('01_CONTROL'!$F$30*('01_CONTROL'!$E$38+'01_CONTROL'!$E$39) + '01_CONTROL'!$E$40)</f>
        <v/>
      </c>
      <c r="F13" s="75">
        <f>IFERROR(1-('02_ISSUER_INPUTS'!$E$7/('02_ISSUER_INPUTS'!$E$7+$D13)),0)</f>
        <v/>
      </c>
    </row>
    <row r="14" ht="15" customHeight="1"/>
    <row r="15" ht="15" customHeight="1">
      <c r="B15" s="53" t="inlineStr">
        <is>
          <t>Note: indicative quick table and does not re-run rights mechanics.</t>
        </is>
      </c>
    </row>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I2">
    <cfRule type="expression" priority="1" dxfId="2">
      <formula>I2="PASS"</formula>
    </cfRule>
    <cfRule type="expression" priority="2" dxfId="3">
      <formula>I2="FAIL"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xl/worksheets/sheet12.xml><?xml version="1.0" encoding="utf-8"?>
<worksheet xmlns="http://schemas.openxmlformats.org/spreadsheetml/2006/main">
  <sheetPr>
    <outlinePr summaryBelow="1" summaryRight="1"/>
    <pageSetUpPr/>
  </sheetPr>
  <dimension ref="A1:L199"/>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outlineLevelCol="0"/>
  <cols>
    <col width="2" customWidth="1" min="1" max="1"/>
    <col width="38" customWidth="1" min="2" max="2"/>
    <col width="24" customWidth="1" min="3" max="3"/>
    <col width="2"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2" customWidth="1" min="12" max="12"/>
    <col width="12" customWidth="1" min="13" max="13"/>
    <col width="12" customWidth="1" min="14" max="14"/>
    <col width="12" customWidth="1" min="15" max="15"/>
    <col width="12" customWidth="1" min="16" max="16"/>
    <col width="12" customWidth="1" min="17" max="17"/>
    <col width="12" customWidth="1" min="18" max="18"/>
  </cols>
  <sheetData>
    <row r="1" ht="15" customHeight="1">
      <c r="B1" s="78" t="inlineStr">
        <is>
          <t>Dashboard</t>
        </is>
      </c>
      <c r="C1" s="78" t="inlineStr">
        <is>
          <t>Control</t>
        </is>
      </c>
      <c r="D1" s="78" t="inlineStr">
        <is>
          <t>Issuer</t>
        </is>
      </c>
      <c r="E1" s="78" t="inlineStr">
        <is>
          <t>Offer</t>
        </is>
      </c>
      <c r="F1" s="78" t="inlineStr">
        <is>
          <t>Checks</t>
        </is>
      </c>
      <c r="G1" s="78" t="inlineStr">
        <is>
          <t>Learn</t>
        </is>
      </c>
    </row>
    <row r="2" ht="18" customHeight="1">
      <c r="B2" s="120" t="inlineStr">
        <is>
          <t>ECM Fundraising Model - Learning Layer</t>
        </is>
      </c>
    </row>
    <row r="3" ht="15" customHeight="1">
      <c r="B3" s="121" t="inlineStr">
        <is>
          <t>80) Explainability Map (Top KPIs with drivers, intuition, pitfalls, checks, and meeting scripts)</t>
        </is>
      </c>
    </row>
    <row r="4" ht="15" customHeight="1"/>
    <row r="5" ht="18" customHeight="1">
      <c r="B5" s="83" t="inlineStr">
        <is>
          <t>HOW TO USE THIS TAB</t>
        </is>
      </c>
      <c r="C5" s="83" t="n"/>
      <c r="D5" s="83" t="n"/>
      <c r="E5" s="83" t="n"/>
      <c r="F5" s="83" t="n"/>
      <c r="G5" s="83" t="n"/>
      <c r="H5" s="83" t="n"/>
      <c r="I5" s="83" t="n"/>
      <c r="J5" s="83" t="n"/>
      <c r="K5" s="83" t="n"/>
      <c r="L5" s="83" t="n"/>
    </row>
    <row r="6" ht="36" customHeight="1">
      <c r="B6" s="122" t="inlineStr">
        <is>
          <t>Each KPI row links to the exact model cell. Use this to (i) understand drivers, (ii) sanity check outputs, and (iii) speak confidently in ECM discussions.</t>
        </is>
      </c>
    </row>
    <row r="7" ht="15" customHeight="1"/>
    <row r="8" ht="18" customHeight="1">
      <c r="B8" s="83" t="inlineStr">
        <is>
          <t>TOP 30 KPIs / OUTPUTS</t>
        </is>
      </c>
      <c r="C8" s="83" t="n"/>
      <c r="D8" s="83" t="n"/>
      <c r="E8" s="83" t="n"/>
      <c r="F8" s="83" t="n"/>
      <c r="G8" s="83" t="n"/>
      <c r="H8" s="83" t="n"/>
      <c r="I8" s="83" t="n"/>
      <c r="J8" s="83" t="n"/>
      <c r="K8" s="83" t="n"/>
      <c r="L8" s="83" t="n"/>
    </row>
    <row r="9" ht="24" customHeight="1">
      <c r="B9" s="123" t="inlineStr">
        <is>
          <t>KPI</t>
        </is>
      </c>
      <c r="C9" s="123" t="inlineStr">
        <is>
          <t>Where (tab!cell)</t>
        </is>
      </c>
      <c r="D9" s="123" t="inlineStr"/>
      <c r="E9" s="123" t="inlineStr">
        <is>
          <t>Definition</t>
        </is>
      </c>
      <c r="F9" s="123" t="inlineStr">
        <is>
          <t>Primary drivers</t>
        </is>
      </c>
      <c r="G9" s="123" t="inlineStr">
        <is>
          <t>Directional intuition</t>
        </is>
      </c>
      <c r="H9" s="123" t="inlineStr">
        <is>
          <t>Common pitfalls</t>
        </is>
      </c>
      <c r="I9" s="123" t="inlineStr">
        <is>
          <t>Sanity checks</t>
        </is>
      </c>
      <c r="J9" s="123" t="inlineStr">
        <is>
          <t>CFO/board script</t>
        </is>
      </c>
    </row>
    <row r="10" ht="78" customHeight="1">
      <c r="B10" s="124" t="inlineStr">
        <is>
          <t>1. Offer type selected (Rights / Placement / ABB)</t>
        </is>
      </c>
      <c r="C10" s="125" t="inlineStr">
        <is>
          <t>01_CONTROL!E8</t>
        </is>
      </c>
      <c r="D10" s="126" t="n"/>
      <c r="E10" s="127" t="inlineStr">
        <is>
          <t>Selected fundraising method that drives which mechanics activate.</t>
        </is>
      </c>
      <c r="F10" s="127" t="inlineStr">
        <is>
          <t>CTRL_OfferType (01_CONTROL!E8), flags (01_CONTROL!E10:E12), offer setup (04_OFFER_SETUP).</t>
        </is>
      </c>
      <c r="G10" s="127" t="inlineStr">
        <is>
          <t>Switching to Rights activates TERP + take-up; Placement/ABB keeps mechanics simple and speed-focused.</t>
        </is>
      </c>
      <c r="H10" s="127" t="inlineStr">
        <is>
          <t>Forgetting to update take-up/underwriting when switching; mixing rights-only inputs into placement.</t>
        </is>
      </c>
      <c r="I10" s="127" t="inlineStr">
        <is>
          <t>Dashboard offer type matches Control; 90_CHECKS shows no rights-only check failures when not Rights.</t>
        </is>
      </c>
      <c r="J10" s="127" t="inlineStr">
        <is>
          <t>We are modelling a {method} structure; this determines dilution mechanics, execution risk, and what we show on TERP/take-up.</t>
        </is>
      </c>
    </row>
    <row r="11" ht="78" customHeight="1">
      <c r="B11" s="124" t="inlineStr">
        <is>
          <t>2. Reference price definition</t>
        </is>
      </c>
      <c r="C11" s="125" t="inlineStr">
        <is>
          <t>01_CONTROL!E10</t>
        </is>
      </c>
      <c r="D11" s="126" t="n"/>
      <c r="E11" s="127" t="inlineStr">
        <is>
          <t>What 'reference price' means for the discount calculation (Last close vs VWAP).</t>
        </is>
      </c>
      <c r="F11" s="127" t="inlineStr">
        <is>
          <t>CTRL_RefPriceType (01_CONTROL!E10), Ref price level (03_MARKET_DATA!E7).</t>
        </is>
      </c>
      <c r="G11" s="127" t="inlineStr">
        <is>
          <t>A higher reference price mechanically increases stated discount at same issue price.</t>
        </is>
      </c>
      <c r="H11" s="127" t="inlineStr">
        <is>
          <t>Using VWAP definition but inputting last close; mismatched date vs market data snapshot.</t>
        </is>
      </c>
      <c r="I11" s="127" t="inlineStr">
        <is>
          <t>Control definition matches Market Data notes; discount = 1 - Ps/P0 uses same P0.</t>
        </is>
      </c>
      <c r="J11" s="127" t="inlineStr">
        <is>
          <t>Discount defensibility depends on what we anchor P0 to; we state the definition explicitly to avoid confusion.</t>
        </is>
      </c>
    </row>
    <row r="12" ht="78" customHeight="1">
      <c r="B12" s="124" t="inlineStr">
        <is>
          <t>3. Reference price level (P0)</t>
        </is>
      </c>
      <c r="C12" s="125" t="inlineStr">
        <is>
          <t>03_MARKET_DATA!E7</t>
        </is>
      </c>
      <c r="D12" s="126" t="n"/>
      <c r="E12" s="127" t="inlineStr">
        <is>
          <t>The share price level used as P0 in discount and rights TERP mechanics.</t>
        </is>
      </c>
      <c r="F12" s="127" t="inlineStr">
        <is>
          <t>MKT_RefPrice (03_MARKET_DATA!E7), scenario issue prices (04_OFFER_SETUP!E8:G8).</t>
        </is>
      </c>
      <c r="G12" s="127" t="inlineStr">
        <is>
          <t>Higher P0 increases gross proceeds per % discount and increases TERP for rights.</t>
        </is>
      </c>
      <c r="H12" s="127" t="inlineStr">
        <is>
          <t>Hardcoding P0 on multiple sheets; using different P0 for TERP vs discount.</t>
        </is>
      </c>
      <c r="I12" s="127" t="inlineStr">
        <is>
          <t>P0 appears once in 03_MARKET_DATA and is linked everywhere; no duplicate inputs.</t>
        </is>
      </c>
      <c r="J12" s="127" t="inlineStr">
        <is>
          <t>All pricing outputs reconcile to the same reference price input.</t>
        </is>
      </c>
    </row>
    <row r="13" ht="78" customHeight="1">
      <c r="B13" s="124" t="inlineStr">
        <is>
          <t>4. Issue price (Ps) LOW/BASE/HIGH</t>
        </is>
      </c>
      <c r="C13" s="125" t="inlineStr">
        <is>
          <t>04_OFFER_SETUP!F8</t>
        </is>
      </c>
      <c r="D13" s="126" t="n"/>
      <c r="E13" s="127" t="inlineStr">
        <is>
          <t>Modelled issue price under each scenario (computed from discount or direct price).</t>
        </is>
      </c>
      <c r="F13" s="127" t="inlineStr">
        <is>
          <t>Price mode (01_CONTROL!E11), discount inputs (01_CONTROL!E31:G31), ref price (03_MARKET_DATA!E7).</t>
        </is>
      </c>
      <c r="G13" s="127" t="inlineStr">
        <is>
          <t>Lower Ps increases dilution for a fixed gross target, but can improve take-up probability.</t>
        </is>
      </c>
      <c r="H13" s="127" t="inlineStr">
        <is>
          <t>Discount mode but direct price entered; or discount sign wrong (adds instead of subtracts).</t>
        </is>
      </c>
      <c r="I13" s="127" t="inlineStr">
        <is>
          <t>Discount_s = 1 - Ps/P0; Ps stays &gt; 0 and &lt; P0 when discount &gt; 0.</t>
        </is>
      </c>
      <c r="J13" s="127" t="inlineStr">
        <is>
          <t>We model a LOW/BASE/HIGH issue price range to show proceeds and dilution sensitivity to pricing.</t>
        </is>
      </c>
    </row>
    <row r="14" ht="78" customHeight="1">
      <c r="B14" s="124" t="inlineStr">
        <is>
          <t>5. Discount % LOW/BASE/HIGH</t>
        </is>
      </c>
      <c r="C14" s="125" t="inlineStr">
        <is>
          <t>04_OFFER_SETUP!F9</t>
        </is>
      </c>
      <c r="D14" s="126" t="n"/>
      <c r="E14" s="127" t="inlineStr">
        <is>
          <t>Stated discount versus reference price for each scenario.</t>
        </is>
      </c>
      <c r="F14" s="127" t="inlineStr">
        <is>
          <t>Ps (04_OFFER_SETUP!E8:G8) and P0 (03_MARKET_DATA!E7).</t>
        </is>
      </c>
      <c r="G14" s="127" t="inlineStr">
        <is>
          <t>Higher discount usually improves execution certainty but increases dilution optics.</t>
        </is>
      </c>
      <c r="H14" s="127" t="inlineStr">
        <is>
          <t>Using inconsistent P0 definition; reporting discount on a different basis than clients expect.</t>
        </is>
      </c>
      <c r="I14" s="127" t="inlineStr">
        <is>
          <t>Discount = 1 - Ps/P0; check sign and magnitude (typical ECM discount few % to teens).</t>
        </is>
      </c>
      <c r="J14" s="127" t="inlineStr">
        <is>
          <t>We express pricing as discount to a defined reference price to align with market convention.</t>
        </is>
      </c>
    </row>
    <row r="15" ht="78" customHeight="1">
      <c r="B15" s="124" t="inlineStr">
        <is>
          <t>6. Raise sizing mode (Target gross / Target net / Shares)</t>
        </is>
      </c>
      <c r="C15" s="125" t="inlineStr">
        <is>
          <t>01_CONTROL!E13</t>
        </is>
      </c>
      <c r="D15" s="126" t="n"/>
      <c r="E15" s="127" t="inlineStr">
        <is>
          <t>Defines whether the model solves for shares from a gross target, a net target, or takes shares as an input.</t>
        </is>
      </c>
      <c r="F15" s="127" t="inlineStr">
        <is>
          <t>CTRL_RaiseMode (01_CONTROL!E13), gross target (01_CONTROL!E30:G30), fees (07_PROCEEDS_AND_FEES).</t>
        </is>
      </c>
      <c r="G15" s="127" t="inlineStr">
        <is>
          <t>Target net requires 'gross-up' for fees, leading to more shares than target gross at same Ps.</t>
        </is>
      </c>
      <c r="H15" s="127" t="inlineStr">
        <is>
          <t>Leaving raise mode on net but interpreting as gross; fee assumptions then change share count unexpectedly.</t>
        </is>
      </c>
      <c r="I15" s="127" t="inlineStr">
        <is>
          <t>90_CHECKS proceeds tie-out; gross-up logic produces Gross &gt;= Net when fees &gt; 0.</t>
        </is>
      </c>
      <c r="J15" s="127" t="inlineStr">
        <is>
          <t>We can size the deal off gross proceeds, net proceeds, or a fixed share issuance depending on mandate.</t>
        </is>
      </c>
    </row>
    <row r="16" ht="78" customHeight="1">
      <c r="B16" s="124" t="inlineStr">
        <is>
          <t>7. Target raise (Primary gross) LOW/BASE/HIGH</t>
        </is>
      </c>
      <c r="C16" s="125" t="inlineStr">
        <is>
          <t>01_CONTROL!F30</t>
        </is>
      </c>
      <c r="D16" s="126" t="n"/>
      <c r="E16" s="127" t="inlineStr">
        <is>
          <t>The gross amount the issuer wants to raise from primary issuance (DKKm).</t>
        </is>
      </c>
      <c r="F16" s="127" t="inlineStr">
        <is>
          <t>Scenario targets (01_CONTROL!E30:G30), Ps (04_OFFER_SETUP!E8:G8), fee logic (07).</t>
        </is>
      </c>
      <c r="G16" s="127" t="inlineStr">
        <is>
          <t>Higher target mechanically increases new shares and dilution if priced at same Ps.</t>
        </is>
      </c>
      <c r="H16" s="127" t="inlineStr">
        <is>
          <t>Confusing DKKm with DKK; mixing gross target with net target interpretation.</t>
        </is>
      </c>
      <c r="I16" s="127" t="inlineStr">
        <is>
          <t>Gross proceeds from Offer Setup equals target when in TARGET_GROSS mode (04 and 07).</t>
        </is>
      </c>
      <c r="J16" s="127" t="inlineStr">
        <is>
          <t>The raise size is a direct lever on dilution and proceeds; we show it by scenario.</t>
        </is>
      </c>
    </row>
    <row r="17" ht="78" customHeight="1">
      <c r="B17" s="124" t="inlineStr">
        <is>
          <t>8. Secondary shares sold LOW/BASE/HIGH (if any)</t>
        </is>
      </c>
      <c r="C17" s="125" t="inlineStr">
        <is>
          <t>01_CONTROL!F33</t>
        </is>
      </c>
      <c r="D17" s="126" t="n"/>
      <c r="E17" s="127" t="inlineStr">
        <is>
          <t>Secondary selling increases total deal size but does not add cash to the issuer.</t>
        </is>
      </c>
      <c r="F17" s="127" t="inlineStr">
        <is>
          <t>Secondary shares (01_CONTROL!E33:G33), Ps (04_OFFER_SETUP!E8:G8), proceeds split (07).</t>
        </is>
      </c>
      <c r="G17" s="127" t="inlineStr">
        <is>
          <t>More secondary increases gross proceeds headline but issuer net proceeds may be unchanged.</t>
        </is>
      </c>
      <c r="H17" s="127" t="inlineStr">
        <is>
          <t>Accidentally treating secondary as issuer cash; fee allocation across primary/secondary not clarified.</t>
        </is>
      </c>
      <c r="I17" s="127" t="inlineStr">
        <is>
          <t>Issuer net proceeds line is based on primary proceeds; secondary shown separately where relevant.</t>
        </is>
      </c>
      <c r="J17" s="127" t="inlineStr">
        <is>
          <t>We separate primary (issuer cash) from secondary (shareholder sell-down) to avoid misinterpretation.</t>
        </is>
      </c>
    </row>
    <row r="18" ht="78" customHeight="1">
      <c r="B18" s="124" t="inlineStr">
        <is>
          <t>9. New shares issued (Primary) LOW/BASE/HIGH</t>
        </is>
      </c>
      <c r="C18" s="125" t="inlineStr">
        <is>
          <t>04_OFFER_SETUP!F15</t>
        </is>
      </c>
      <c r="D18" s="126" t="n"/>
      <c r="E18" s="127" t="inlineStr">
        <is>
          <t>Number of new shares issued by the company under each scenario.</t>
        </is>
      </c>
      <c r="F18" s="127" t="inlineStr">
        <is>
          <t>Raise mode (01_CONTROL!E13), target raise (01_CONTROL!E30:G30), Ps (04_OFFER_SETUP!E8:G8).</t>
        </is>
      </c>
      <c r="G18" s="127" t="inlineStr">
        <is>
          <t>For a fixed raise, lower Ps means more shares issued.</t>
        </is>
      </c>
      <c r="H18" s="127" t="inlineStr">
        <is>
          <t>Mixing shares units (shares vs m shares); rounding causing cap table mismatches.</t>
        </is>
      </c>
      <c r="I18" s="127" t="inlineStr">
        <is>
          <t>Cap table check: Pre + New = Post holds in 90_CHECKS.</t>
        </is>
      </c>
      <c r="J18" s="127" t="inlineStr">
        <is>
          <t>Share issuance is the core driver of dilution and ownership outcomes.</t>
        </is>
      </c>
    </row>
    <row r="19" ht="78" customHeight="1">
      <c r="B19" s="124" t="inlineStr">
        <is>
          <t>10. Gross proceeds (Total) LOW/BASE/HIGH</t>
        </is>
      </c>
      <c r="C19" s="125" t="inlineStr">
        <is>
          <t>07_PROCEEDS_AND_FEES!F10</t>
        </is>
      </c>
      <c r="D19" s="126" t="n"/>
      <c r="E19" s="127" t="inlineStr">
        <is>
          <t>Total headline deal proceeds (primary + secondary if included).</t>
        </is>
      </c>
      <c r="F19" s="127" t="inlineStr">
        <is>
          <t>Ps (04_OFFER_SETUP!E8:G8), total sold shares (04 outputs), secondary inputs (01_CONTROL!E33:G33).</t>
        </is>
      </c>
      <c r="G19" s="127" t="inlineStr">
        <is>
          <t>Higher Ps or more shares increases gross proceeds.</t>
        </is>
      </c>
      <c r="H19" s="127" t="inlineStr">
        <is>
          <t>Double counting secondary; gross vs net confusion in conversations.</t>
        </is>
      </c>
      <c r="I19" s="127" t="inlineStr">
        <is>
          <t>Gross - Fees - Net tie-out check in 90_CHECKS.</t>
        </is>
      </c>
      <c r="J19" s="127" t="inlineStr">
        <is>
          <t>We distinguish the gross headline size from issuer net proceeds after fees.</t>
        </is>
      </c>
    </row>
    <row r="20" ht="78" customHeight="1">
      <c r="B20" s="124" t="inlineStr">
        <is>
          <t>11. Fees + other costs (Total) LOW/BASE/HIGH</t>
        </is>
      </c>
      <c r="C20" s="125" t="inlineStr">
        <is>
          <t>07_PROCEEDS_AND_FEES!F15</t>
        </is>
      </c>
      <c r="D20" s="126" t="n"/>
      <c r="E20" s="127" t="inlineStr">
        <is>
          <t>Sum of underwriting, advisory, and other transaction costs.</t>
        </is>
      </c>
      <c r="F20" s="127" t="inlineStr">
        <is>
          <t>Fee % inputs (01_CONTROL!E37:E39), gross proceeds (07!E10:G10), fixed other costs (01_CONTROL!E40).</t>
        </is>
      </c>
      <c r="G20" s="127" t="inlineStr">
        <is>
          <t>Higher fees reduce issuer net proceeds and can force higher share issuance if targeting net.</t>
        </is>
      </c>
      <c r="H20" s="127" t="inlineStr">
        <is>
          <t>Fee % entered as whole number vs decimal; sign errors (fees added).</t>
        </is>
      </c>
      <c r="I20" s="127" t="inlineStr">
        <is>
          <t>Fees are non-negative; Net = Gross - Fees (90_CHECKS).</t>
        </is>
      </c>
      <c r="J20" s="127" t="inlineStr">
        <is>
          <t>Total cost of execution is a key driver of net proceeds and often negotiable.</t>
        </is>
      </c>
    </row>
    <row r="21" ht="78" customHeight="1">
      <c r="B21" s="124" t="inlineStr">
        <is>
          <t>12. Net proceeds to issuer LOW/BASE/HIGH</t>
        </is>
      </c>
      <c r="C21" s="125" t="inlineStr">
        <is>
          <t>07_PROCEEDS_AND_FEES!F16</t>
        </is>
      </c>
      <c r="D21" s="126" t="n"/>
      <c r="E21" s="127" t="inlineStr">
        <is>
          <t>Cash that the company receives after fees and costs (primary only).</t>
        </is>
      </c>
      <c r="F21" s="127" t="inlineStr">
        <is>
          <t>Gross primary proceeds (04/07), total fees (07!E15:G15), fee splits (if any).</t>
        </is>
      </c>
      <c r="G21" s="127" t="inlineStr">
        <is>
          <t>Net proceeds rise with higher Ps, lower fees, or larger raise size.</t>
        </is>
      </c>
      <c r="H21" s="127" t="inlineStr">
        <is>
          <t>Applying fees to total including secondary when issuer should not pay on secondary (definition dependent).</t>
        </is>
      </c>
      <c r="I21" s="127" t="inlineStr">
        <is>
          <t>Net proceeds should be &lt;= gross primary; proceeds tie-out passes.</t>
        </is>
      </c>
      <c r="J21" s="127" t="inlineStr">
        <is>
          <t>This is the cash that funds the stated use of proceeds.</t>
        </is>
      </c>
    </row>
    <row r="22" ht="78" customHeight="1">
      <c r="B22" s="124" t="inlineStr">
        <is>
          <t>13. Post shares outstanding LOW/BASE/HIGH</t>
        </is>
      </c>
      <c r="C22" s="125" t="inlineStr">
        <is>
          <t>06_CAP_TABLE_OWNERSHIP!F13</t>
        </is>
      </c>
      <c r="D22" s="126" t="n"/>
      <c r="E22" s="127" t="inlineStr">
        <is>
          <t>Total shares after the primary issuance (pre shares plus new shares).</t>
        </is>
      </c>
      <c r="F22" s="127" t="inlineStr">
        <is>
          <t>Pre shares (02_ISSUER_INPUTS!E7), new shares (04_OFFER_SETUP!E15:G15).</t>
        </is>
      </c>
      <c r="G22" s="127" t="inlineStr">
        <is>
          <t>More issuance increases post share count, diluting existing holders mechanically.</t>
        </is>
      </c>
      <c r="H22" s="127" t="inlineStr">
        <is>
          <t>Unit mismatch (m shares vs shares), or forgetting to update pre shares input.</t>
        </is>
      </c>
      <c r="I22" s="127" t="inlineStr">
        <is>
          <t>Cap table tie-out passes; post shares = pre + new exactly.</t>
        </is>
      </c>
      <c r="J22" s="127" t="inlineStr">
        <is>
          <t>Post share count anchors all ownership and dilution calculations.</t>
        </is>
      </c>
    </row>
    <row r="23" ht="78" customHeight="1">
      <c r="B23" s="124" t="inlineStr">
        <is>
          <t>14. Dilution % (issuance dilution) LOW/BASE/HIGH</t>
        </is>
      </c>
      <c r="C23" s="125" t="inlineStr">
        <is>
          <t>06_CAP_TABLE_OWNERSHIP!F14</t>
        </is>
      </c>
      <c r="D23" s="126" t="n"/>
      <c r="E23" s="127" t="inlineStr">
        <is>
          <t>Mechanical dilution from issuing new shares: 1 - pre/post.</t>
        </is>
      </c>
      <c r="F23" s="127" t="inlineStr">
        <is>
          <t>Pre shares (02_ISSUER_INPUTS!E7), post shares (06!E13:G13).</t>
        </is>
      </c>
      <c r="G23" s="127" t="inlineStr">
        <is>
          <t>More new shares increases dilution; higher Ps reduces dilution if targeting gross raise.</t>
        </is>
      </c>
      <c r="H23" s="127" t="inlineStr">
        <is>
          <t>Interpreting dilution as EPS impact without modelling earnings; confusing participation vs non-participation in rights.</t>
        </is>
      </c>
      <c r="I23" s="127" t="inlineStr">
        <is>
          <t>Dilution = 1 - (Pre/Post); check range 0-100%.</t>
        </is>
      </c>
      <c r="J23" s="127" t="inlineStr">
        <is>
          <t>We quantify how much existing holders are diluted by share issuance at the chosen price and raise size.</t>
        </is>
      </c>
    </row>
    <row r="24" ht="78" customHeight="1">
      <c r="B24" s="124" t="inlineStr">
        <is>
          <t>15. Ownership table (pre vs post) top holders</t>
        </is>
      </c>
      <c r="C24" s="125" t="inlineStr">
        <is>
          <t>06_CAP_TABLE_OWNERSHIP!B19</t>
        </is>
      </c>
      <c r="D24" s="126" t="n"/>
      <c r="E24" s="127" t="inlineStr">
        <is>
          <t>Shows who owns what before and after the transaction and how allocations/take-up shift control.</t>
        </is>
      </c>
      <c r="F24" s="127" t="inlineStr">
        <is>
          <t>Holder inputs (02_ISSUER_INPUTS table), allocation/participation assumptions, post shares (06!E13:G13).</t>
        </is>
      </c>
      <c r="G24" s="127" t="inlineStr">
        <is>
          <t>Higher participation/allocation preserves ownership; non-participation pushes ownership to free float/new investors.</t>
        </is>
      </c>
      <c r="H24" s="127" t="inlineStr">
        <is>
          <t>Ownership % not summing to 100% due to rounding or missing remainder holder.</t>
        </is>
      </c>
      <c r="I24" s="127" t="inlineStr">
        <is>
          <t>Ownership sums to 100% in each scenario (90_CHECKS).</t>
        </is>
      </c>
      <c r="J24" s="127" t="inlineStr">
        <is>
          <t>This is the control and governance story: who is diluted and who maintains or increases their stake.</t>
        </is>
      </c>
    </row>
    <row r="25" ht="78" customHeight="1">
      <c r="B25" s="124" t="inlineStr">
        <is>
          <t>16. Free float % pre</t>
        </is>
      </c>
      <c r="C25" s="125" t="inlineStr">
        <is>
          <t>06_CAP_TABLE_OWNERSHIP!E33</t>
        </is>
      </c>
      <c r="D25" s="126" t="n"/>
      <c r="E25" s="127" t="inlineStr">
        <is>
          <t>Free float share of the register before the transaction (based on holder table flags).</t>
        </is>
      </c>
      <c r="F25" s="127" t="inlineStr">
        <is>
          <t>Holder flags (02_ISSUER_INPUTS table), ownership % inputs.</t>
        </is>
      </c>
      <c r="G25" s="127" t="inlineStr">
        <is>
          <t>More float improves liquidity but can reduce strategic holder influence.</t>
        </is>
      </c>
      <c r="H25" s="127" t="inlineStr">
        <is>
          <t>Free float flagged incorrectly or 'Other' not defined; major holders not fully captured.</t>
        </is>
      </c>
      <c r="I25" s="127" t="inlineStr">
        <is>
          <t>Free float + majors = 100%; free float shares reconcile to pre shares.</t>
        </is>
      </c>
      <c r="J25" s="127" t="inlineStr">
        <is>
          <t>We track float because it drives liquidity, index eligibility, and investor demand.</t>
        </is>
      </c>
    </row>
    <row r="26" ht="78" customHeight="1">
      <c r="B26" s="124" t="inlineStr">
        <is>
          <t>17. Free float % post LOW/BASE/HIGH</t>
        </is>
      </c>
      <c r="C26" s="125" t="inlineStr">
        <is>
          <t>06_CAP_TABLE_OWNERSHIP!F34</t>
        </is>
      </c>
      <c r="D26" s="126" t="n"/>
      <c r="E26" s="127" t="inlineStr">
        <is>
          <t>Free float share of the register after issuance and allocations.</t>
        </is>
      </c>
      <c r="F26" s="127" t="inlineStr">
        <is>
          <t>Post ownership table (06), issuance and allocation/take-up assumptions.</t>
        </is>
      </c>
      <c r="G26" s="127" t="inlineStr">
        <is>
          <t>Issuing to new investors generally increases float unless allocated to locked-up majors.</t>
        </is>
      </c>
      <c r="H26" s="127" t="inlineStr">
        <is>
          <t>Assuming all rump goes to free float when it may be placed with insiders; mixing pro-rata vs discretionary allocation.</t>
        </is>
      </c>
      <c r="I26" s="127" t="inlineStr">
        <is>
          <t>Free float post is between 0% and 100% and consistent with ownership sums.</t>
        </is>
      </c>
      <c r="J26" s="127" t="inlineStr">
        <is>
          <t>We show how the transaction affects liquidity and trading profile via float changes.</t>
        </is>
      </c>
    </row>
    <row r="27" ht="78" customHeight="1">
      <c r="B27" s="124" t="inlineStr">
        <is>
          <t>18. Market cap pre</t>
        </is>
      </c>
      <c r="C27" s="125" t="inlineStr">
        <is>
          <t>09_FREE_FLOAT_TRADING_MET!E8</t>
        </is>
      </c>
      <c r="D27" s="126" t="n"/>
      <c r="E27" s="127" t="inlineStr">
        <is>
          <t>Equity market value before the transaction: pre shares times reference price.</t>
        </is>
      </c>
      <c r="F27" s="127" t="inlineStr">
        <is>
          <t>Pre shares (02_ISSUER_INPUTS!E7), reference price (03_MARKET_DATA!E7).</t>
        </is>
      </c>
      <c r="G27" s="127" t="inlineStr">
        <is>
          <t>Higher price or larger share count increases market cap.</t>
        </is>
      </c>
      <c r="H27" s="127" t="inlineStr">
        <is>
          <t>Using a different price basis than discount basis; mixing currencies/units.</t>
        </is>
      </c>
      <c r="I27" s="127" t="inlineStr">
        <is>
          <t>Market cap pre uses same P0 as discount; consistent units.</t>
        </is>
      </c>
      <c r="J27" s="127" t="inlineStr">
        <is>
          <t>Market cap frames the raise size and dilution in context of company size.</t>
        </is>
      </c>
    </row>
    <row r="28" ht="78" customHeight="1">
      <c r="B28" s="124" t="inlineStr">
        <is>
          <t>19. Market cap post (at issue price) LOW/BASE/HIGH</t>
        </is>
      </c>
      <c r="C28" s="125" t="inlineStr">
        <is>
          <t>09_FREE_FLOAT_TRADING_MET!F9</t>
        </is>
      </c>
      <c r="D28" s="126" t="n"/>
      <c r="E28" s="127" t="inlineStr">
        <is>
          <t>Illustrative market cap after issuance priced at Ps (not a forecast, a mechanical output).</t>
        </is>
      </c>
      <c r="F28" s="127" t="inlineStr">
        <is>
          <t>Post shares (06!E13:G13), issue price (04!E8:G8).</t>
        </is>
      </c>
      <c r="G28" s="127" t="inlineStr">
        <is>
          <t>At a fixed Ps, more shares increases MC; at fixed raise, lower Ps can compress MC if you assume price equals Ps.</t>
        </is>
      </c>
      <c r="H28" s="127" t="inlineStr">
        <is>
          <t>Interpreting as 'true' post-trade market cap (market may trade away from Ps/TERP).</t>
        </is>
      </c>
      <c r="I28" s="127" t="inlineStr">
        <is>
          <t>If rights issue, compare MC at TERP as a sanity check (05 TERP).</t>
        </is>
      </c>
      <c r="J28" s="127" t="inlineStr">
        <is>
          <t>We use it to sanity check sizing vs liquidity and show mechanical post-cap changes.</t>
        </is>
      </c>
    </row>
    <row r="29" ht="78" customHeight="1">
      <c r="B29" s="124" t="inlineStr">
        <is>
          <t>20. Rights subscription ratio (New per Existing) LOW/BASE/HIGH</t>
        </is>
      </c>
      <c r="C29" s="125" t="inlineStr">
        <is>
          <t>05_RIGHTS_TERP_ENTITLE!F9</t>
        </is>
      </c>
      <c r="D29" s="126" t="n"/>
      <c r="E29" s="127" t="inlineStr">
        <is>
          <t>Number of new shares offered relative to existing shares (M/N).</t>
        </is>
      </c>
      <c r="F29" s="127" t="inlineStr">
        <is>
          <t>Pre shares N (05!E8:G8), new shares M (05!E9:G9).</t>
        </is>
      </c>
      <c r="G29" s="127" t="inlineStr">
        <is>
          <t>Higher ratio means more dilution risk if holders do not participate.</t>
        </is>
      </c>
      <c r="H29" s="127" t="inlineStr">
        <is>
          <t>Confusing 'rights needed per new share' with 'new per old'; reporting the inverse.</t>
        </is>
      </c>
      <c r="I29" s="127" t="inlineStr">
        <is>
          <t>M/N and N/M both shown consistently; check against entitlement table totals.</t>
        </is>
      </c>
      <c r="J29" s="127" t="inlineStr">
        <is>
          <t>The ratio determines entitlement size and how large the rights offer is for existing holders.</t>
        </is>
      </c>
    </row>
    <row r="30" ht="78" customHeight="1">
      <c r="B30" s="124" t="inlineStr">
        <is>
          <t>21. TERP (theoretical ex-rights price) LOW/BASE/HIGH</t>
        </is>
      </c>
      <c r="C30" s="125" t="inlineStr">
        <is>
          <t>05_RIGHTS_TERP_ENTITLE!F12</t>
        </is>
      </c>
      <c r="D30" s="126" t="n"/>
      <c r="E30" s="127" t="inlineStr">
        <is>
          <t>The weighted average price post-rights assuming efficient pricing (mechanical).</t>
        </is>
      </c>
      <c r="F30" s="127" t="inlineStr">
        <is>
          <t>N, M, P0, Ps (05!E8:E11), and TERP formula (05!E12:G12).</t>
        </is>
      </c>
      <c r="G30" s="127" t="inlineStr">
        <is>
          <t>Lower Ps lowers TERP, but the relationship depends on M vs N.</t>
        </is>
      </c>
      <c r="H30" s="127" t="inlineStr">
        <is>
          <t>Using inconsistent N or M; using P0 that doesn't match discount basis.</t>
        </is>
      </c>
      <c r="I30" s="127" t="inlineStr">
        <is>
          <t>TERP should lie between Ps and P0 when Ps &lt; P0 and M&gt;0.</t>
        </is>
      </c>
      <c r="J30" s="127" t="inlineStr">
        <is>
          <t>TERP provides a benchmark for value transfer and right valuation.</t>
        </is>
      </c>
    </row>
    <row r="31" ht="78" customHeight="1">
      <c r="B31" s="124" t="inlineStr">
        <is>
          <t>22. Value of a right (P0 - TERP) LOW/BASE/HIGH</t>
        </is>
      </c>
      <c r="C31" s="125" t="inlineStr">
        <is>
          <t>05_RIGHTS_TERP_ENTITLE!F13</t>
        </is>
      </c>
      <c r="D31" s="126" t="n"/>
      <c r="E31" s="127" t="inlineStr">
        <is>
          <t>Mechanical value per existing share of receiving a right (if priced at TERP).</t>
        </is>
      </c>
      <c r="F31" s="127" t="inlineStr">
        <is>
          <t>P0 (05!E10:G10), TERP (05!E12:G12).</t>
        </is>
      </c>
      <c r="G31" s="127" t="inlineStr">
        <is>
          <t>Greater discount or larger ratio increases right value.</t>
        </is>
      </c>
      <c r="H31" s="127" t="inlineStr">
        <is>
          <t>Negative right value indicates inconsistent inputs (Ps &gt;= P0 or formula sign).</t>
        </is>
      </c>
      <c r="I31" s="127" t="inlineStr">
        <is>
          <t>Right value &gt;= 0 when Ps &lt; P0; check matches alternative right value formula if shown.</t>
        </is>
      </c>
      <c r="J31" s="127" t="inlineStr">
        <is>
          <t>This explains why participating holders are protected versus non-participating holders.</t>
        </is>
      </c>
    </row>
    <row r="32" ht="78" customHeight="1">
      <c r="B32" s="124" t="inlineStr">
        <is>
          <t>23. Take-up rate selected</t>
        </is>
      </c>
      <c r="C32" s="125" t="inlineStr">
        <is>
          <t>01_CONTROL!E18</t>
        </is>
      </c>
      <c r="D32" s="126" t="n"/>
      <c r="E32" s="127" t="inlineStr">
        <is>
          <t>Assumed participation level in the rights offer (60/80/100) driving subscribed vs rump.</t>
        </is>
      </c>
      <c r="F32" s="127" t="inlineStr">
        <is>
          <t>CTRL_TakeUpScenario (01_CONTROL!E18) and numeric rate (01_CONTROL!E19).</t>
        </is>
      </c>
      <c r="G32" s="127" t="inlineStr">
        <is>
          <t>Lower take-up increases rump and underwriting placement risk.</t>
        </is>
      </c>
      <c r="H32" s="127" t="inlineStr">
        <is>
          <t>Leaving take-up at a default while changing offer size; mixing scenario columns with take-up cases.</t>
        </is>
      </c>
      <c r="I32" s="127" t="inlineStr">
        <is>
          <t>If best efforts, issued shares should fall with take-up; if underwritten, issued stays at M.</t>
        </is>
      </c>
      <c r="J32" s="127" t="inlineStr">
        <is>
          <t>Take-up is the execution risk variable for rights and changes ownership outcomes materially.</t>
        </is>
      </c>
    </row>
    <row r="33" ht="78" customHeight="1">
      <c r="B33" s="124" t="inlineStr">
        <is>
          <t>24. Take-up outcomes (Subscribed / Rump / Issued) LOW/BASE/HIGH</t>
        </is>
      </c>
      <c r="C33" s="125" t="inlineStr">
        <is>
          <t>05_RIGHTS_TERP_ENTITLE!F21</t>
        </is>
      </c>
      <c r="D33" s="126" t="n"/>
      <c r="E33" s="127" t="inlineStr">
        <is>
          <t>Breakdown of how many rights shares are taken up by existing holders vs left for rump placement.</t>
        </is>
      </c>
      <c r="F33" s="127" t="inlineStr">
        <is>
          <t>Total M (05!E9:G9), take-up rate (01_CONTROL!E19), underwriting mode (01_CONTROL!E16).</t>
        </is>
      </c>
      <c r="G33" s="127" t="inlineStr">
        <is>
          <t>Lower take-up increases rump; underwritten deals still issue full M but shift placement to underwriters.</t>
        </is>
      </c>
      <c r="H33" s="127" t="inlineStr">
        <is>
          <t>Forgetting to apply take-up only to rights, not placement; wrong sign on rump (should be M - subscribed).</t>
        </is>
      </c>
      <c r="I33" s="127" t="inlineStr">
        <is>
          <t>Subscribed + Rump = M; Issued equals M if underwritten else subscribed (90_CHECKS).</t>
        </is>
      </c>
      <c r="J33" s="127" t="inlineStr">
        <is>
          <t>This is the key rights execution story: who buys the shares and what risk remains.</t>
        </is>
      </c>
    </row>
    <row r="34" ht="78" customHeight="1">
      <c r="B34" s="124" t="inlineStr">
        <is>
          <t>25. Underwriting mode (Fully underwritten / Best efforts)</t>
        </is>
      </c>
      <c r="C34" s="125" t="inlineStr">
        <is>
          <t>01_CONTROL!E16</t>
        </is>
      </c>
      <c r="D34" s="126" t="n"/>
      <c r="E34" s="127" t="inlineStr">
        <is>
          <t>Defines whether rump is backstopped or issuance falls with take-up.</t>
        </is>
      </c>
      <c r="F34" s="127" t="inlineStr">
        <is>
          <t>CTRL_Underwriting (01_CONTROL!E16) and rights take-up logic (05).</t>
        </is>
      </c>
      <c r="G34" s="127" t="inlineStr">
        <is>
          <t>Underwritten improves certainty but increases fees/risk for banks and potentially backstop fees.</t>
        </is>
      </c>
      <c r="H34" s="127" t="inlineStr">
        <is>
          <t>Setting underwritten but still showing issued shares = subscribed; or vice versa.</t>
        </is>
      </c>
      <c r="I34" s="127" t="inlineStr">
        <is>
          <t>Issued shares logic matches underwriting selection; checks pass.</t>
        </is>
      </c>
      <c r="J34" s="127" t="inlineStr">
        <is>
          <t>Underwriting determines execution certainty and who carries the risk of low take-up.</t>
        </is>
      </c>
    </row>
    <row r="35" ht="78" customHeight="1">
      <c r="B35" s="124" t="inlineStr">
        <is>
          <t>26. Use of proceeds split (Debt / Cash / Growth)</t>
        </is>
      </c>
      <c r="C35" s="125" t="inlineStr">
        <is>
          <t>01_CONTROL!E46</t>
        </is>
      </c>
      <c r="D35" s="126" t="n"/>
      <c r="E35" s="127" t="inlineStr">
        <is>
          <t>How the issuer intends to allocate net proceeds (feeds pro forma BS).</t>
        </is>
      </c>
      <c r="F35" s="127" t="inlineStr">
        <is>
          <t>Use-of-proceeds % (01_CONTROL!E46:E48), net proceeds (07!E16:G16), pro forma BS (08).</t>
        </is>
      </c>
      <c r="G35" s="127" t="inlineStr">
        <is>
          <t>More debt paydown reduces leverage; more cash retained increases liquidity.</t>
        </is>
      </c>
      <c r="H35" s="127" t="inlineStr">
        <is>
          <t>Percentages not summing to 100%; using gross instead of net proceeds for allocation.</t>
        </is>
      </c>
      <c r="I35" s="127" t="inlineStr">
        <is>
          <t>Sum of splits = 100% and allocations reconcile to net proceeds (08 block).</t>
        </is>
      </c>
      <c r="J35" s="127" t="inlineStr">
        <is>
          <t>We translate net proceeds into balance sheet impact using the stated allocation.</t>
        </is>
      </c>
    </row>
    <row r="36" ht="78" customHeight="1">
      <c r="B36" s="124" t="inlineStr">
        <is>
          <t>27. Pro forma balance sheet (Cash / Debt / Net debt) LOW/BASE/HIGH</t>
        </is>
      </c>
      <c r="C36" s="125" t="inlineStr">
        <is>
          <t>08_PRO_FORMA_BS_LEVERAGE!F25</t>
        </is>
      </c>
      <c r="D36" s="126" t="n"/>
      <c r="E36" s="127" t="inlineStr">
        <is>
          <t>Post-transaction cash, debt, and net debt after applying use of proceeds.</t>
        </is>
      </c>
      <c r="F36" s="127" t="inlineStr">
        <is>
          <t>Issuer cash/debt inputs (02_ISSUER_INPUTS), net proceeds (07), use of proceeds (01_CONTROL).</t>
        </is>
      </c>
      <c r="G36" s="127" t="inlineStr">
        <is>
          <t>More net proceeds to debt paydown reduces net debt; more cash retained increases liquidity but may not reduce net debt as much.</t>
        </is>
      </c>
      <c r="H36" s="127" t="inlineStr">
        <is>
          <t>Double counting growth investment impact on cash; inconsistent sign convention (debt paydown should reduce debt).</t>
        </is>
      </c>
      <c r="I36" s="127" t="inlineStr">
        <is>
          <t>Net debt post = debt post - cash post; delta vs pre matches allocation logic.</t>
        </is>
      </c>
      <c r="J36" s="127" t="inlineStr">
        <is>
          <t>This shows the tangible balance sheet effect of the fundraising.</t>
        </is>
      </c>
    </row>
    <row r="37" ht="78" customHeight="1">
      <c r="B37" s="124" t="inlineStr">
        <is>
          <t>28. Leverage (Net debt / EBITDA) post and delta</t>
        </is>
      </c>
      <c r="C37" s="125" t="inlineStr">
        <is>
          <t>08_PRO_FORMA_BS_LEVERAGE!F34</t>
        </is>
      </c>
      <c r="D37" s="126" t="n"/>
      <c r="E37" s="127" t="inlineStr">
        <is>
          <t>Leverage metric post-transaction and the change versus pre.</t>
        </is>
      </c>
      <c r="F37" s="127" t="inlineStr">
        <is>
          <t>Net debt post (08!E27:G27) and EBITDA input (02_ISSUER_INPUTS!E29).</t>
        </is>
      </c>
      <c r="G37" s="127" t="inlineStr">
        <is>
          <t>Debt paydown reduces leverage; weaker EBITDA increases leverage even after proceeds.</t>
        </is>
      </c>
      <c r="H37" s="127" t="inlineStr">
        <is>
          <t>Using NTM vs LTM EBITDA inconsistently; zero/blank EBITDA causing errors.</t>
        </is>
      </c>
      <c r="I37" s="127" t="inlineStr">
        <is>
          <t>Leverage is finite and directionally consistent with net debt change; 90_CHECKS no errors.</t>
        </is>
      </c>
      <c r="J37" s="127" t="inlineStr">
        <is>
          <t>We quantify how much headroom the raise creates in leverage terms, which drives covenant and rating discussions.</t>
        </is>
      </c>
    </row>
    <row r="38" ht="78" customHeight="1">
      <c r="B38" s="124" t="inlineStr">
        <is>
          <t>29. Sensitivity: Discount vs Net proceeds / Dilution</t>
        </is>
      </c>
      <c r="C38" s="125" t="inlineStr">
        <is>
          <t>10_SENSITIVITIES!B7</t>
        </is>
      </c>
      <c r="D38" s="126" t="n"/>
      <c r="E38" s="127" t="inlineStr">
        <is>
          <t>Quick table showing how pricing (discount) moves issue price, shares, net proceeds and dilution.</t>
        </is>
      </c>
      <c r="F38" s="127" t="inlineStr">
        <is>
          <t>Ref price (03), raise mode and targets (01), fee assumptions (01/07).</t>
        </is>
      </c>
      <c r="G38" s="127" t="inlineStr">
        <is>
          <t>Lower discount (higher price) usually reduces dilution and can improve optics but may reduce certainty.</t>
        </is>
      </c>
      <c r="H38" s="127" t="inlineStr">
        <is>
          <t>Treating sensitivity table as scenario output without aligning to BASE controls.</t>
        </is>
      </c>
      <c r="I38" s="127" t="inlineStr">
        <is>
          <t>Check monotonicity: as discount increases, issue price falls; shares/dilution respond as expected.</t>
        </is>
      </c>
      <c r="J38" s="127" t="inlineStr">
        <is>
          <t>We use the sensitivity grid to answer 'what if pricing moves' questions fast in meetings.</t>
        </is>
      </c>
    </row>
    <row r="39" ht="90" customHeight="1">
      <c r="B39" s="136" t="inlineStr">
        <is>
          <t>30. Value of entitlement (Holder 1 total, base, DKKm)</t>
        </is>
      </c>
      <c r="C39" s="137" t="inlineStr">
        <is>
          <t>80_ECM_LEARN_MAP!E46</t>
        </is>
      </c>
      <c r="D39" s="137" t="inlineStr">
        <is>
          <t>Total value of rights attached to Holder 1’s existing shares (base scenario), in DKKm.</t>
        </is>
      </c>
      <c r="E39" s="137" t="inlineStr">
        <is>
          <t>Rights value transfer metric: value lost by a holder if they do not participate and cannot sell rights.</t>
        </is>
      </c>
      <c r="F39" s="137" t="inlineStr">
        <is>
          <t>Right value per share (05_RIGHTS_TERP_ENTITLE!F13); Holder 1 pre shares (06_CAP_TABLE_OWNERSHIP!E20).</t>
        </is>
      </c>
      <c r="G39" s="137" t="inlineStr">
        <is>
          <t>Increases with a larger rights value per share and a larger holder stake.</t>
        </is>
      </c>
      <c r="H39" s="137" t="inlineStr">
        <is>
          <t>Share unit mismatch (m vs shares); using post shares; not a cash flow to issuer; irrelevant for non-rights offers.</t>
        </is>
      </c>
      <c r="I39" s="137" t="inlineStr">
        <is>
          <t>Should be ≥0 in normal discounted rights; scales linearly with holder shares; check rights value per share is sensible.</t>
        </is>
      </c>
      <c r="J39" s="137" t="inlineStr">
        <is>
          <t>If the board asks: This quantifies the economic value a major holder preserves by participating (or by selling rights if tradable).</t>
        </is>
      </c>
      <c r="K39" s="138" t="n"/>
      <c r="L39" s="137" t="n"/>
    </row>
    <row r="40" ht="15" customHeight="1"/>
    <row r="41" ht="15" customHeight="1">
      <c r="B41" s="128" t="inlineStr">
        <is>
          <t>Note: Scenario outputs are in columns E/F/G on calc sheets (LOW/BASE/HIGH). Dashboard shows LOW/BASE/HIGH by column.</t>
        </is>
      </c>
    </row>
    <row r="42" ht="15" customHeight="1"/>
    <row r="43" ht="18" customHeight="1">
      <c r="B43" s="132" t="inlineStr">
        <is>
          <t>DERIVED RIGHTS VALUE TRANSFER (FOR LEARNING)</t>
        </is>
      </c>
      <c r="C43" s="133" t="n"/>
      <c r="D43" s="133" t="n"/>
      <c r="E43" s="133" t="n"/>
      <c r="F43" s="133" t="n"/>
      <c r="G43" s="133" t="n"/>
      <c r="H43" s="133" t="n"/>
      <c r="I43" s="133" t="n"/>
      <c r="J43" s="133" t="n"/>
      <c r="K43" s="133" t="n"/>
      <c r="L43" s="133" t="n"/>
    </row>
    <row r="44" ht="20" customHeight="1">
      <c r="B44" s="136" t="inlineStr">
        <is>
          <t>Right value per existing share (base, DKK/share)</t>
        </is>
      </c>
      <c r="C44" s="143" t="inlineStr">
        <is>
          <t>05_RIGHTS_TERP_ENTITLE!F13</t>
        </is>
      </c>
      <c r="D44" s="138" t="n"/>
      <c r="E44" s="137">
        <f>'05_RIGHTS_TERP_ENTITLE'!F13</f>
        <v/>
      </c>
      <c r="F44" s="137" t="n"/>
      <c r="G44" s="137" t="n"/>
      <c r="H44" s="137" t="n"/>
      <c r="I44" s="137" t="n"/>
      <c r="J44" s="137" t="n"/>
      <c r="K44" s="137" t="n"/>
      <c r="L44" s="137" t="n"/>
    </row>
    <row r="45" ht="20" customHeight="1">
      <c r="B45" s="136" t="inlineStr">
        <is>
          <t>Holder 1 pre shares (base, m shares)</t>
        </is>
      </c>
      <c r="C45" s="143" t="inlineStr">
        <is>
          <t>06_CAP_TABLE_OWNERSHIP!E20</t>
        </is>
      </c>
      <c r="D45" s="138" t="n"/>
      <c r="E45" s="137">
        <f>'06_CAP_TABLE_OWNERSHIP'!E20</f>
        <v/>
      </c>
      <c r="F45" s="137" t="n"/>
      <c r="G45" s="137" t="n"/>
      <c r="H45" s="137" t="n"/>
      <c r="I45" s="137" t="n"/>
      <c r="J45" s="137" t="n"/>
      <c r="K45" s="137" t="n"/>
      <c r="L45" s="137" t="n"/>
    </row>
    <row r="46" ht="20" customHeight="1">
      <c r="B46" s="136" t="inlineStr">
        <is>
          <t>Entitlement value (Holder 1 total, base, DKKm)</t>
        </is>
      </c>
      <c r="C46" s="143" t="inlineStr">
        <is>
          <t>80_ECM_LEARN_MAP!E46</t>
        </is>
      </c>
      <c r="D46" s="138" t="n"/>
      <c r="E46" s="137">
        <f>E44*E45</f>
        <v/>
      </c>
      <c r="F46" s="137" t="n"/>
      <c r="G46" s="137" t="n"/>
      <c r="H46" s="137" t="n"/>
      <c r="I46" s="137" t="n"/>
      <c r="J46" s="137" t="n"/>
      <c r="K46" s="137" t="n"/>
      <c r="L46" s="137" t="n"/>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sheetData>
  <mergeCells count="1">
    <mergeCell ref="B43:L43"/>
  </mergeCells>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 xmlns:r="http://schemas.openxmlformats.org/officeDocument/2006/relationships" ref="C33" r:id="rId30"/>
    <hyperlink xmlns:r="http://schemas.openxmlformats.org/officeDocument/2006/relationships" ref="C34" r:id="rId31"/>
    <hyperlink xmlns:r="http://schemas.openxmlformats.org/officeDocument/2006/relationships" ref="C35" r:id="rId32"/>
    <hyperlink xmlns:r="http://schemas.openxmlformats.org/officeDocument/2006/relationships" ref="C36" r:id="rId33"/>
    <hyperlink xmlns:r="http://schemas.openxmlformats.org/officeDocument/2006/relationships" ref="C37" r:id="rId34"/>
    <hyperlink xmlns:r="http://schemas.openxmlformats.org/officeDocument/2006/relationships" ref="C38" r:id="rId35"/>
    <hyperlink xmlns:r="http://schemas.openxmlformats.org/officeDocument/2006/relationships" ref="C39" r:id="rId36"/>
    <hyperlink xmlns:r="http://schemas.openxmlformats.org/officeDocument/2006/relationships" ref="C44" r:id="rId37"/>
    <hyperlink xmlns:r="http://schemas.openxmlformats.org/officeDocument/2006/relationships" ref="C45" r:id="rId38"/>
    <hyperlink xmlns:r="http://schemas.openxmlformats.org/officeDocument/2006/relationships" ref="C46" r:id="rId39"/>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49"/>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outlineLevelCol="0"/>
  <cols>
    <col width="2" customWidth="1" min="1" max="1"/>
    <col width="38" customWidth="1" min="2" max="2"/>
    <col width="24" customWidth="1" min="3" max="3"/>
    <col width="2"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2" customWidth="1" min="12" max="12"/>
    <col width="12" customWidth="1" min="13" max="13"/>
    <col width="12" customWidth="1" min="14" max="14"/>
    <col width="12" customWidth="1" min="15" max="15"/>
    <col width="12" customWidth="1" min="16" max="16"/>
    <col width="12" customWidth="1" min="17" max="17"/>
    <col width="12" customWidth="1" min="18" max="18"/>
  </cols>
  <sheetData>
    <row r="1" ht="15" customHeight="1">
      <c r="B1" s="78" t="inlineStr">
        <is>
          <t>Dashboard</t>
        </is>
      </c>
      <c r="C1" s="78" t="inlineStr">
        <is>
          <t>Control</t>
        </is>
      </c>
      <c r="D1" s="78" t="inlineStr">
        <is>
          <t>Issuer</t>
        </is>
      </c>
      <c r="E1" s="78" t="inlineStr">
        <is>
          <t>Offer</t>
        </is>
      </c>
      <c r="F1" s="78" t="inlineStr">
        <is>
          <t>Checks</t>
        </is>
      </c>
      <c r="G1" s="78" t="inlineStr">
        <is>
          <t>Learn</t>
        </is>
      </c>
    </row>
    <row r="2" ht="18" customHeight="1">
      <c r="B2" s="120" t="inlineStr">
        <is>
          <t>ECM Learning Layer</t>
        </is>
      </c>
    </row>
    <row r="3" ht="15" customHeight="1">
      <c r="B3" s="121" t="inlineStr">
        <is>
          <t>81) Formula Walkthrough (35 critical formulas traced to the model)</t>
        </is>
      </c>
    </row>
    <row r="4" ht="15" customHeight="1"/>
    <row r="5" ht="18" customHeight="1">
      <c r="B5" s="83" t="inlineStr">
        <is>
          <t>HOW TO USE THIS TAB</t>
        </is>
      </c>
      <c r="C5" s="83" t="n"/>
      <c r="D5" s="83" t="n"/>
      <c r="E5" s="83" t="n"/>
      <c r="F5" s="83" t="n"/>
      <c r="G5" s="83" t="n"/>
      <c r="H5" s="83" t="n"/>
      <c r="I5" s="83" t="n"/>
      <c r="J5" s="83" t="n"/>
      <c r="K5" s="83" t="n"/>
      <c r="L5" s="83" t="n"/>
    </row>
    <row r="6" ht="36" customHeight="1">
      <c r="B6" s="129" t="inlineStr">
        <is>
          <t>Use this as a 'formula debugger' and training aid. Each row links to the live model cell. Mini-examples use small numbers to build intuition.</t>
        </is>
      </c>
    </row>
    <row r="7" ht="15" customHeight="1"/>
    <row r="8" ht="18" customHeight="1">
      <c r="B8" s="83" t="inlineStr">
        <is>
          <t>TOP 35 FORMULAS (TRACEABLE)</t>
        </is>
      </c>
      <c r="C8" s="83" t="n"/>
      <c r="D8" s="83" t="n"/>
      <c r="E8" s="83" t="n"/>
      <c r="F8" s="83" t="n"/>
      <c r="G8" s="83" t="n"/>
      <c r="H8" s="83" t="n"/>
      <c r="I8" s="83" t="n"/>
      <c r="J8" s="83" t="n"/>
      <c r="K8" s="83" t="n"/>
      <c r="L8" s="83" t="n"/>
    </row>
    <row r="9" ht="30" customHeight="1">
      <c r="B9" s="123" t="inlineStr">
        <is>
          <t>Formula name</t>
        </is>
      </c>
      <c r="C9" s="123" t="inlineStr">
        <is>
          <t>Where (tab!cell)</t>
        </is>
      </c>
      <c r="D9" s="123" t="inlineStr"/>
      <c r="E9" s="123" t="inlineStr">
        <is>
          <t>Formula</t>
        </is>
      </c>
      <c r="F9" s="123" t="inlineStr">
        <is>
          <t>Plain-language explanation</t>
        </is>
      </c>
      <c r="G9" s="123" t="inlineStr">
        <is>
          <t>Why it matters in ECM</t>
        </is>
      </c>
      <c r="H9" s="123" t="inlineStr">
        <is>
          <t>Typical mistake</t>
        </is>
      </c>
      <c r="I9" s="123" t="inlineStr">
        <is>
          <t>Mini-example</t>
        </is>
      </c>
    </row>
    <row r="10" ht="84" customHeight="1">
      <c r="B10" s="124" t="inlineStr">
        <is>
          <t>1. Discount % (pricing)</t>
        </is>
      </c>
      <c r="C10" s="125" t="inlineStr">
        <is>
          <t>04_OFFER_SETUP!F9</t>
        </is>
      </c>
      <c r="D10" s="126" t="n"/>
      <c r="E10" s="127">
        <f>1 - (Issue_Price / Reference_Price)</f>
        <v/>
      </c>
      <c r="F10" s="127" t="inlineStr">
        <is>
          <t>Computes stated discount vs the defined reference price.</t>
        </is>
      </c>
      <c r="G10" s="127" t="inlineStr">
        <is>
          <t>Discount is the core ECM pricing language used with investors and boards.</t>
        </is>
      </c>
      <c r="H10" s="127" t="inlineStr">
        <is>
          <t>Using a different reference price basis (VWAP vs last close) than you state; sign errors.</t>
        </is>
      </c>
      <c r="I10" s="127" t="inlineStr">
        <is>
          <t>Example: P0=100, Ps=92 -&gt; Discount = 1-92/100 = 8%.</t>
        </is>
      </c>
    </row>
    <row r="11" ht="84" customHeight="1">
      <c r="B11" s="124" t="inlineStr">
        <is>
          <t>2. Issue price from discount</t>
        </is>
      </c>
      <c r="C11" s="125" t="inlineStr">
        <is>
          <t>04_OFFER_SETUP!F8</t>
        </is>
      </c>
      <c r="D11" s="126" t="n"/>
      <c r="E11" s="127">
        <f>Reference_Price * (1 - Discount)</f>
        <v/>
      </c>
      <c r="F11" s="127" t="inlineStr">
        <is>
          <t>Converts a discount input into an issue price.</t>
        </is>
      </c>
      <c r="G11" s="127" t="inlineStr">
        <is>
          <t>Many mandates are set as 'X% discount' so you need Ps immediately.</t>
        </is>
      </c>
      <c r="H11" s="127" t="inlineStr">
        <is>
          <t>Discount entered as 8 instead of 0.08 -&gt; Ps becomes negative/too low.</t>
        </is>
      </c>
      <c r="I11" s="127" t="inlineStr">
        <is>
          <t>Example: P0=100, Disc=8% -&gt; Ps=92.</t>
        </is>
      </c>
    </row>
    <row r="12" ht="84" customHeight="1">
      <c r="B12" s="124" t="inlineStr">
        <is>
          <t>3. New shares issued (primary) from target gross</t>
        </is>
      </c>
      <c r="C12" s="125" t="inlineStr">
        <is>
          <t>04_OFFER_SETUP!F15</t>
        </is>
      </c>
      <c r="D12" s="126" t="n"/>
      <c r="E12" s="127">
        <f>Target_Gross_Primary / Issue_Price</f>
        <v/>
      </c>
      <c r="F12" s="127" t="inlineStr">
        <is>
          <t>Solves for how many new shares the company must issue to raise a target gross amount.</t>
        </is>
      </c>
      <c r="G12" s="127" t="inlineStr">
        <is>
          <t>This is the main mechanical driver of dilution.</t>
        </is>
      </c>
      <c r="H12" s="127" t="inlineStr">
        <is>
          <t>Mixing DKKm with DKK (missing *1,000,000); rounding too early.</t>
        </is>
      </c>
      <c r="I12" s="127" t="inlineStr">
        <is>
          <t>Example: Target=700m, Ps=92 -&gt; New=7.61m shares.</t>
        </is>
      </c>
    </row>
    <row r="13" ht="84" customHeight="1">
      <c r="B13" s="124" t="inlineStr">
        <is>
          <t>4. Gross proceeds total (primary + secondary)</t>
        </is>
      </c>
      <c r="C13" s="125" t="inlineStr">
        <is>
          <t>07_PROCEEDS_AND_FEES!F10</t>
        </is>
      </c>
      <c r="D13" s="126" t="n"/>
      <c r="E13" s="127">
        <f>(Primary_New_Shares + Secondary_Shares) * Issue_Price</f>
        <v/>
      </c>
      <c r="F13" s="127" t="inlineStr">
        <is>
          <t>Computes headline deal size before fees.</t>
        </is>
      </c>
      <c r="G13" s="127" t="inlineStr">
        <is>
          <t>Banker/client conversations often start with the gross deal size.</t>
        </is>
      </c>
      <c r="H13" s="127" t="inlineStr">
        <is>
          <t>Double counting secondary or including it when not in scope.</t>
        </is>
      </c>
      <c r="I13" s="127" t="inlineStr">
        <is>
          <t>Example: (7.61m + 1.00m)*92 = 793m.</t>
        </is>
      </c>
    </row>
    <row r="14" ht="84" customHeight="1">
      <c r="B14" s="124" t="inlineStr">
        <is>
          <t>5. Total fees (variable + fixed)</t>
        </is>
      </c>
      <c r="C14" s="125" t="inlineStr">
        <is>
          <t>07_PROCEEDS_AND_FEES!F15</t>
        </is>
      </c>
      <c r="D14" s="126" t="n"/>
      <c r="E14" s="127">
        <f>Gross_Proceeds * Total_Fee_% + Fixed_Other_Costs</f>
        <v/>
      </c>
      <c r="F14" s="127" t="inlineStr">
        <is>
          <t>Calculates total transaction costs.</t>
        </is>
      </c>
      <c r="G14" s="127" t="inlineStr">
        <is>
          <t>Fees determine net proceeds and can change share count when sizing to net.</t>
        </is>
      </c>
      <c r="H14" s="127" t="inlineStr">
        <is>
          <t>Fee % as whole number; negative fees; applying % to wrong base.</t>
        </is>
      </c>
      <c r="I14" s="127" t="inlineStr">
        <is>
          <t>Example: Gross=793m, fee%=3% -&gt; 23.8m + other 1m = 24.8m.</t>
        </is>
      </c>
    </row>
    <row r="15" ht="84" customHeight="1">
      <c r="B15" s="124" t="inlineStr">
        <is>
          <t>6. Net proceeds to issuer (after fees)</t>
        </is>
      </c>
      <c r="C15" s="125" t="inlineStr">
        <is>
          <t>07_PROCEEDS_AND_FEES!F16</t>
        </is>
      </c>
      <c r="D15" s="126" t="n"/>
      <c r="E15" s="127">
        <f>Gross_Primary_Proceeds - Fees_Charged_to_Issuer</f>
        <v/>
      </c>
      <c r="F15" s="127" t="inlineStr">
        <is>
          <t>Computes cash received by the company.</t>
        </is>
      </c>
      <c r="G15" s="127" t="inlineStr">
        <is>
          <t>This funds use of proceeds and drives pro forma balance sheet impact.</t>
        </is>
      </c>
      <c r="H15" s="127" t="inlineStr">
        <is>
          <t>Charging issuer fees on secondary incorrectly; fee sign errors.</t>
        </is>
      </c>
      <c r="I15" s="127" t="inlineStr">
        <is>
          <t>Example: Primary=700m, fees=24.8m -&gt; Net=675.2m.</t>
        </is>
      </c>
    </row>
    <row r="16" ht="84" customHeight="1">
      <c r="B16" s="124" t="inlineStr">
        <is>
          <t>7. Cap table roll-forward (post shares)</t>
        </is>
      </c>
      <c r="C16" s="125" t="inlineStr">
        <is>
          <t>06_CAP_TABLE_OWNERSHIP!F13</t>
        </is>
      </c>
      <c r="D16" s="126" t="n"/>
      <c r="E16" s="127">
        <f>Pre_Shares + New_Shares_Issued</f>
        <v/>
      </c>
      <c r="F16" s="127" t="inlineStr">
        <is>
          <t>Updates total shares after issuance.</t>
        </is>
      </c>
      <c r="G16" s="127" t="inlineStr">
        <is>
          <t>Everything downstream (ownership, dilution, float) depends on this reconciliation.</t>
        </is>
      </c>
      <c r="H16" s="127" t="inlineStr">
        <is>
          <t>Pre shares input not updated; referencing wrong scenario column.</t>
        </is>
      </c>
      <c r="I16" s="127" t="inlineStr">
        <is>
          <t>Example: Pre=90m, New=7.61m -&gt; Post=97.61m.</t>
        </is>
      </c>
    </row>
    <row r="17" ht="84" customHeight="1">
      <c r="B17" s="124" t="inlineStr">
        <is>
          <t>8. Issuance dilution %</t>
        </is>
      </c>
      <c r="C17" s="125" t="inlineStr">
        <is>
          <t>06_CAP_TABLE_OWNERSHIP!F14</t>
        </is>
      </c>
      <c r="D17" s="126" t="n"/>
      <c r="E17" s="127">
        <f>1 - (Pre_Shares / Post_Shares)</f>
        <v/>
      </c>
      <c r="F17" s="127" t="inlineStr">
        <is>
          <t>Mechanical dilution from share issuance.</t>
        </is>
      </c>
      <c r="G17" s="127" t="inlineStr">
        <is>
          <t>This is the headline 'dilution optics' metric in ECM.</t>
        </is>
      </c>
      <c r="H17" s="127" t="inlineStr">
        <is>
          <t>Confusing with EPS dilution; mixing pre/post definitions.</t>
        </is>
      </c>
      <c r="I17" s="127" t="inlineStr">
        <is>
          <t>Example: 1 - 90/97.61 = 7.8%.</t>
        </is>
      </c>
    </row>
    <row r="18" ht="84" customHeight="1">
      <c r="B18" s="124" t="inlineStr">
        <is>
          <t>9. Post ownership % per holder</t>
        </is>
      </c>
      <c r="C18" s="125" t="inlineStr">
        <is>
          <t>06_CAP_TABLE_OWNERSHIP!H20</t>
        </is>
      </c>
      <c r="D18" s="126" t="n"/>
      <c r="E18" s="127">
        <f>Holder_Post_Shares / Total_Post_Shares</f>
        <v/>
      </c>
      <c r="F18" s="127" t="inlineStr">
        <is>
          <t>Computes each holder's ownership after the deal.</t>
        </is>
      </c>
      <c r="G18" s="127" t="inlineStr">
        <is>
          <t>Explains control, governance, and shareholder fairness outcomes.</t>
        </is>
      </c>
      <c r="H18" s="127" t="inlineStr">
        <is>
          <t>Not updating holder post shares logic when switching offer type.</t>
        </is>
      </c>
      <c r="I18" s="127" t="inlineStr">
        <is>
          <t>Example: Holder post 9.8m / 97.61m = 10.0%.</t>
        </is>
      </c>
    </row>
    <row r="19" ht="84" customHeight="1">
      <c r="B19" s="124" t="inlineStr">
        <is>
          <t>10. Free float %</t>
        </is>
      </c>
      <c r="C19" s="125" t="inlineStr">
        <is>
          <t>06_CAP_TABLE_OWNERSHIP!F34</t>
        </is>
      </c>
      <c r="D19" s="126" t="n"/>
      <c r="E19" s="127">
        <f>Free_Float_Shares / Total_Shares_Post</f>
        <v/>
      </c>
      <c r="F19" s="127" t="inlineStr">
        <is>
          <t>Computes post free float as a % of total shares.</t>
        </is>
      </c>
      <c r="G19" s="127" t="inlineStr">
        <is>
          <t>Float drives liquidity, index eligibility and investor demand.</t>
        </is>
      </c>
      <c r="H19" s="127" t="inlineStr">
        <is>
          <t>Treating all 'Other' as float when some is strategic; float flags wrong.</t>
        </is>
      </c>
      <c r="I19" s="127" t="inlineStr">
        <is>
          <t>Example: Float 45m / 97.61m = 46.1%.</t>
        </is>
      </c>
    </row>
    <row r="20" ht="84" customHeight="1">
      <c r="B20" s="124" t="inlineStr">
        <is>
          <t>11. Market cap pre</t>
        </is>
      </c>
      <c r="C20" s="125" t="inlineStr">
        <is>
          <t>09_FREE_FLOAT_TRADING_MET!E8</t>
        </is>
      </c>
      <c r="D20" s="126" t="n"/>
      <c r="E20" s="127">
        <f>Pre_Shares * Reference_Price</f>
        <v/>
      </c>
      <c r="F20" s="127" t="inlineStr">
        <is>
          <t>Computes equity value before the deal.</t>
        </is>
      </c>
      <c r="G20" s="127" t="inlineStr">
        <is>
          <t>Provides context for sizing and dilution versus company size.</t>
        </is>
      </c>
      <c r="H20" s="127" t="inlineStr">
        <is>
          <t>Using different price basis than discount; unit mismatch (m shares vs shares).</t>
        </is>
      </c>
      <c r="I20" s="127" t="inlineStr">
        <is>
          <t>Example: 90m * 100 = 9,000m.</t>
        </is>
      </c>
    </row>
    <row r="21" ht="84" customHeight="1">
      <c r="B21" s="124" t="inlineStr">
        <is>
          <t>12. Market cap post (at issue price)</t>
        </is>
      </c>
      <c r="C21" s="125" t="inlineStr">
        <is>
          <t>09_FREE_FLOAT_TRADING_MET!F9</t>
        </is>
      </c>
      <c r="D21" s="126" t="n"/>
      <c r="E21" s="127">
        <f>Post_Shares * Issue_Price</f>
        <v/>
      </c>
      <c r="F21" s="127" t="inlineStr">
        <is>
          <t>Mechanical post-deal equity value assuming trade at issue price.</t>
        </is>
      </c>
      <c r="G21" s="127" t="inlineStr">
        <is>
          <t>Useful sanity check on sizing and optics (not a forecast).</t>
        </is>
      </c>
      <c r="H21" s="127" t="inlineStr">
        <is>
          <t>Interpreting as true post-trade value; market may trade away from Ps/TERP.</t>
        </is>
      </c>
      <c r="I21" s="127" t="inlineStr">
        <is>
          <t>Example: 97.61m * 92 = 8,980m.</t>
        </is>
      </c>
    </row>
    <row r="22" ht="84" customHeight="1">
      <c r="B22" s="124" t="inlineStr">
        <is>
          <t>13. Rights subscription ratio (New per Existing)</t>
        </is>
      </c>
      <c r="C22" s="125" t="inlineStr">
        <is>
          <t>05_RIGHTS_TERP_ENTITLE!F9</t>
        </is>
      </c>
      <c r="D22" s="126" t="n"/>
      <c r="E22" s="127">
        <f>New_Shares_M / Existing_Shares_N</f>
        <v/>
      </c>
      <c r="F22" s="127" t="inlineStr">
        <is>
          <t>Defines how many new shares are offered relative to existing shares.</t>
        </is>
      </c>
      <c r="G22" s="127" t="inlineStr">
        <is>
          <t>Drives entitlement size and perceived 'offer size' to shareholders.</t>
        </is>
      </c>
      <c r="H22" s="127" t="inlineStr">
        <is>
          <t>Reporting inverse (rights needed per new).</t>
        </is>
      </c>
      <c r="I22" s="127" t="inlineStr">
        <is>
          <t>Example: M=7.61m, N=90m -&gt; 0.0846 new per old.</t>
        </is>
      </c>
    </row>
    <row r="23" ht="84" customHeight="1">
      <c r="B23" s="124" t="inlineStr">
        <is>
          <t>14. TERP (theoretical ex-rights price)</t>
        </is>
      </c>
      <c r="C23" s="125" t="inlineStr">
        <is>
          <t>05_RIGHTS_TERP_ENTITLE!F12</t>
        </is>
      </c>
      <c r="D23" s="126" t="n"/>
      <c r="E23" s="127">
        <f>(N*P0 + M*Ps) / (N + M)</f>
        <v/>
      </c>
      <c r="F23" s="127" t="inlineStr">
        <is>
          <t>Weighted average price post-rights under mechanical assumptions.</t>
        </is>
      </c>
      <c r="G23" s="127" t="inlineStr">
        <is>
          <t>Benchmark for right value and value transfer discussions.</t>
        </is>
      </c>
      <c r="H23" s="127" t="inlineStr">
        <is>
          <t>Using different P0 than discount; inconsistent N/M.</t>
        </is>
      </c>
      <c r="I23" s="127" t="inlineStr">
        <is>
          <t>Example: (90*100 + 7.61*92)/(97.61)=99.4.</t>
        </is>
      </c>
    </row>
    <row r="24" ht="84" customHeight="1">
      <c r="B24" s="124" t="inlineStr">
        <is>
          <t>15. Right value per existing share</t>
        </is>
      </c>
      <c r="C24" s="125" t="inlineStr">
        <is>
          <t>05_RIGHTS_TERP_ENTITLE!F13</t>
        </is>
      </c>
      <c r="D24" s="126" t="n"/>
      <c r="E24" s="127">
        <f>P0 - TERP</f>
        <v/>
      </c>
      <c r="F24" s="127" t="inlineStr">
        <is>
          <t>Mechanical value per existing share of receiving a right.</t>
        </is>
      </c>
      <c r="G24" s="127" t="inlineStr">
        <is>
          <t>Explains why participating holders are protected in a rights issue.</t>
        </is>
      </c>
      <c r="H24" s="127" t="inlineStr">
        <is>
          <t>Negative values indicate Ps&gt;=P0 or wrong sign.</t>
        </is>
      </c>
      <c r="I24" s="127" t="inlineStr">
        <is>
          <t>Example: 100 - 99.4 = 0.6 per share.</t>
        </is>
      </c>
    </row>
    <row r="25" ht="84" customHeight="1">
      <c r="B25" s="124" t="inlineStr">
        <is>
          <t>16. Take-up selected (numeric)</t>
        </is>
      </c>
      <c r="C25" s="125" t="inlineStr">
        <is>
          <t>01_CONTROL!E19</t>
        </is>
      </c>
      <c r="D25" s="126" t="n"/>
      <c r="E25" s="127">
        <f>IF(TakeUpScenario="80%",0.8, ...)</f>
        <v/>
      </c>
      <c r="F25" s="127" t="inlineStr">
        <is>
          <t>Converts the take-up dropdown into a numeric rate used in calculations.</t>
        </is>
      </c>
      <c r="G25" s="127" t="inlineStr">
        <is>
          <t>Ensures take-up scenarios flow through mechanically.</t>
        </is>
      </c>
      <c r="H25" s="127" t="inlineStr">
        <is>
          <t>Hardcoding take-up in multiple places; mismatch between label and numeric.</t>
        </is>
      </c>
      <c r="I25" s="127" t="inlineStr">
        <is>
          <t>Example: Scenario '60%' -&gt; 0.6.</t>
        </is>
      </c>
    </row>
    <row r="26" ht="84" customHeight="1">
      <c r="B26" s="124" t="inlineStr">
        <is>
          <t>17. Subscribed shares (rights)</t>
        </is>
      </c>
      <c r="C26" s="125" t="inlineStr">
        <is>
          <t>05_RIGHTS_TERP_ENTITLE!F21</t>
        </is>
      </c>
      <c r="D26" s="126" t="n"/>
      <c r="E26" s="127">
        <f>Entitled_Shares_M * TakeUp_Rate</f>
        <v/>
      </c>
      <c r="F26" s="127" t="inlineStr">
        <is>
          <t>Computes how many new shares are subscribed by existing holders.</t>
        </is>
      </c>
      <c r="G26" s="127" t="inlineStr">
        <is>
          <t>Determines rump size and ownership outcomes.</t>
        </is>
      </c>
      <c r="H26" s="127" t="inlineStr">
        <is>
          <t>Applying take-up to total sold including secondary; wrong base.</t>
        </is>
      </c>
      <c r="I26" s="127" t="inlineStr">
        <is>
          <t>Example: M=7.61m, take-up=60% -&gt; 4.57m subscribed.</t>
        </is>
      </c>
    </row>
    <row r="27" ht="84" customHeight="1">
      <c r="B27" s="124" t="inlineStr">
        <is>
          <t>18. Rump shares (rights)</t>
        </is>
      </c>
      <c r="C27" s="125" t="inlineStr">
        <is>
          <t>05_RIGHTS_TERP_ENTITLE!F22</t>
        </is>
      </c>
      <c r="D27" s="126" t="n"/>
      <c r="E27" s="127">
        <f>Entitled_Shares_M - Subscribed_Shares</f>
        <v/>
      </c>
      <c r="F27" s="127" t="inlineStr">
        <is>
          <t>Shares left over after take-up, to be placed as rump.</t>
        </is>
      </c>
      <c r="G27" s="127" t="inlineStr">
        <is>
          <t>Key execution risk and underwriting exposure metric.</t>
        </is>
      </c>
      <c r="H27" s="127" t="inlineStr">
        <is>
          <t>Sign error resulting in negative rump; forgetting to recalc when M changes.</t>
        </is>
      </c>
      <c r="I27" s="127" t="inlineStr">
        <is>
          <t>Example: 7.61m - 4.57m = 3.04m rump.</t>
        </is>
      </c>
    </row>
    <row r="28" ht="84" customHeight="1">
      <c r="B28" s="124" t="inlineStr">
        <is>
          <t>19. Issued shares (underwritten vs best efforts)</t>
        </is>
      </c>
      <c r="C28" s="125" t="inlineStr">
        <is>
          <t>05_RIGHTS_TERP_ENTITLE!F23</t>
        </is>
      </c>
      <c r="D28" s="126" t="n"/>
      <c r="E28" s="127">
        <f>IF(Underwritten, Entitled_Shares_M, Subscribed_Shares)</f>
        <v/>
      </c>
      <c r="F28" s="127" t="inlineStr">
        <is>
          <t>Underwritten deals issue full M even if take-up is low.</t>
        </is>
      </c>
      <c r="G28" s="127" t="inlineStr">
        <is>
          <t>Separates certainty of proceeds from participation uncertainty.</t>
        </is>
      </c>
      <c r="H28" s="127" t="inlineStr">
        <is>
          <t>Logic inverted; issued falling despite underwritten toggle.</t>
        </is>
      </c>
      <c r="I28" s="127" t="inlineStr">
        <is>
          <t>Example: Underwritten -&gt; 7.61m issued; best efforts -&gt; 4.57m.</t>
        </is>
      </c>
    </row>
    <row r="29" ht="84" customHeight="1">
      <c r="B29" s="124" t="inlineStr">
        <is>
          <t>20. Gross-up for target net proceeds</t>
        </is>
      </c>
      <c r="C29" s="125" t="inlineStr">
        <is>
          <t>04_OFFER_SETUP!F14</t>
        </is>
      </c>
      <c r="D29" s="126" t="n"/>
      <c r="E29" s="127">
        <f>Target_Net / (1 - Fee_%_Issuer)</f>
        <v/>
      </c>
      <c r="F29" s="127" t="inlineStr">
        <is>
          <t>Calculates required gross primary to deliver a net proceeds target.</t>
        </is>
      </c>
      <c r="G29" s="127" t="inlineStr">
        <is>
          <t>Common in mandates where 'net cash to issuer' is fixed.</t>
        </is>
      </c>
      <c r="H29" s="127" t="inlineStr">
        <is>
          <t>Fee % includes items not charged to issuer; divide-by-zero when fee%=100%.</t>
        </is>
      </c>
      <c r="I29" s="127" t="inlineStr">
        <is>
          <t>Example: TargetNet=675m, fee%=3.5% -&gt; gross=699m.</t>
        </is>
      </c>
    </row>
    <row r="30" ht="84" customHeight="1">
      <c r="B30" s="124" t="inlineStr">
        <is>
          <t>21. Primary proceeds (gross) from shares</t>
        </is>
      </c>
      <c r="C30" s="125" t="inlineStr">
        <is>
          <t>07_PROCEEDS_AND_FEES!F11</t>
        </is>
      </c>
      <c r="D30" s="126" t="n"/>
      <c r="E30" s="127">
        <f>Primary_New_Shares * Issue_Price</f>
        <v/>
      </c>
      <c r="F30" s="127" t="inlineStr">
        <is>
          <t>Gross primary cash raised before fees.</t>
        </is>
      </c>
      <c r="G30" s="127" t="inlineStr">
        <is>
          <t>Used to separate issuer cash from secondary sell-down.</t>
        </is>
      </c>
      <c r="H30" s="127" t="inlineStr">
        <is>
          <t>Mixing with total proceeds that include secondary.</t>
        </is>
      </c>
      <c r="I30" s="127" t="inlineStr">
        <is>
          <t>Example: 7.61m*92 = 700m.</t>
        </is>
      </c>
    </row>
    <row r="31" ht="84" customHeight="1">
      <c r="B31" s="124" t="inlineStr">
        <is>
          <t>22. Fee split: underwriting fee</t>
        </is>
      </c>
      <c r="C31" s="125" t="inlineStr">
        <is>
          <t>07_PROCEEDS_AND_FEES!F12</t>
        </is>
      </c>
      <c r="D31" s="126" t="n"/>
      <c r="E31" s="127">
        <f>Gross_Proceeds * Underwriting_Fee_%</f>
        <v/>
      </c>
      <c r="F31" s="127" t="inlineStr">
        <is>
          <t>Calculates underwriting fee amount.</t>
        </is>
      </c>
      <c r="G31" s="127" t="inlineStr">
        <is>
          <t>Useful for negotiation and to estimate bank economics.</t>
        </is>
      </c>
      <c r="H31" s="127" t="inlineStr">
        <is>
          <t>Applying to primary only vs total without stating; wrong decimal.</t>
        </is>
      </c>
      <c r="I31" s="127" t="inlineStr">
        <is>
          <t>Example: 793m * 2% = 15.9m.</t>
        </is>
      </c>
    </row>
    <row r="32" ht="84" customHeight="1">
      <c r="B32" s="124" t="inlineStr">
        <is>
          <t>23. Other costs (fixed)</t>
        </is>
      </c>
      <c r="C32" s="125" t="inlineStr">
        <is>
          <t>07_PROCEEDS_AND_FEES!F14</t>
        </is>
      </c>
      <c r="D32" s="126" t="n"/>
      <c r="E32" s="127">
        <f>Fixed_Costs_Input</f>
        <v/>
      </c>
      <c r="F32" s="127" t="inlineStr">
        <is>
          <t>Adds fixed transaction costs (legal, listing, etc.).</t>
        </is>
      </c>
      <c r="G32" s="127" t="inlineStr">
        <is>
          <t>Ensures net proceeds are realistic even with small deal sizes.</t>
        </is>
      </c>
      <c r="H32" s="127" t="inlineStr">
        <is>
          <t>Putting fixed costs in % fee bucket; negative sign.</t>
        </is>
      </c>
      <c r="I32" s="127" t="inlineStr">
        <is>
          <t>Example: Other costs = 1.0m.</t>
        </is>
      </c>
    </row>
    <row r="33" ht="84" customHeight="1">
      <c r="B33" s="124" t="inlineStr">
        <is>
          <t>24. Free float shares post</t>
        </is>
      </c>
      <c r="C33" s="125" t="inlineStr">
        <is>
          <t>06_CAP_TABLE_OWNERSHIP!F32</t>
        </is>
      </c>
      <c r="D33" s="126" t="n"/>
      <c r="E33" s="127">
        <f>Total_Post_Shares - Sum(Strategic_Holder_Post_Shares)</f>
        <v/>
      </c>
      <c r="F33" s="127" t="inlineStr">
        <is>
          <t>Computes float shares after accounting for locked holders.</t>
        </is>
      </c>
      <c r="G33" s="127" t="inlineStr">
        <is>
          <t>Needed to translate % float into share count.</t>
        </is>
      </c>
      <c r="H33" s="127" t="inlineStr">
        <is>
          <t>Missing a strategic holder -&gt; float overstated.</t>
        </is>
      </c>
      <c r="I33" s="127" t="inlineStr">
        <is>
          <t>Example: 97.61m - 52.6m = 45.0m float.</t>
        </is>
      </c>
    </row>
    <row r="34" ht="84" customHeight="1">
      <c r="B34" s="124" t="inlineStr">
        <is>
          <t>25. Cash allocation amount</t>
        </is>
      </c>
      <c r="C34" s="125" t="inlineStr">
        <is>
          <t>08_PRO_FORMA_BS_LEVERAGE!F17</t>
        </is>
      </c>
      <c r="D34" s="126" t="n"/>
      <c r="E34" s="127">
        <f>Net_Proceeds * %Cash_Retained</f>
        <v/>
      </c>
      <c r="F34" s="127" t="inlineStr">
        <is>
          <t>Portion of proceeds retained as cash.</t>
        </is>
      </c>
      <c r="G34" s="127" t="inlineStr">
        <is>
          <t>Directly impacts liquidity post deal.</t>
        </is>
      </c>
      <c r="H34" s="127" t="inlineStr">
        <is>
          <t>Splits not summing to 100%; using gross not net.</t>
        </is>
      </c>
      <c r="I34" s="127" t="inlineStr">
        <is>
          <t>Example: 675m * 30% = 203m.</t>
        </is>
      </c>
    </row>
    <row r="35" ht="84" customHeight="1">
      <c r="B35" s="124" t="inlineStr">
        <is>
          <t>26. Debt paydown amount</t>
        </is>
      </c>
      <c r="C35" s="125" t="inlineStr">
        <is>
          <t>08_PRO_FORMA_BS_LEVERAGE!F15</t>
        </is>
      </c>
      <c r="D35" s="126" t="n"/>
      <c r="E35" s="127">
        <f>Net_Proceeds * %Debt_Paydown</f>
        <v/>
      </c>
      <c r="F35" s="127" t="inlineStr">
        <is>
          <t>Amount of proceeds used to repay debt.</t>
        </is>
      </c>
      <c r="G35" s="127" t="inlineStr">
        <is>
          <t>Key lever to reduce leverage and covenant risk.</t>
        </is>
      </c>
      <c r="H35" s="127" t="inlineStr">
        <is>
          <t>Using negative %; paying down more debt than outstanding.</t>
        </is>
      </c>
      <c r="I35" s="127" t="inlineStr">
        <is>
          <t>Example: 675m * 70% = 472m.</t>
        </is>
      </c>
    </row>
    <row r="36" ht="84" customHeight="1">
      <c r="B36" s="124" t="inlineStr">
        <is>
          <t>27. Cash post (pro forma)</t>
        </is>
      </c>
      <c r="C36" s="125" t="inlineStr">
        <is>
          <t>08_PRO_FORMA_BS_LEVERAGE!F25</t>
        </is>
      </c>
      <c r="D36" s="126" t="n"/>
      <c r="E36" s="127">
        <f>Cash_Pre + Cash_Allocation_Amount</f>
        <v/>
      </c>
      <c r="F36" s="127" t="inlineStr">
        <is>
          <t>Updates cash after raising and allocating proceeds.</t>
        </is>
      </c>
      <c r="G36" s="127" t="inlineStr">
        <is>
          <t>Shows liquidity headroom.</t>
        </is>
      </c>
      <c r="H36" s="127" t="inlineStr">
        <is>
          <t>Double counting proceeds in both cash and growth investment lines.</t>
        </is>
      </c>
      <c r="I36" s="127" t="inlineStr">
        <is>
          <t>Example: 150m + 203m = 353m.</t>
        </is>
      </c>
    </row>
    <row r="37" ht="84" customHeight="1">
      <c r="B37" s="124" t="inlineStr">
        <is>
          <t>28. Debt post (pro forma)</t>
        </is>
      </c>
      <c r="C37" s="125" t="inlineStr">
        <is>
          <t>08_PRO_FORMA_BS_LEVERAGE!F26</t>
        </is>
      </c>
      <c r="D37" s="126" t="n"/>
      <c r="E37" s="127">
        <f>Debt_Pre - Debt_Paydown_Amount</f>
        <v/>
      </c>
      <c r="F37" s="127" t="inlineStr">
        <is>
          <t>Updates gross debt after paydown.</t>
        </is>
      </c>
      <c r="G37" s="127" t="inlineStr">
        <is>
          <t>Shows deleveraging effect of raise.</t>
        </is>
      </c>
      <c r="H37" s="127" t="inlineStr">
        <is>
          <t>Wrong sign (adding debt paydown); paying down beyond debt.</t>
        </is>
      </c>
      <c r="I37" s="127" t="inlineStr">
        <is>
          <t>Example: 1,200m - 472m = 728m.</t>
        </is>
      </c>
    </row>
    <row r="38" ht="84" customHeight="1">
      <c r="B38" s="124" t="inlineStr">
        <is>
          <t>29. Net debt post</t>
        </is>
      </c>
      <c r="C38" s="125" t="inlineStr">
        <is>
          <t>08_PRO_FORMA_BS_LEVERAGE!F27</t>
        </is>
      </c>
      <c r="D38" s="126" t="n"/>
      <c r="E38" s="127">
        <f>Debt_Post - Cash_Post</f>
        <v/>
      </c>
      <c r="F38" s="127" t="inlineStr">
        <is>
          <t>Computes post net debt.</t>
        </is>
      </c>
      <c r="G38" s="127" t="inlineStr">
        <is>
          <t>Central input to leverage, covenant and rating discussions.</t>
        </is>
      </c>
      <c r="H38" s="127" t="inlineStr">
        <is>
          <t>Inconsistent sign convention vs issuer definitions.</t>
        </is>
      </c>
      <c r="I38" s="127" t="inlineStr">
        <is>
          <t>Example: 728m - 353m = 375m.</t>
        </is>
      </c>
    </row>
    <row r="39" ht="84" customHeight="1">
      <c r="B39" s="124" t="inlineStr">
        <is>
          <t>30. Leverage post (Net debt / EBITDA)</t>
        </is>
      </c>
      <c r="C39" s="125" t="inlineStr">
        <is>
          <t>08_PRO_FORMA_BS_LEVERAGE!F34</t>
        </is>
      </c>
      <c r="D39" s="126" t="n"/>
      <c r="E39" s="127">
        <f>Net_Debt_Post / EBITDA</f>
        <v/>
      </c>
      <c r="F39" s="127" t="inlineStr">
        <is>
          <t>Computes post-transaction leverage.</t>
        </is>
      </c>
      <c r="G39" s="127" t="inlineStr">
        <is>
          <t>Headline metric for credit investors and boards.</t>
        </is>
      </c>
      <c r="H39" s="127" t="inlineStr">
        <is>
          <t>Using EBITDA that doesn't match the definition (LTM vs NTM); dividing by blank.</t>
        </is>
      </c>
      <c r="I39" s="127" t="inlineStr">
        <is>
          <t>Example: 375m / 300m = 1.25x.</t>
        </is>
      </c>
    </row>
    <row r="40" ht="84" customHeight="1">
      <c r="B40" s="124" t="inlineStr">
        <is>
          <t>31. Leverage delta (post minus pre)</t>
        </is>
      </c>
      <c r="C40" s="125" t="inlineStr">
        <is>
          <t>08_PRO_FORMA_BS_LEVERAGE!F35</t>
        </is>
      </c>
      <c r="D40" s="126" t="n"/>
      <c r="E40" s="127">
        <f>Leverage_Post - Leverage_Pre</f>
        <v/>
      </c>
      <c r="F40" s="127" t="inlineStr">
        <is>
          <t>Change in leverage due to the transaction.</t>
        </is>
      </c>
      <c r="G40" s="127" t="inlineStr">
        <is>
          <t>Communicates value of raise in a single number.</t>
        </is>
      </c>
      <c r="H40" s="127" t="inlineStr">
        <is>
          <t>Mixing scenarios; leverage pre computed on different net debt definition.</t>
        </is>
      </c>
      <c r="I40" s="127" t="inlineStr">
        <is>
          <t>Example: 1.25x - 2.00x = -0.75x.</t>
        </is>
      </c>
    </row>
    <row r="41" ht="84" customHeight="1">
      <c r="B41" s="124" t="inlineStr">
        <is>
          <t>32. Rump placement proceeds (rights)</t>
        </is>
      </c>
      <c r="C41" s="125" t="inlineStr">
        <is>
          <t>05_RIGHTS_TERP_ENTITLE!F24</t>
        </is>
      </c>
      <c r="D41" s="126" t="n"/>
      <c r="E41" s="127">
        <f>Rump_Shares * Issue_Price</f>
        <v/>
      </c>
      <c r="F41" s="127" t="inlineStr">
        <is>
          <t>Cash raised from rump placement (if underwritten and placed).</t>
        </is>
      </c>
      <c r="G41" s="127" t="inlineStr">
        <is>
          <t>Helps quantify underwriting exposure and placement requirement.</t>
        </is>
      </c>
      <c r="H41" s="127" t="inlineStr">
        <is>
          <t>Assuming rump placed at Ps without specifying; ignoring market impact.</t>
        </is>
      </c>
      <c r="I41" s="127" t="inlineStr">
        <is>
          <t>Example: 3.04m*92 = 280m.</t>
        </is>
      </c>
    </row>
    <row r="42" ht="84" customHeight="1">
      <c r="B42" s="124" t="inlineStr">
        <is>
          <t>33. Offer size as % of market cap</t>
        </is>
      </c>
      <c r="C42" s="125" t="inlineStr">
        <is>
          <t>09_FREE_FLOAT_TRADING_MET!F13</t>
        </is>
      </c>
      <c r="D42" s="126" t="n"/>
      <c r="E42" s="127">
        <f>Gross_Proceeds / Market_Cap_Pre</f>
        <v/>
      </c>
      <c r="F42" s="127" t="inlineStr">
        <is>
          <t>Normalises deal size vs company size.</t>
        </is>
      </c>
      <c r="G42" s="127" t="inlineStr">
        <is>
          <t>Used to discuss market absorption and feasibility.</t>
        </is>
      </c>
      <c r="H42" s="127" t="inlineStr">
        <is>
          <t>Using net proceeds instead of gross without stating; unit mismatch.</t>
        </is>
      </c>
      <c r="I42" s="127" t="inlineStr">
        <is>
          <t>Example: 793/9,000 = 8.8%.</t>
        </is>
      </c>
    </row>
    <row r="43" ht="84" customHeight="1">
      <c r="B43" s="124" t="inlineStr">
        <is>
          <t>34. Free float % change</t>
        </is>
      </c>
      <c r="C43" s="125" t="inlineStr">
        <is>
          <t>09_FREE_FLOAT_TRADING_MET!F12</t>
        </is>
      </c>
      <c r="D43" s="126" t="n"/>
      <c r="E43" s="127">
        <f>Free_Float_%_Post - Free_Float_%_Pre</f>
        <v/>
      </c>
      <c r="F43" s="127" t="inlineStr">
        <is>
          <t>Change in free float from the transaction.</t>
        </is>
      </c>
      <c r="G43" s="127" t="inlineStr">
        <is>
          <t>Key KPI when mandate includes liquidity/index objectives.</t>
        </is>
      </c>
      <c r="H43" s="127" t="inlineStr">
        <is>
          <t>Mixing % points with % change; using wrong pre float.</t>
        </is>
      </c>
      <c r="I43" s="127" t="inlineStr">
        <is>
          <t>Example: 46.1% - 44.0% = +2.1pp.</t>
        </is>
      </c>
    </row>
    <row r="44" ht="84" customHeight="1">
      <c r="B44" s="124" t="inlineStr">
        <is>
          <t>35. Proceeds bridge check</t>
        </is>
      </c>
      <c r="C44" s="125" t="inlineStr">
        <is>
          <t>90_CHECKS!F15</t>
        </is>
      </c>
      <c r="D44" s="126" t="n"/>
      <c r="E44" s="127">
        <f>IF(ABS(Net_Proceeds - (Gross_Primary - Fees))&lt;Tolerance, "PASS", "FAIL")</f>
        <v/>
      </c>
      <c r="F44" s="127" t="inlineStr">
        <is>
          <t>Flags if proceeds math does not reconcile.</t>
        </is>
      </c>
      <c r="G44" s="127" t="inlineStr">
        <is>
          <t>Stops you from using outputs when basic cash math breaks.</t>
        </is>
      </c>
      <c r="H44" s="127" t="inlineStr">
        <is>
          <t>Tolerance too tight; ignoring fails.</t>
        </is>
      </c>
      <c r="I44" s="127" t="inlineStr">
        <is>
          <t>Example: if mismatch 0.1m and tol 0.5m -&gt; PASS.</t>
        </is>
      </c>
    </row>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C10" r:id="rId7"/>
    <hyperlink xmlns:r="http://schemas.openxmlformats.org/officeDocument/2006/relationships" ref="C11" r:id="rId8"/>
    <hyperlink xmlns:r="http://schemas.openxmlformats.org/officeDocument/2006/relationships" ref="C12" r:id="rId9"/>
    <hyperlink xmlns:r="http://schemas.openxmlformats.org/officeDocument/2006/relationships" ref="C13" r:id="rId10"/>
    <hyperlink xmlns:r="http://schemas.openxmlformats.org/officeDocument/2006/relationships" ref="C14" r:id="rId11"/>
    <hyperlink xmlns:r="http://schemas.openxmlformats.org/officeDocument/2006/relationships" ref="C15" r:id="rId12"/>
    <hyperlink xmlns:r="http://schemas.openxmlformats.org/officeDocument/2006/relationships" ref="C16" r:id="rId13"/>
    <hyperlink xmlns:r="http://schemas.openxmlformats.org/officeDocument/2006/relationships" ref="C17" r:id="rId14"/>
    <hyperlink xmlns:r="http://schemas.openxmlformats.org/officeDocument/2006/relationships" ref="C18" r:id="rId15"/>
    <hyperlink xmlns:r="http://schemas.openxmlformats.org/officeDocument/2006/relationships" ref="C19" r:id="rId16"/>
    <hyperlink xmlns:r="http://schemas.openxmlformats.org/officeDocument/2006/relationships" ref="C20" r:id="rId17"/>
    <hyperlink xmlns:r="http://schemas.openxmlformats.org/officeDocument/2006/relationships" ref="C21" r:id="rId18"/>
    <hyperlink xmlns:r="http://schemas.openxmlformats.org/officeDocument/2006/relationships" ref="C22" r:id="rId19"/>
    <hyperlink xmlns:r="http://schemas.openxmlformats.org/officeDocument/2006/relationships" ref="C23" r:id="rId20"/>
    <hyperlink xmlns:r="http://schemas.openxmlformats.org/officeDocument/2006/relationships" ref="C24" r:id="rId21"/>
    <hyperlink xmlns:r="http://schemas.openxmlformats.org/officeDocument/2006/relationships" ref="C25" r:id="rId22"/>
    <hyperlink xmlns:r="http://schemas.openxmlformats.org/officeDocument/2006/relationships" ref="C26" r:id="rId23"/>
    <hyperlink xmlns:r="http://schemas.openxmlformats.org/officeDocument/2006/relationships" ref="C27" r:id="rId24"/>
    <hyperlink xmlns:r="http://schemas.openxmlformats.org/officeDocument/2006/relationships" ref="C28" r:id="rId25"/>
    <hyperlink xmlns:r="http://schemas.openxmlformats.org/officeDocument/2006/relationships" ref="C29" r:id="rId26"/>
    <hyperlink xmlns:r="http://schemas.openxmlformats.org/officeDocument/2006/relationships" ref="C30" r:id="rId27"/>
    <hyperlink xmlns:r="http://schemas.openxmlformats.org/officeDocument/2006/relationships" ref="C31" r:id="rId28"/>
    <hyperlink xmlns:r="http://schemas.openxmlformats.org/officeDocument/2006/relationships" ref="C32" r:id="rId29"/>
    <hyperlink xmlns:r="http://schemas.openxmlformats.org/officeDocument/2006/relationships" ref="C33" r:id="rId30"/>
    <hyperlink xmlns:r="http://schemas.openxmlformats.org/officeDocument/2006/relationships" ref="C34" r:id="rId31"/>
    <hyperlink xmlns:r="http://schemas.openxmlformats.org/officeDocument/2006/relationships" ref="C35" r:id="rId32"/>
    <hyperlink xmlns:r="http://schemas.openxmlformats.org/officeDocument/2006/relationships" ref="C36" r:id="rId33"/>
    <hyperlink xmlns:r="http://schemas.openxmlformats.org/officeDocument/2006/relationships" ref="C37" r:id="rId34"/>
    <hyperlink xmlns:r="http://schemas.openxmlformats.org/officeDocument/2006/relationships" ref="C38" r:id="rId35"/>
    <hyperlink xmlns:r="http://schemas.openxmlformats.org/officeDocument/2006/relationships" ref="C39" r:id="rId36"/>
    <hyperlink xmlns:r="http://schemas.openxmlformats.org/officeDocument/2006/relationships" ref="C40" r:id="rId37"/>
    <hyperlink xmlns:r="http://schemas.openxmlformats.org/officeDocument/2006/relationships" ref="C41" r:id="rId38"/>
    <hyperlink xmlns:r="http://schemas.openxmlformats.org/officeDocument/2006/relationships" ref="C42" r:id="rId39"/>
    <hyperlink xmlns:r="http://schemas.openxmlformats.org/officeDocument/2006/relationships" ref="C43" r:id="rId40"/>
    <hyperlink xmlns:r="http://schemas.openxmlformats.org/officeDocument/2006/relationships" ref="C44" r:id="rId4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L59"/>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outlineLevelCol="0"/>
  <cols>
    <col width="2" customWidth="1" min="1" max="1"/>
    <col width="38" customWidth="1" min="2" max="2"/>
    <col width="24" customWidth="1" min="3" max="3"/>
    <col width="2"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2" customWidth="1" min="12" max="12"/>
    <col width="12" customWidth="1" min="13" max="13"/>
    <col width="12" customWidth="1" min="14" max="14"/>
    <col width="12" customWidth="1" min="15" max="15"/>
    <col width="12" customWidth="1" min="16" max="16"/>
    <col width="12" customWidth="1" min="17" max="17"/>
    <col width="12" customWidth="1" min="18" max="18"/>
  </cols>
  <sheetData>
    <row r="1" ht="15" customHeight="1">
      <c r="B1" s="78" t="inlineStr">
        <is>
          <t>Dashboard</t>
        </is>
      </c>
      <c r="C1" s="78" t="inlineStr">
        <is>
          <t>Control</t>
        </is>
      </c>
      <c r="D1" s="78" t="inlineStr">
        <is>
          <t>Issuer</t>
        </is>
      </c>
      <c r="E1" s="78" t="inlineStr">
        <is>
          <t>Offer</t>
        </is>
      </c>
      <c r="F1" s="78" t="inlineStr">
        <is>
          <t>Checks</t>
        </is>
      </c>
      <c r="G1" s="78" t="inlineStr">
        <is>
          <t>Learn</t>
        </is>
      </c>
    </row>
    <row r="2" ht="18" customHeight="1">
      <c r="B2" s="120" t="inlineStr">
        <is>
          <t>ECM Learning Layer</t>
        </is>
      </c>
    </row>
    <row r="3" ht="15" customHeight="1">
      <c r="B3" s="121" t="inlineStr">
        <is>
          <t>82) Interpretation Scripts (how to talk about outputs in banker/client conversations)</t>
        </is>
      </c>
    </row>
    <row r="4" ht="15" customHeight="1"/>
    <row r="5" ht="18" customHeight="1">
      <c r="B5" s="83" t="inlineStr">
        <is>
          <t>DASHBOARD TILE INTERPRETATION (MEETING-READY)</t>
        </is>
      </c>
      <c r="C5" s="83" t="n"/>
      <c r="D5" s="83" t="n"/>
      <c r="E5" s="83" t="n"/>
      <c r="F5" s="83" t="n"/>
      <c r="G5" s="83" t="n"/>
      <c r="H5" s="83" t="n"/>
      <c r="I5" s="83" t="n"/>
      <c r="J5" s="83" t="n"/>
      <c r="K5" s="83" t="n"/>
      <c r="L5" s="83" t="n"/>
    </row>
    <row r="6" ht="30" customHeight="1">
      <c r="B6" s="123" t="inlineStr">
        <is>
          <t>Tile</t>
        </is>
      </c>
      <c r="C6" s="123" t="inlineStr">
        <is>
          <t>Where (Dashboard cell)</t>
        </is>
      </c>
      <c r="D6" s="123" t="inlineStr"/>
      <c r="E6" s="123" t="inlineStr">
        <is>
          <t>How to interpret</t>
        </is>
      </c>
      <c r="F6" s="123" t="inlineStr">
        <is>
          <t>What it signals</t>
        </is>
      </c>
      <c r="G6" s="123" t="inlineStr">
        <is>
          <t>What could mislead</t>
        </is>
      </c>
      <c r="H6" s="123" t="inlineStr">
        <is>
          <t>Follow-up question</t>
        </is>
      </c>
    </row>
    <row r="7" ht="78" customHeight="1">
      <c r="B7" s="124" t="inlineStr">
        <is>
          <t>1. Offer type</t>
        </is>
      </c>
      <c r="C7" s="125" t="inlineStr">
        <is>
          <t>00_DASHBOARD!E8</t>
        </is>
      </c>
      <c r="D7" s="126" t="n"/>
      <c r="E7" s="127" t="inlineStr">
        <is>
          <t>Selected method drives which mechanics activate (TERP/take-up only for Rights).</t>
        </is>
      </c>
      <c r="F7" s="127" t="inlineStr">
        <is>
          <t>Signals execution route and timeline trade-offs (speed vs fairness/certainty).</t>
        </is>
      </c>
      <c r="G7" s="127" t="inlineStr">
        <is>
          <t>Misleading if rights-only inputs left active in placement/ABB or vice versa; always confirm Control toggles.</t>
        </is>
      </c>
      <c r="H7" s="127" t="inlineStr">
        <is>
          <t>Next: What is the mandate objective (cash vs float vs fairness) and what is timing/market window?</t>
        </is>
      </c>
    </row>
    <row r="8" ht="78" customHeight="1">
      <c r="B8" s="124" t="inlineStr">
        <is>
          <t>2. Reference price (P0)</t>
        </is>
      </c>
      <c r="C8" s="125" t="inlineStr">
        <is>
          <t>00_DASHBOARD!E9</t>
        </is>
      </c>
      <c r="D8" s="126" t="n"/>
      <c r="E8" s="127" t="inlineStr">
        <is>
          <t>Price basis used for discount and (for Rights) TERP logic.</t>
        </is>
      </c>
      <c r="F8" s="127" t="inlineStr">
        <is>
          <t>Signals the market anchor for pricing and optics.</t>
        </is>
      </c>
      <c r="G8" s="127" t="inlineStr">
        <is>
          <t>Misleading if definition (last close/VWAP) or date differs from what you state.</t>
        </is>
      </c>
      <c r="H8" s="127" t="inlineStr">
        <is>
          <t>Next: Which reference definition are we using and as of what date/time?</t>
        </is>
      </c>
    </row>
    <row r="9" ht="78" customHeight="1">
      <c r="B9" s="124" t="inlineStr">
        <is>
          <t>3. Issue price (Ps)</t>
        </is>
      </c>
      <c r="C9" s="125" t="inlineStr">
        <is>
          <t>00_DASHBOARD!E10</t>
        </is>
      </c>
      <c r="D9" s="126" t="n"/>
      <c r="E9" s="127" t="inlineStr">
        <is>
          <t>Offered price to investors / shareholders (scenario-based).</t>
        </is>
      </c>
      <c r="F9" s="127" t="inlineStr">
        <is>
          <t>Signals demand risk: lower Ps increases certainty but worsens dilution.</t>
        </is>
      </c>
      <c r="G9" s="127" t="inlineStr">
        <is>
          <t>Misleading if price mode and discount mode are mixed; confirm Ps comes from the right control.</t>
        </is>
      </c>
      <c r="H9" s="127" t="inlineStr">
        <is>
          <t>Next: What discount is defensible in this market and for this liquidity profile?</t>
        </is>
      </c>
    </row>
    <row r="10" ht="78" customHeight="1">
      <c r="B10" s="124" t="inlineStr">
        <is>
          <t>4. Discount %</t>
        </is>
      </c>
      <c r="C10" s="125" t="inlineStr">
        <is>
          <t>00_DASHBOARD!E11</t>
        </is>
      </c>
      <c r="D10" s="126" t="n"/>
      <c r="E10" s="127" t="inlineStr">
        <is>
          <t>Stated discount: 1 - Ps/P0.</t>
        </is>
      </c>
      <c r="F10" s="127" t="inlineStr">
        <is>
          <t>Signals marketability vs dilution optics.</t>
        </is>
      </c>
      <c r="G10" s="127" t="inlineStr">
        <is>
          <t>Misleading if P0 definition mismatch; discount should be reported with explicit basis.</t>
        </is>
      </c>
      <c r="H10" s="127" t="inlineStr">
        <is>
          <t>Next: How does dilution move across the LOW/BASE/HIGH pricing range?</t>
        </is>
      </c>
    </row>
    <row r="11" ht="78" customHeight="1">
      <c r="B11" s="124" t="inlineStr">
        <is>
          <t>5. Gross proceeds (headline)</t>
        </is>
      </c>
      <c r="C11" s="125" t="inlineStr">
        <is>
          <t>00_DASHBOARD!E16</t>
        </is>
      </c>
      <c r="D11" s="126" t="n"/>
      <c r="E11" s="127" t="inlineStr">
        <is>
          <t>Total deal size before fees (primary + secondary if any).</t>
        </is>
      </c>
      <c r="F11" s="127" t="inlineStr">
        <is>
          <t>Signals market absorption and execution size vs liquidity.</t>
        </is>
      </c>
      <c r="G11" s="127" t="inlineStr">
        <is>
          <t>Misleading if secondary included but discussed as issuer cash.</t>
        </is>
      </c>
      <c r="H11" s="127" t="inlineStr">
        <is>
          <t>Next: How much is primary vs secondary and what is issuer net cash?</t>
        </is>
      </c>
    </row>
    <row r="12" ht="78" customHeight="1">
      <c r="B12" s="124" t="inlineStr">
        <is>
          <t>6. Fees &amp; costs</t>
        </is>
      </c>
      <c r="C12" s="125" t="inlineStr">
        <is>
          <t>00_DASHBOARD!E17</t>
        </is>
      </c>
      <c r="D12" s="126" t="n"/>
      <c r="E12" s="127" t="inlineStr">
        <is>
          <t>Total execution costs deducted from issuer proceeds (definition shown in proceeds tab).</t>
        </is>
      </c>
      <c r="F12" s="127" t="inlineStr">
        <is>
          <t>Signals negotiability and bank economics.</t>
        </is>
      </c>
      <c r="G12" s="127" t="inlineStr">
        <is>
          <t>Misleading if fee % base differs (primary-only vs total).</t>
        </is>
      </c>
      <c r="H12" s="127" t="inlineStr">
        <is>
          <t>Next: Which parts are variable %, which fixed, and what is fee base?</t>
        </is>
      </c>
    </row>
    <row r="13" ht="78" customHeight="1">
      <c r="B13" s="124" t="inlineStr">
        <is>
          <t>7. Net proceeds to issuer</t>
        </is>
      </c>
      <c r="C13" s="125" t="inlineStr">
        <is>
          <t>00_DASHBOARD!E18</t>
        </is>
      </c>
      <c r="D13" s="126" t="n"/>
      <c r="E13" s="127" t="inlineStr">
        <is>
          <t>Cash received by the company after costs.</t>
        </is>
      </c>
      <c r="F13" s="127" t="inlineStr">
        <is>
          <t>Signals ability to fund stated use of proceeds and de-risk balance sheet.</t>
        </is>
      </c>
      <c r="G13" s="127" t="inlineStr">
        <is>
          <t>Misleading if fee base wrong (charging issuer on secondary) or fixed costs omitted.</t>
        </is>
      </c>
      <c r="H13" s="127" t="inlineStr">
        <is>
          <t>Next: How are net proceeds allocated (debt paydown vs cash vs growth)?</t>
        </is>
      </c>
    </row>
    <row r="14" ht="78" customHeight="1">
      <c r="B14" s="124" t="inlineStr">
        <is>
          <t>8. New shares issued</t>
        </is>
      </c>
      <c r="C14" s="125" t="inlineStr">
        <is>
          <t>00_DASHBOARD!E19</t>
        </is>
      </c>
      <c r="D14" s="126" t="n"/>
      <c r="E14" s="127" t="inlineStr">
        <is>
          <t>Primary shares issued by the company (mechanical).</t>
        </is>
      </c>
      <c r="F14" s="127" t="inlineStr">
        <is>
          <t>Signals dilution pressure and float impact.</t>
        </is>
      </c>
      <c r="G14" s="127" t="inlineStr">
        <is>
          <t>Misleading if raise sized to net and fees change; shares move even if target net stays constant.</t>
        </is>
      </c>
      <c r="H14" s="127" t="inlineStr">
        <is>
          <t>Next: How does share issuance change across pricing scenarios?</t>
        </is>
      </c>
    </row>
    <row r="15" ht="78" customHeight="1">
      <c r="B15" s="124" t="inlineStr">
        <is>
          <t>9. Dilution %</t>
        </is>
      </c>
      <c r="C15" s="125" t="inlineStr">
        <is>
          <t>00_DASHBOARD!E20</t>
        </is>
      </c>
      <c r="D15" s="126" t="n"/>
      <c r="E15" s="127" t="inlineStr">
        <is>
          <t>Mechanical issuance dilution: 1 - pre/post.</t>
        </is>
      </c>
      <c r="F15" s="127" t="inlineStr">
        <is>
          <t>Signals dilution optics and shareholder impact.</t>
        </is>
      </c>
      <c r="G15" s="127" t="inlineStr">
        <is>
          <t>Misleading if interpreted as EPS dilution; this is share-count dilution only.</t>
        </is>
      </c>
      <c r="H15" s="127" t="inlineStr">
        <is>
          <t>Next: Which holders are diluted the most given participation/allocation assumptions?</t>
        </is>
      </c>
    </row>
    <row r="16" ht="78" customHeight="1">
      <c r="B16" s="124" t="inlineStr">
        <is>
          <t>10. Free float % post</t>
        </is>
      </c>
      <c r="C16" s="125" t="inlineStr">
        <is>
          <t>00_DASHBOARD!E22</t>
        </is>
      </c>
      <c r="D16" s="126" t="n"/>
      <c r="E16" s="127" t="inlineStr">
        <is>
          <t>Post-transaction free float based on ownership table.</t>
        </is>
      </c>
      <c r="F16" s="127" t="inlineStr">
        <is>
          <t>Signals liquidity and index eligibility improvements.</t>
        </is>
      </c>
      <c r="G16" s="127" t="inlineStr">
        <is>
          <t>Misleading if float flags are wrong or if rump assumed to go to float when it may go to insiders.</t>
        </is>
      </c>
      <c r="H16" s="127" t="inlineStr">
        <is>
          <t>Next: What is the target float objective and investor base?</t>
        </is>
      </c>
    </row>
    <row r="17" ht="78" customHeight="1">
      <c r="B17" s="124" t="inlineStr">
        <is>
          <t>11. Net debt (pro forma)</t>
        </is>
      </c>
      <c r="C17" s="125" t="inlineStr">
        <is>
          <t>00_DASHBOARD!E25</t>
        </is>
      </c>
      <c r="D17" s="126" t="n"/>
      <c r="E17" s="127" t="inlineStr">
        <is>
          <t>Post net debt after applying net proceeds and use-of-proceeds split.</t>
        </is>
      </c>
      <c r="F17" s="127" t="inlineStr">
        <is>
          <t>Signals deleveraging and covenant/rating comfort.</t>
        </is>
      </c>
      <c r="G17" s="127" t="inlineStr">
        <is>
          <t>Misleading if net debt definition differs (cash netting, leases) from issuer's definition.</t>
        </is>
      </c>
      <c r="H17" s="127" t="inlineStr">
        <is>
          <t>Next: What leverage metric does the board care about (ND/EBITDA, gross leverage, etc.)?</t>
        </is>
      </c>
    </row>
    <row r="18" ht="78" customHeight="1">
      <c r="B18" s="124" t="inlineStr">
        <is>
          <t>12. Leverage (ND/EBITDA)</t>
        </is>
      </c>
      <c r="C18" s="125" t="inlineStr">
        <is>
          <t>00_DASHBOARD!E26</t>
        </is>
      </c>
      <c r="D18" s="126" t="n"/>
      <c r="E18" s="127" t="inlineStr">
        <is>
          <t>Post leverage using the model EBITDA definition.</t>
        </is>
      </c>
      <c r="F18" s="127" t="inlineStr">
        <is>
          <t>Signals credit story and financial flexibility post raise.</t>
        </is>
      </c>
      <c r="G18" s="127" t="inlineStr">
        <is>
          <t>Misleading if EBITDA basis (LTM vs NTM) inconsistent; stress EBITDA separately.</t>
        </is>
      </c>
      <c r="H18" s="127" t="inlineStr">
        <is>
          <t>Next: What happens under downside EBITDA and/or higher cost of debt?</t>
        </is>
      </c>
    </row>
    <row r="19" ht="15" customHeight="1"/>
    <row r="20" ht="15" customHeight="1"/>
    <row r="21" ht="18" customHeight="1">
      <c r="B21" s="83" t="inlineStr">
        <is>
          <t>ECM MEETING-READY SCRIPTS (12 COMMON QUESTIONS)</t>
        </is>
      </c>
      <c r="C21" s="83" t="n"/>
      <c r="D21" s="83" t="n"/>
      <c r="E21" s="83" t="n"/>
      <c r="F21" s="83" t="n"/>
      <c r="G21" s="83" t="n"/>
      <c r="H21" s="83" t="n"/>
      <c r="I21" s="83" t="n"/>
      <c r="J21" s="83" t="n"/>
      <c r="K21" s="83" t="n"/>
      <c r="L21" s="83" t="n"/>
    </row>
    <row r="22" ht="24" customHeight="1">
      <c r="B22" s="123" t="inlineStr">
        <is>
          <t>Question</t>
        </is>
      </c>
      <c r="C22" s="123" t="inlineStr">
        <is>
          <t>Script (2-3 sentences)</t>
        </is>
      </c>
      <c r="D22" s="123" t="inlineStr"/>
      <c r="E22" s="123" t="inlineStr">
        <is>
          <t>Linked KPIs / tabs</t>
        </is>
      </c>
      <c r="F22" s="123" t="inlineStr">
        <is>
          <t>Checks to cite</t>
        </is>
      </c>
    </row>
    <row r="23" ht="66" customHeight="1">
      <c r="B23" s="124" t="inlineStr">
        <is>
          <t>1. Why rights vs placement vs ABB?</t>
        </is>
      </c>
      <c r="C23" s="127" t="inlineStr">
        <is>
          <t>Rights favours fairness to existing shareholders and can protect them via entitlements, but is slower and introduces take-up risk. Placement/ABB are faster and simpler mechanically, but can create fairness optics and higher dilution concentration. We recommend the method that best matches the mandate objective (cash, float, speed, certainty).</t>
        </is>
      </c>
      <c r="D23" s="126" t="n"/>
      <c r="E23" s="127" t="inlineStr">
        <is>
          <t>See 80_MAP + 81_FORMULAS</t>
        </is>
      </c>
      <c r="F23" s="127" t="inlineStr">
        <is>
          <t>90_CHECKS overall</t>
        </is>
      </c>
    </row>
    <row r="24" ht="66" customHeight="1">
      <c r="B24" s="124" t="inlineStr">
        <is>
          <t>2. Is the discount defensible?</t>
        </is>
      </c>
      <c r="C24" s="127" t="inlineStr">
        <is>
          <t>We anchor discount to a clear reference price definition (Control). We show sensitivity of proceeds and dilution across pricing scenarios. The defensible range depends on liquidity, volatility, and investor demand, so we frame discount as the minimum needed to clear the book while meeting proceeds.</t>
        </is>
      </c>
      <c r="D24" s="126" t="n"/>
      <c r="E24" s="127" t="inlineStr">
        <is>
          <t>See 80_MAP + 81_FORMULAS</t>
        </is>
      </c>
      <c r="F24" s="127" t="inlineStr">
        <is>
          <t>90_CHECKS overall</t>
        </is>
      </c>
    </row>
    <row r="25" ht="66" customHeight="1">
      <c r="B25" s="124" t="inlineStr">
        <is>
          <t>3. How does take-up risk show up?</t>
        </is>
      </c>
      <c r="C25" s="127" t="inlineStr">
        <is>
          <t>In a rights issue, take-up drives subscribed vs rump shares. Lower take-up increases rump placement volume and shifts ownership toward new investors/underwriters. The model shows the subscribed/rump split and highlights execution risk and potential value transfer.</t>
        </is>
      </c>
      <c r="D25" s="126" t="n"/>
      <c r="E25" s="127" t="inlineStr">
        <is>
          <t>See 80_MAP + 81_FORMULAS</t>
        </is>
      </c>
      <c r="F25" s="127" t="inlineStr">
        <is>
          <t>90_CHECKS overall</t>
        </is>
      </c>
    </row>
    <row r="26" ht="66" customHeight="1">
      <c r="B26" s="124" t="inlineStr">
        <is>
          <t>4. What is the value transfer between participants and non-participants?</t>
        </is>
      </c>
      <c r="C26" s="127" t="inlineStr">
        <is>
          <t>Rights protect participants by allowing them to buy at Ps and capture the right value implied by TERP. Non-participants experience effective dilution and may transfer value to participants. We quantify right value and tie it to TERP mechanics.</t>
        </is>
      </c>
      <c r="D26" s="126" t="n"/>
      <c r="E26" s="127" t="inlineStr">
        <is>
          <t>See 80_MAP + 81_FORMULAS</t>
        </is>
      </c>
      <c r="F26" s="127" t="inlineStr">
        <is>
          <t>90_CHECKS overall</t>
        </is>
      </c>
    </row>
    <row r="27" ht="66" customHeight="1">
      <c r="B27" s="124" t="inlineStr">
        <is>
          <t>5. Why underwrite/backstop?</t>
        </is>
      </c>
      <c r="C27" s="127" t="inlineStr">
        <is>
          <t>Underwriting converts take-up uncertainty into proceeds certainty at a cost (fees and potentially backstop fees). If the issuer prioritises certainty and timing, underwriting can be rational. The trade-off is cost and the need to place rump shares.</t>
        </is>
      </c>
      <c r="D27" s="126" t="n"/>
      <c r="E27" s="127" t="inlineStr">
        <is>
          <t>See 80_MAP + 81_FORMULAS</t>
        </is>
      </c>
      <c r="F27" s="127" t="inlineStr">
        <is>
          <t>90_CHECKS overall</t>
        </is>
      </c>
    </row>
    <row r="28" ht="66" customHeight="1">
      <c r="B28" s="124" t="inlineStr">
        <is>
          <t>6. What free float objective are we targeting?</t>
        </is>
      </c>
      <c r="C28" s="127" t="inlineStr">
        <is>
          <t>We show pre vs post free float and how allocations/take-up affect it. If the objective is index inclusion or liquidity improvement, we bias allocation toward float investors and reduce insider concentration within acceptable dilution limits.</t>
        </is>
      </c>
      <c r="D28" s="126" t="n"/>
      <c r="E28" s="127" t="inlineStr">
        <is>
          <t>See 80_MAP + 81_FORMULAS</t>
        </is>
      </c>
      <c r="F28" s="127" t="inlineStr">
        <is>
          <t>90_CHECKS overall</t>
        </is>
      </c>
    </row>
    <row r="29" ht="66" customHeight="1">
      <c r="B29" s="124" t="inlineStr">
        <is>
          <t>7. How do you justify use of proceeds?</t>
        </is>
      </c>
      <c r="C29" s="127" t="inlineStr">
        <is>
          <t>Net proceeds are allocated to debt paydown, cash retention, or growth investment per Control. We translate that split into a pro forma balance sheet and leverage change to show concrete impact and ensure the story is consistent with KPIs.</t>
        </is>
      </c>
      <c r="D29" s="126" t="n"/>
      <c r="E29" s="127" t="inlineStr">
        <is>
          <t>See 80_MAP + 81_FORMULAS</t>
        </is>
      </c>
      <c r="F29" s="127" t="inlineStr">
        <is>
          <t>90_CHECKS overall</t>
        </is>
      </c>
    </row>
    <row r="30" ht="66" customHeight="1">
      <c r="B30" s="124" t="inlineStr">
        <is>
          <t>8. How does leverage change and why does it matter?</t>
        </is>
      </c>
      <c r="C30" s="127" t="inlineStr">
        <is>
          <t>Leverage is computed from net debt post and the EBITDA definition used. Debt paydown reduces net debt and improves ND/EBITDA, creating covenant headroom and rating comfort. We also stress EBITDA to show downside resilience.</t>
        </is>
      </c>
      <c r="D30" s="126" t="n"/>
      <c r="E30" s="127" t="inlineStr">
        <is>
          <t>See 80_MAP + 81_FORMULAS</t>
        </is>
      </c>
      <c r="F30" s="127" t="inlineStr">
        <is>
          <t>90_CHECKS overall</t>
        </is>
      </c>
    </row>
    <row r="31" ht="66" customHeight="1">
      <c r="B31" s="124" t="inlineStr">
        <is>
          <t>9. Is dilution acceptable?</t>
        </is>
      </c>
      <c r="C31" s="127" t="inlineStr">
        <is>
          <t>We frame dilution relative to the raise size and market cap, and we show dilution under LOW/BASE/HIGH pricing. In rights, participation assumptions change who is diluted. Acceptability is assessed versus shareholder appetite, valuation, and strategic objectives.</t>
        </is>
      </c>
      <c r="D31" s="126" t="n"/>
      <c r="E31" s="127" t="inlineStr">
        <is>
          <t>See 80_MAP + 81_FORMULAS</t>
        </is>
      </c>
      <c r="F31" s="127" t="inlineStr">
        <is>
          <t>90_CHECKS overall</t>
        </is>
      </c>
    </row>
    <row r="32" ht="66" customHeight="1">
      <c r="B32" s="124" t="inlineStr">
        <is>
          <t>10. How do we manage timing and market risk?</t>
        </is>
      </c>
      <c r="C32" s="127" t="inlineStr">
        <is>
          <t>ABB minimises execution time but may require sharper discount. Rights takes longer and is exposed to market drift but can improve shareholder fairness. We map the method to execution window and recommend contingencies.</t>
        </is>
      </c>
      <c r="D32" s="126" t="n"/>
      <c r="E32" s="127" t="inlineStr">
        <is>
          <t>See 80_MAP + 81_FORMULAS</t>
        </is>
      </c>
      <c r="F32" s="127" t="inlineStr">
        <is>
          <t>90_CHECKS overall</t>
        </is>
      </c>
    </row>
    <row r="33" ht="66" customHeight="1">
      <c r="B33" s="124" t="inlineStr">
        <is>
          <t>11. What are the key pitfalls in interpreting outputs?</t>
        </is>
      </c>
      <c r="C33" s="127" t="inlineStr">
        <is>
          <t>Common pitfalls are gross vs net confusion, primary vs secondary mixing, reference price definition mismatch, and ignoring check failures. We explicitly label definitions and use 90_CHECKS as a gate before communicating numbers.</t>
        </is>
      </c>
      <c r="D33" s="126" t="n"/>
      <c r="E33" s="127" t="inlineStr">
        <is>
          <t>See 80_MAP + 81_FORMULAS</t>
        </is>
      </c>
      <c r="F33" s="127" t="inlineStr">
        <is>
          <t>90_CHECKS overall</t>
        </is>
      </c>
    </row>
    <row r="34" ht="66" customHeight="1">
      <c r="B34" s="124" t="inlineStr">
        <is>
          <t>12. What is the one-slide deal narrative?</t>
        </is>
      </c>
      <c r="C34" s="127" t="inlineStr">
        <is>
          <t>Method and pricing define shares issued and dilution; proceeds net of fees fund a stated allocation; allocation drives cash, debt and net debt; this changes leverage and float. Key risks are pricing, demand/take-up, and market window, with mitigants via underwriting and allocation.</t>
        </is>
      </c>
      <c r="D34" s="126" t="n"/>
      <c r="E34" s="127" t="inlineStr">
        <is>
          <t>See 80_MAP + 81_FORMULAS</t>
        </is>
      </c>
      <c r="F34" s="127" t="inlineStr">
        <is>
          <t>90_CHECKS overall</t>
        </is>
      </c>
    </row>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C7" r:id="rId7"/>
    <hyperlink xmlns:r="http://schemas.openxmlformats.org/officeDocument/2006/relationships" ref="C8" r:id="rId8"/>
    <hyperlink xmlns:r="http://schemas.openxmlformats.org/officeDocument/2006/relationships" ref="C9" r:id="rId9"/>
    <hyperlink xmlns:r="http://schemas.openxmlformats.org/officeDocument/2006/relationships" ref="C10" r:id="rId10"/>
    <hyperlink xmlns:r="http://schemas.openxmlformats.org/officeDocument/2006/relationships" ref="C11" r:id="rId11"/>
    <hyperlink xmlns:r="http://schemas.openxmlformats.org/officeDocument/2006/relationships" ref="C12" r:id="rId12"/>
    <hyperlink xmlns:r="http://schemas.openxmlformats.org/officeDocument/2006/relationships" ref="C13" r:id="rId13"/>
    <hyperlink xmlns:r="http://schemas.openxmlformats.org/officeDocument/2006/relationships" ref="C14" r:id="rId14"/>
    <hyperlink xmlns:r="http://schemas.openxmlformats.org/officeDocument/2006/relationships" ref="C15" r:id="rId15"/>
    <hyperlink xmlns:r="http://schemas.openxmlformats.org/officeDocument/2006/relationships" ref="C16" r:id="rId16"/>
    <hyperlink xmlns:r="http://schemas.openxmlformats.org/officeDocument/2006/relationships" ref="C17" r:id="rId17"/>
    <hyperlink xmlns:r="http://schemas.openxmlformats.org/officeDocument/2006/relationships" ref="C18" r:id="rId18"/>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37"/>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outlineLevelCol="0"/>
  <cols>
    <col width="2" customWidth="1" min="1" max="1"/>
    <col width="38" customWidth="1" min="2" max="2"/>
    <col width="24" customWidth="1" min="3" max="3"/>
    <col width="2"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2" customWidth="1" min="12" max="12"/>
    <col width="12" customWidth="1" min="13" max="13"/>
    <col width="12" customWidth="1" min="14" max="14"/>
    <col width="12" customWidth="1" min="15" max="15"/>
    <col width="12" customWidth="1" min="16" max="16"/>
    <col width="12" customWidth="1" min="17" max="17"/>
    <col width="12" customWidth="1" min="18" max="18"/>
  </cols>
  <sheetData>
    <row r="1" ht="15" customHeight="1">
      <c r="B1" s="78" t="inlineStr">
        <is>
          <t>Dashboard</t>
        </is>
      </c>
      <c r="C1" s="78" t="inlineStr">
        <is>
          <t>Control</t>
        </is>
      </c>
      <c r="D1" s="78" t="inlineStr">
        <is>
          <t>Issuer</t>
        </is>
      </c>
      <c r="E1" s="78" t="inlineStr">
        <is>
          <t>Offer</t>
        </is>
      </c>
      <c r="F1" s="78" t="inlineStr">
        <is>
          <t>Checks</t>
        </is>
      </c>
      <c r="G1" s="78" t="inlineStr">
        <is>
          <t>Learn</t>
        </is>
      </c>
    </row>
    <row r="2" ht="18" customHeight="1">
      <c r="B2" s="120" t="inlineStr">
        <is>
          <t>ECM Learning Layer</t>
        </is>
      </c>
    </row>
    <row r="3" ht="15" customHeight="1">
      <c r="B3" s="121" t="inlineStr">
        <is>
          <t>83) Scenario Narratives (assumptions vs outputs, aggressiveness flags, and variance drivers)</t>
        </is>
      </c>
    </row>
    <row r="4" ht="15" customHeight="1"/>
    <row r="5" ht="18" customHeight="1">
      <c r="B5" s="83" t="inlineStr">
        <is>
          <t>SCENARIO ASSUMPTIONS (TRACE TO INPUTS)</t>
        </is>
      </c>
      <c r="C5" s="83" t="n"/>
      <c r="D5" s="83" t="n"/>
      <c r="E5" s="83" t="n"/>
      <c r="F5" s="83" t="n"/>
      <c r="G5" s="83" t="n"/>
      <c r="H5" s="83" t="n"/>
      <c r="I5" s="83" t="n"/>
      <c r="J5" s="83" t="n"/>
      <c r="K5" s="83" t="n"/>
      <c r="L5" s="83" t="n"/>
    </row>
    <row r="6" ht="24" customHeight="1">
      <c r="B6" s="123" t="inlineStr">
        <is>
          <t>Assumption</t>
        </is>
      </c>
      <c r="C6" s="123" t="inlineStr">
        <is>
          <t>Where (model)</t>
        </is>
      </c>
      <c r="D6" s="123" t="inlineStr"/>
      <c r="E6" s="123" t="inlineStr">
        <is>
          <t>LOW</t>
        </is>
      </c>
      <c r="F6" s="123" t="inlineStr">
        <is>
          <t>BASE</t>
        </is>
      </c>
      <c r="G6" s="123" t="inlineStr">
        <is>
          <t>HIGH</t>
        </is>
      </c>
      <c r="H6" s="123" t="inlineStr">
        <is>
          <t>LOW flag</t>
        </is>
      </c>
      <c r="I6" s="123" t="inlineStr">
        <is>
          <t>BASE flag</t>
        </is>
      </c>
      <c r="J6" s="123" t="inlineStr">
        <is>
          <t>HIGH flag</t>
        </is>
      </c>
    </row>
    <row r="7" ht="30" customHeight="1">
      <c r="B7" s="127" t="inlineStr">
        <is>
          <t>Discount %</t>
        </is>
      </c>
      <c r="C7" s="125" t="inlineStr">
        <is>
          <t>04_OFFER_SETUP!E9:G9</t>
        </is>
      </c>
      <c r="D7" s="126" t="n"/>
      <c r="E7" s="127">
        <f>'04_OFFER_SETUP'!E9</f>
        <v/>
      </c>
      <c r="F7" s="127">
        <f>'04_OFFER_SETUP'!F9</f>
        <v/>
      </c>
      <c r="G7" s="127">
        <f>'04_OFFER_SETUP'!G9</f>
        <v/>
      </c>
      <c r="H7" s="127">
        <f>IF(E7&lt;0.06,"AGGRESSIVE",IF(E7&gt;0.12,"CONSERVATIVE","NEUTRAL"))</f>
        <v/>
      </c>
      <c r="I7" s="127">
        <f>IF(F7&lt;0.06,"AGGRESSIVE",IF(F7&gt;0.12,"CONSERVATIVE","NEUTRAL"))</f>
        <v/>
      </c>
      <c r="J7" s="127">
        <f>IF(G7&lt;0.06,"AGGRESSIVE",IF(G7&gt;0.12,"CONSERVATIVE","NEUTRAL"))</f>
        <v/>
      </c>
    </row>
    <row r="8" ht="30" customHeight="1">
      <c r="B8" s="127" t="inlineStr">
        <is>
          <t>Issue price (Ps)</t>
        </is>
      </c>
      <c r="C8" s="125" t="inlineStr">
        <is>
          <t>04_OFFER_SETUP!E8:G8</t>
        </is>
      </c>
      <c r="D8" s="126" t="n"/>
      <c r="E8" s="127">
        <f>'04_OFFER_SETUP'!E8</f>
        <v/>
      </c>
      <c r="F8" s="127">
        <f>'04_OFFER_SETUP'!F8</f>
        <v/>
      </c>
      <c r="G8" s="127">
        <f>'04_OFFER_SETUP'!G8</f>
        <v/>
      </c>
      <c r="H8" s="127">
        <f>IF(E8&gt;0.95*'03_MARKET_DATA'!E7,"AGGRESSIVE",IF(E8&lt;0.88*'03_MARKET_DATA'!E7,"CONSERVATIVE","NEUTRAL"))</f>
        <v/>
      </c>
      <c r="I8" s="127">
        <f>IF(F8&gt;0.95*'03_MARKET_DATA'!E7,"AGGRESSIVE",IF(F8&lt;0.88*'03_MARKET_DATA'!E7,"CONSERVATIVE","NEUTRAL"))</f>
        <v/>
      </c>
      <c r="J8" s="127">
        <f>IF(G8&gt;0.95*'03_MARKET_DATA'!E7,"AGGRESSIVE",IF(G8&lt;0.88*'03_MARKET_DATA'!E7,"CONSERVATIVE","NEUTRAL"))</f>
        <v/>
      </c>
    </row>
    <row r="9" ht="30" customHeight="1">
      <c r="B9" s="127" t="inlineStr">
        <is>
          <t>Target gross primary (DKKm)</t>
        </is>
      </c>
      <c r="C9" s="125" t="inlineStr">
        <is>
          <t>01_CONTROL!E30:G30</t>
        </is>
      </c>
      <c r="D9" s="126" t="n"/>
      <c r="E9" s="127">
        <f>'01_CONTROL'!E30</f>
        <v/>
      </c>
      <c r="F9" s="127">
        <f>'01_CONTROL'!F30</f>
        <v/>
      </c>
      <c r="G9" s="127">
        <f>'01_CONTROL'!G30</f>
        <v/>
      </c>
      <c r="H9" s="127">
        <f>IF(E9&gt;('09_FREE_FLOAT_TRADING_MET'!E8*0.10),"AGGRESSIVE",IF(E9&lt;('09_FREE_FLOAT_TRADING_MET'!E8*0.05),"CONSERVATIVE","NEUTRAL"))</f>
        <v/>
      </c>
      <c r="I9" s="127">
        <f>IF(F9&gt;('09_FREE_FLOAT_TRADING_MET'!E8*0.10),"AGGRESSIVE",IF(F9&lt;('09_FREE_FLOAT_TRADING_MET'!E8*0.05),"CONSERVATIVE","NEUTRAL"))</f>
        <v/>
      </c>
      <c r="J9" s="127">
        <f>IF(G9&gt;('09_FREE_FLOAT_TRADING_MET'!E8*0.10),"AGGRESSIVE",IF(G9&lt;('09_FREE_FLOAT_TRADING_MET'!E8*0.05),"CONSERVATIVE","NEUTRAL"))</f>
        <v/>
      </c>
    </row>
    <row r="10" ht="30" customHeight="1">
      <c r="B10" s="127" t="inlineStr">
        <is>
          <t>Total fee % (underwriting+advisory)</t>
        </is>
      </c>
      <c r="C10" s="125" t="inlineStr">
        <is>
          <t>01_CONTROL!E37:E39</t>
        </is>
      </c>
      <c r="D10" s="126" t="n"/>
      <c r="E10" s="127">
        <f>'01_CONTROL'!E37+'01_CONTROL'!E38</f>
        <v/>
      </c>
      <c r="F10" s="127">
        <f>'01_CONTROL'!E37+'01_CONTROL'!E38</f>
        <v/>
      </c>
      <c r="G10" s="127">
        <f>'01_CONTROL'!E37+'01_CONTROL'!E38</f>
        <v/>
      </c>
      <c r="H10" s="127">
        <f>IF(E10&lt;0.025,"AGGRESSIVE",IF(E10&gt;0.04,"CONSERVATIVE","NEUTRAL"))</f>
        <v/>
      </c>
      <c r="I10" s="127">
        <f>IF(F10&lt;0.025,"AGGRESSIVE",IF(F10&gt;0.04,"CONSERVATIVE","NEUTRAL"))</f>
        <v/>
      </c>
      <c r="J10" s="127">
        <f>IF(G10&lt;0.025,"AGGRESSIVE",IF(G10&gt;0.04,"CONSERVATIVE","NEUTRAL"))</f>
        <v/>
      </c>
    </row>
    <row r="11" ht="30" customHeight="1">
      <c r="B11" s="127" t="inlineStr">
        <is>
          <t>Take-up rate (Rights only)</t>
        </is>
      </c>
      <c r="C11" s="125" t="inlineStr">
        <is>
          <t>01_CONTROL!E19</t>
        </is>
      </c>
      <c r="D11" s="126" t="n"/>
      <c r="E11" s="127">
        <f>'01_CONTROL'!E19</f>
        <v/>
      </c>
      <c r="F11" s="127">
        <f>'01_CONTROL'!E19</f>
        <v/>
      </c>
      <c r="G11" s="127">
        <f>'01_CONTROL'!E19</f>
        <v/>
      </c>
      <c r="H11" s="127">
        <f>IF(E11&gt;0.9,"AGGRESSIVE",IF(E11&lt;0.7,"CONSERVATIVE","NEUTRAL"))</f>
        <v/>
      </c>
      <c r="I11" s="127">
        <f>IF(F11&gt;0.9,"AGGRESSIVE",IF(F11&lt;0.7,"CONSERVATIVE","NEUTRAL"))</f>
        <v/>
      </c>
      <c r="J11" s="127">
        <f>IF(G11&gt;0.9,"AGGRESSIVE",IF(G11&lt;0.7,"CONSERVATIVE","NEUTRAL"))</f>
        <v/>
      </c>
    </row>
    <row r="12" ht="30" customHeight="1">
      <c r="B12" s="127" t="inlineStr">
        <is>
          <t>Use of proceeds: % debt paydown</t>
        </is>
      </c>
      <c r="C12" s="125" t="inlineStr">
        <is>
          <t>01_CONTROL!E46</t>
        </is>
      </c>
      <c r="D12" s="126" t="n"/>
      <c r="E12" s="127">
        <f>'01_CONTROL'!E46</f>
        <v/>
      </c>
      <c r="F12" s="127">
        <f>'01_CONTROL'!E46</f>
        <v/>
      </c>
      <c r="G12" s="127">
        <f>'01_CONTROL'!E46</f>
        <v/>
      </c>
      <c r="H12" s="127">
        <f>IF(E12&gt;0.8,"AGGRESSIVE",IF(E12&lt;0.4,"CONSERVATIVE","NEUTRAL"))</f>
        <v/>
      </c>
      <c r="I12" s="127">
        <f>IF(F12&gt;0.8,"AGGRESSIVE",IF(F12&lt;0.4,"CONSERVATIVE","NEUTRAL"))</f>
        <v/>
      </c>
      <c r="J12" s="127">
        <f>IF(G12&gt;0.8,"AGGRESSIVE",IF(G12&lt;0.4,"CONSERVATIVE","NEUTRAL"))</f>
        <v/>
      </c>
    </row>
    <row r="13" ht="15" customHeight="1"/>
    <row r="14" ht="15" customHeight="1"/>
    <row r="15" ht="18" customHeight="1">
      <c r="B15" s="83" t="inlineStr">
        <is>
          <t>SCENARIO OUTPUTS (FROM MODEL)</t>
        </is>
      </c>
      <c r="C15" s="83" t="n"/>
      <c r="D15" s="83" t="n"/>
      <c r="E15" s="83" t="n"/>
      <c r="F15" s="83" t="n"/>
      <c r="G15" s="83" t="n"/>
      <c r="H15" s="83" t="n"/>
      <c r="I15" s="83" t="n"/>
      <c r="J15" s="83" t="n"/>
      <c r="K15" s="83" t="n"/>
      <c r="L15" s="83" t="n"/>
    </row>
    <row r="16" ht="24" customHeight="1">
      <c r="B16" s="123" t="inlineStr">
        <is>
          <t>Assumption</t>
        </is>
      </c>
      <c r="C16" s="123" t="inlineStr">
        <is>
          <t>Where (model)</t>
        </is>
      </c>
      <c r="D16" s="123" t="inlineStr"/>
      <c r="E16" s="123" t="inlineStr">
        <is>
          <t>LOW</t>
        </is>
      </c>
      <c r="F16" s="123" t="inlineStr">
        <is>
          <t>BASE</t>
        </is>
      </c>
      <c r="G16" s="123" t="inlineStr">
        <is>
          <t>HIGH</t>
        </is>
      </c>
      <c r="H16" s="123" t="inlineStr">
        <is>
          <t>LOW flag</t>
        </is>
      </c>
      <c r="I16" s="123" t="inlineStr">
        <is>
          <t>BASE flag</t>
        </is>
      </c>
      <c r="J16" s="123" t="inlineStr">
        <is>
          <t>HIGH flag</t>
        </is>
      </c>
    </row>
    <row r="17" ht="30" customHeight="1">
      <c r="B17" s="127" t="inlineStr">
        <is>
          <t>Net proceeds to issuer (DKKm)</t>
        </is>
      </c>
      <c r="C17" s="125" t="inlineStr">
        <is>
          <t>07_PROCEEDS_AND_FEES!E16:G16</t>
        </is>
      </c>
      <c r="D17" s="126" t="n"/>
      <c r="E17" s="127">
        <f>'07_PROCEEDS_AND_FEES'!E16</f>
        <v/>
      </c>
      <c r="F17" s="127">
        <f>'07_PROCEEDS_AND_FEES'!F16</f>
        <v/>
      </c>
      <c r="G17" s="127">
        <f>'07_PROCEEDS_AND_FEES'!G16</f>
        <v/>
      </c>
      <c r="H17" s="127" t="inlineStr">
        <is>
          <t>N/A</t>
        </is>
      </c>
      <c r="I17" s="127" t="inlineStr">
        <is>
          <t>N/A</t>
        </is>
      </c>
      <c r="J17" s="127" t="inlineStr">
        <is>
          <t>N/A</t>
        </is>
      </c>
    </row>
    <row r="18" ht="30" customHeight="1">
      <c r="B18" s="127" t="inlineStr">
        <is>
          <t>Dilution %</t>
        </is>
      </c>
      <c r="C18" s="125" t="inlineStr">
        <is>
          <t>06_CAP_TABLE_OWNERSHIP!E14:G14</t>
        </is>
      </c>
      <c r="D18" s="126" t="n"/>
      <c r="E18" s="127">
        <f>'06_CAP_TABLE_OWNERSHIP'!E14</f>
        <v/>
      </c>
      <c r="F18" s="127">
        <f>'06_CAP_TABLE_OWNERSHIP'!F14</f>
        <v/>
      </c>
      <c r="G18" s="127">
        <f>'06_CAP_TABLE_OWNERSHIP'!G14</f>
        <v/>
      </c>
      <c r="H18" s="127" t="inlineStr">
        <is>
          <t>N/A</t>
        </is>
      </c>
      <c r="I18" s="127" t="inlineStr">
        <is>
          <t>N/A</t>
        </is>
      </c>
      <c r="J18" s="127" t="inlineStr">
        <is>
          <t>N/A</t>
        </is>
      </c>
    </row>
    <row r="19" ht="30" customHeight="1">
      <c r="B19" s="127" t="inlineStr">
        <is>
          <t>Free float % post</t>
        </is>
      </c>
      <c r="C19" s="125" t="inlineStr">
        <is>
          <t>06_CAP_TABLE_OWNERSHIP!E34:G34</t>
        </is>
      </c>
      <c r="D19" s="126" t="n"/>
      <c r="E19" s="127">
        <f>'06_CAP_TABLE_OWNERSHIP'!E34</f>
        <v/>
      </c>
      <c r="F19" s="127">
        <f>'06_CAP_TABLE_OWNERSHIP'!F34</f>
        <v/>
      </c>
      <c r="G19" s="127">
        <f>'06_CAP_TABLE_OWNERSHIP'!G34</f>
        <v/>
      </c>
      <c r="H19" s="127" t="inlineStr">
        <is>
          <t>N/A</t>
        </is>
      </c>
      <c r="I19" s="127" t="inlineStr">
        <is>
          <t>N/A</t>
        </is>
      </c>
      <c r="J19" s="127" t="inlineStr">
        <is>
          <t>N/A</t>
        </is>
      </c>
    </row>
    <row r="20" ht="30" customHeight="1">
      <c r="B20" s="127" t="inlineStr">
        <is>
          <t>Net debt post (DKKm)</t>
        </is>
      </c>
      <c r="C20" s="125" t="inlineStr">
        <is>
          <t>08_PRO_FORMA_BS_LEVERAGE!E27:G27</t>
        </is>
      </c>
      <c r="D20" s="126" t="n"/>
      <c r="E20" s="127">
        <f>'08_PRO_FORMA_BS_LEVERAGE'!E27</f>
        <v/>
      </c>
      <c r="F20" s="127">
        <f>'08_PRO_FORMA_BS_LEVERAGE'!F27</f>
        <v/>
      </c>
      <c r="G20" s="127">
        <f>'08_PRO_FORMA_BS_LEVERAGE'!G27</f>
        <v/>
      </c>
      <c r="H20" s="127" t="inlineStr">
        <is>
          <t>N/A</t>
        </is>
      </c>
      <c r="I20" s="127" t="inlineStr">
        <is>
          <t>N/A</t>
        </is>
      </c>
      <c r="J20" s="127" t="inlineStr">
        <is>
          <t>N/A</t>
        </is>
      </c>
    </row>
    <row r="21" ht="30" customHeight="1">
      <c r="B21" s="127" t="inlineStr">
        <is>
          <t>Leverage post (ND/EBITDA)</t>
        </is>
      </c>
      <c r="C21" s="125" t="inlineStr">
        <is>
          <t>08_PRO_FORMA_BS_LEVERAGE!E34:G34</t>
        </is>
      </c>
      <c r="D21" s="126" t="n"/>
      <c r="E21" s="127">
        <f>'08_PRO_FORMA_BS_LEVERAGE'!E34</f>
        <v/>
      </c>
      <c r="F21" s="127">
        <f>'08_PRO_FORMA_BS_LEVERAGE'!F34</f>
        <v/>
      </c>
      <c r="G21" s="127">
        <f>'08_PRO_FORMA_BS_LEVERAGE'!G34</f>
        <v/>
      </c>
      <c r="H21" s="127" t="inlineStr">
        <is>
          <t>N/A</t>
        </is>
      </c>
      <c r="I21" s="127" t="inlineStr">
        <is>
          <t>N/A</t>
        </is>
      </c>
      <c r="J21" s="127" t="inlineStr">
        <is>
          <t>N/A</t>
        </is>
      </c>
    </row>
    <row r="22" ht="30" customHeight="1">
      <c r="B22" s="127" t="inlineStr">
        <is>
          <t>Checks status</t>
        </is>
      </c>
      <c r="C22" s="125" t="inlineStr">
        <is>
          <t>90_CHECKS!E7</t>
        </is>
      </c>
      <c r="D22" s="126" t="n"/>
      <c r="E22" s="127">
        <f>'90_CHECKS'!E7</f>
        <v/>
      </c>
      <c r="F22" s="127">
        <f>'90_CHECKS'!F7</f>
        <v/>
      </c>
      <c r="G22" s="127">
        <f>'90_CHECKS'!G7</f>
        <v/>
      </c>
      <c r="H22" s="127" t="inlineStr">
        <is>
          <t>N/A</t>
        </is>
      </c>
      <c r="I22" s="127" t="inlineStr">
        <is>
          <t>N/A</t>
        </is>
      </c>
      <c r="J22" s="127" t="inlineStr">
        <is>
          <t>N/A</t>
        </is>
      </c>
    </row>
    <row r="23" ht="15" customHeight="1"/>
    <row r="24" ht="15" customHeight="1"/>
    <row r="25" ht="18" customHeight="1">
      <c r="B25" s="83" t="inlineStr">
        <is>
          <t>SCENARIO NARRATIVES (WRITE-UP)</t>
        </is>
      </c>
      <c r="C25" s="83" t="n"/>
      <c r="D25" s="83" t="n"/>
      <c r="E25" s="83" t="n"/>
      <c r="F25" s="83" t="n"/>
      <c r="G25" s="83" t="n"/>
      <c r="H25" s="83" t="n"/>
      <c r="I25" s="83" t="n"/>
      <c r="J25" s="83" t="n"/>
      <c r="K25" s="83" t="n"/>
      <c r="L25" s="83" t="n"/>
    </row>
    <row r="26" ht="18" customHeight="1">
      <c r="B26" s="130" t="inlineStr">
        <is>
          <t>What must be true for Upside:</t>
        </is>
      </c>
    </row>
    <row r="27" ht="16" customHeight="1">
      <c r="B27" s="130" t="inlineStr">
        <is>
          <t>• Market clears near the BASE/HIGH price (tight discount) without reducing take-up/demand.</t>
        </is>
      </c>
    </row>
    <row r="28" ht="16" customHeight="1">
      <c r="B28" s="130" t="inlineStr">
        <is>
          <t>• Fees stay within assumed range, so net proceeds are not eroded.</t>
        </is>
      </c>
    </row>
    <row r="29" ht="16" customHeight="1">
      <c r="B29" s="130" t="inlineStr">
        <is>
          <t>• Execution window remains stable (no volatility spike) so allocation supports float objectives.</t>
        </is>
      </c>
    </row>
    <row r="30" ht="16" customHeight="1">
      <c r="B30" s="130" t="n"/>
    </row>
    <row r="31" ht="18" customHeight="1">
      <c r="B31" s="130" t="inlineStr">
        <is>
          <t>What breaks first in Downside:</t>
        </is>
      </c>
    </row>
    <row r="32" ht="16" customHeight="1">
      <c r="B32" s="130" t="inlineStr">
        <is>
          <t>• Price moves down or required discount widens, increasing shares issued and dilution.</t>
        </is>
      </c>
    </row>
    <row r="33" ht="16" customHeight="1">
      <c r="B33" s="130" t="inlineStr">
        <is>
          <t>• For rights, take-up falls, increasing rump and shifting ownership/underwriting burden.</t>
        </is>
      </c>
    </row>
    <row r="34" ht="16" customHeight="1">
      <c r="B34" s="130" t="inlineStr">
        <is>
          <t>• EBITDA stress reduces leverage improvement even if proceeds are raised.</t>
        </is>
      </c>
    </row>
    <row r="35" ht="16" customHeight="1">
      <c r="B35" s="130" t="n"/>
    </row>
    <row r="36" ht="18" customHeight="1">
      <c r="B36" s="130" t="inlineStr">
        <is>
          <t>Which 3 assumptions drive 80% of the variance:</t>
        </is>
      </c>
    </row>
    <row r="37" ht="16" customHeight="1">
      <c r="B37" s="130" t="inlineStr">
        <is>
          <t>• Issue price/discount, raise size, and fee % (these move shares issued, net proceeds, dilution, and leverage).</t>
        </is>
      </c>
    </row>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sheetData>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C7" r:id="rId7"/>
    <hyperlink xmlns:r="http://schemas.openxmlformats.org/officeDocument/2006/relationships" ref="C8" r:id="rId8"/>
    <hyperlink xmlns:r="http://schemas.openxmlformats.org/officeDocument/2006/relationships" ref="C9" r:id="rId9"/>
    <hyperlink xmlns:r="http://schemas.openxmlformats.org/officeDocument/2006/relationships" ref="C10" r:id="rId10"/>
    <hyperlink xmlns:r="http://schemas.openxmlformats.org/officeDocument/2006/relationships" ref="C11" r:id="rId11"/>
    <hyperlink xmlns:r="http://schemas.openxmlformats.org/officeDocument/2006/relationships" ref="C12" r:id="rId12"/>
    <hyperlink xmlns:r="http://schemas.openxmlformats.org/officeDocument/2006/relationships" ref="C17" r:id="rId13"/>
    <hyperlink xmlns:r="http://schemas.openxmlformats.org/officeDocument/2006/relationships" ref="C18" r:id="rId14"/>
    <hyperlink xmlns:r="http://schemas.openxmlformats.org/officeDocument/2006/relationships" ref="C19" r:id="rId15"/>
    <hyperlink xmlns:r="http://schemas.openxmlformats.org/officeDocument/2006/relationships" ref="C20" r:id="rId16"/>
    <hyperlink xmlns:r="http://schemas.openxmlformats.org/officeDocument/2006/relationships" ref="C21" r:id="rId17"/>
    <hyperlink xmlns:r="http://schemas.openxmlformats.org/officeDocument/2006/relationships" ref="C22" r:id="rId18"/>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L249"/>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outlineLevelCol="0"/>
  <cols>
    <col width="2" customWidth="1" min="1" max="1"/>
    <col width="38" customWidth="1" min="2" max="2"/>
    <col width="24" customWidth="1" min="3" max="3"/>
    <col width="2"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2" customWidth="1" min="12" max="12"/>
    <col width="12" customWidth="1" min="13" max="13"/>
    <col width="12" customWidth="1" min="14" max="14"/>
    <col width="12" customWidth="1" min="15" max="15"/>
    <col width="12" customWidth="1" min="16" max="16"/>
    <col width="12" customWidth="1" min="17" max="17"/>
    <col width="12" customWidth="1" min="18" max="18"/>
  </cols>
  <sheetData>
    <row r="1"/>
    <row r="2">
      <c r="B2" s="131" t="inlineStr">
        <is>
          <t>ECM Learning Layer</t>
        </is>
      </c>
    </row>
    <row r="3">
      <c r="B3" s="121" t="inlineStr">
        <is>
          <t>84) Drills (hands-on exercises with PASS/FAIL checks and a daily drill mode)</t>
        </is>
      </c>
    </row>
    <row r="4"/>
    <row r="5" ht="18" customHeight="1">
      <c r="B5" s="132" t="inlineStr">
        <is>
          <t>DAILY DRILL MODE</t>
        </is>
      </c>
      <c r="C5" s="133" t="n"/>
      <c r="D5" s="133" t="n"/>
      <c r="E5" s="133" t="n"/>
      <c r="F5" s="133" t="n"/>
      <c r="G5" s="133" t="n"/>
      <c r="H5" s="133" t="n"/>
      <c r="I5" s="133" t="n"/>
      <c r="J5" s="133" t="n"/>
      <c r="K5" s="133" t="n"/>
      <c r="L5" s="133" t="n"/>
    </row>
    <row r="6">
      <c r="B6" s="134" t="inlineStr">
        <is>
          <t>Mode (type DAILY or RANDOM):</t>
        </is>
      </c>
      <c r="E6" s="135" t="inlineStr">
        <is>
          <t>DAILY</t>
        </is>
      </c>
      <c r="H6" s="134" t="inlineStr">
        <is>
          <t>Attempts</t>
        </is>
      </c>
      <c r="I6" s="117">
        <f>COUNTA($C$48:$C$200)</f>
        <v/>
      </c>
    </row>
    <row r="7">
      <c r="B7" s="134" t="inlineStr">
        <is>
          <t>Drill number:</t>
        </is>
      </c>
      <c r="E7" s="135">
        <f>IF($E$6="RANDOM",RANDBETWEEN(1,12),MOD(TODAY()-DATE(2026,1,1),12)+1)</f>
        <v/>
      </c>
      <c r="H7" s="134" t="inlineStr">
        <is>
          <t>Passes</t>
        </is>
      </c>
      <c r="I7" s="117">
        <f>COUNTIF($D$48:$D$200,"Y")</f>
        <v/>
      </c>
    </row>
    <row r="8">
      <c r="B8" s="134" t="inlineStr">
        <is>
          <t>Drill title:</t>
        </is>
      </c>
      <c r="E8" s="135">
        <f>IFERROR(INDEX($B$32:$B$43,$E$7),"-")</f>
        <v/>
      </c>
    </row>
    <row r="9"/>
    <row r="10" ht="18" customHeight="1">
      <c r="B10" s="132" t="inlineStr">
        <is>
          <t>BASELINE CAPTURE (PASTE VALUES ONCE BEFORE STARTING A DRILL)</t>
        </is>
      </c>
      <c r="C10" s="133" t="n"/>
      <c r="D10" s="133" t="n"/>
      <c r="E10" s="133" t="n"/>
      <c r="F10" s="133" t="n"/>
      <c r="G10" s="133" t="n"/>
      <c r="H10" s="133" t="n"/>
      <c r="I10" s="133" t="n"/>
      <c r="J10" s="133" t="n"/>
      <c r="K10" s="133" t="n"/>
      <c r="L10" s="133" t="n"/>
    </row>
    <row r="11" ht="24" customHeight="1">
      <c r="B11" s="117" t="inlineStr">
        <is>
          <t>Metric</t>
        </is>
      </c>
      <c r="C11" s="117" t="inlineStr">
        <is>
          <t>Where (model)</t>
        </is>
      </c>
      <c r="D11" s="117" t="inlineStr"/>
      <c r="E11" s="117" t="inlineStr">
        <is>
          <t>Baseline (paste values)</t>
        </is>
      </c>
      <c r="F11" s="117" t="inlineStr">
        <is>
          <t>Current (live)</t>
        </is>
      </c>
      <c r="G11" s="117" t="inlineStr">
        <is>
          <t>Notes</t>
        </is>
      </c>
    </row>
    <row r="12" ht="22" customHeight="1">
      <c r="B12" s="136" t="inlineStr">
        <is>
          <t>Discount % (BASE)</t>
        </is>
      </c>
      <c r="C12" s="137" t="inlineStr">
        <is>
          <t>04_OFFER_SETUP!F9</t>
        </is>
      </c>
      <c r="D12" s="138" t="n"/>
      <c r="E12" s="139" t="n"/>
      <c r="F12" s="137">
        <f>'04_OFFER_SETUP'!F9</f>
        <v/>
      </c>
      <c r="G12" s="137" t="n"/>
    </row>
    <row r="13" ht="22" customHeight="1">
      <c r="B13" s="136" t="inlineStr">
        <is>
          <t>Issue price (BASE)</t>
        </is>
      </c>
      <c r="C13" s="137" t="inlineStr">
        <is>
          <t>04_OFFER_SETUP!F8</t>
        </is>
      </c>
      <c r="D13" s="138" t="n"/>
      <c r="E13" s="139" t="n"/>
      <c r="F13" s="137">
        <f>'04_OFFER_SETUP'!F8</f>
        <v/>
      </c>
      <c r="G13" s="137" t="n"/>
    </row>
    <row r="14" ht="22" customHeight="1">
      <c r="B14" s="136" t="inlineStr">
        <is>
          <t>Net proceeds (BASE, DKKm)</t>
        </is>
      </c>
      <c r="C14" s="137" t="inlineStr">
        <is>
          <t>07_PROCEEDS_AND_FEES!F16</t>
        </is>
      </c>
      <c r="D14" s="138" t="n"/>
      <c r="E14" s="139" t="n"/>
      <c r="F14" s="137">
        <f>'07_PROCEEDS_AND_FEES'!F16</f>
        <v/>
      </c>
      <c r="G14" s="137" t="n"/>
    </row>
    <row r="15" ht="22" customHeight="1">
      <c r="B15" s="136" t="inlineStr">
        <is>
          <t>Dilution % (BASE)</t>
        </is>
      </c>
      <c r="C15" s="137" t="inlineStr">
        <is>
          <t>06_CAP_TABLE_OWNERSHIP!F14</t>
        </is>
      </c>
      <c r="D15" s="138" t="n"/>
      <c r="E15" s="139" t="n"/>
      <c r="F15" s="137">
        <f>'06_CAP_TABLE_OWNERSHIP'!F14</f>
        <v/>
      </c>
      <c r="G15" s="137" t="n"/>
    </row>
    <row r="16" ht="22" customHeight="1">
      <c r="B16" s="136" t="inlineStr">
        <is>
          <t>Free float % post (BASE)</t>
        </is>
      </c>
      <c r="C16" s="137" t="inlineStr">
        <is>
          <t>06_CAP_TABLE_OWNERSHIP!F34</t>
        </is>
      </c>
      <c r="D16" s="138" t="n"/>
      <c r="E16" s="139" t="n"/>
      <c r="F16" s="137">
        <f>'06_CAP_TABLE_OWNERSHIP'!F34</f>
        <v/>
      </c>
      <c r="G16" s="137" t="n"/>
    </row>
    <row r="17" ht="22" customHeight="1">
      <c r="B17" s="136" t="inlineStr">
        <is>
          <t>Leverage (ND/EBITDA) post (BASE)</t>
        </is>
      </c>
      <c r="C17" s="137" t="inlineStr">
        <is>
          <t>08_PRO_FORMA_BS_LEVERAGE!F34</t>
        </is>
      </c>
      <c r="D17" s="138" t="n"/>
      <c r="E17" s="139" t="n"/>
      <c r="F17" s="137">
        <f>'08_PRO_FORMA_BS_LEVERAGE'!F34</f>
        <v/>
      </c>
      <c r="G17" s="137" t="n"/>
    </row>
    <row r="18" ht="22" customHeight="1">
      <c r="B18" s="136" t="inlineStr">
        <is>
          <t>TERP (BASE, rights)</t>
        </is>
      </c>
      <c r="C18" s="137" t="inlineStr">
        <is>
          <t>05_RIGHTS_TERP_ENTITLE!F12</t>
        </is>
      </c>
      <c r="D18" s="138" t="n"/>
      <c r="E18" s="139" t="n"/>
      <c r="F18" s="137">
        <f>'05_RIGHTS_TERP_ENTITLE'!F12</f>
        <v/>
      </c>
      <c r="G18" s="137" t="n"/>
    </row>
    <row r="19" ht="22" customHeight="1">
      <c r="B19" s="136" t="inlineStr">
        <is>
          <t>Subscription ratio M/N (BASE)</t>
        </is>
      </c>
      <c r="C19" s="137" t="inlineStr">
        <is>
          <t>05_RIGHTS_TERP_ENTITLE (M/N)</t>
        </is>
      </c>
      <c r="D19" s="138" t="n"/>
      <c r="E19" s="139" t="n"/>
      <c r="F19" s="137">
        <f>'05_RIGHTS_TERP_ENTITLE'!F9/'05_RIGHTS_TERP_ENTITLE'!F8</f>
        <v/>
      </c>
      <c r="G19" s="137" t="n"/>
    </row>
    <row r="20" ht="22" customHeight="1">
      <c r="B20" s="136" t="inlineStr">
        <is>
          <t>Take-up rate (selected)</t>
        </is>
      </c>
      <c r="C20" s="137" t="inlineStr">
        <is>
          <t>01_CONTROL!E19</t>
        </is>
      </c>
      <c r="D20" s="138" t="n"/>
      <c r="E20" s="139" t="n"/>
      <c r="F20" s="137">
        <f>'01_CONTROL'!E19</f>
        <v/>
      </c>
      <c r="G20" s="137" t="n"/>
    </row>
    <row r="21" ht="22" customHeight="1">
      <c r="B21" s="136" t="inlineStr">
        <is>
          <t>New shares M (BASE, rights)</t>
        </is>
      </c>
      <c r="C21" s="137" t="inlineStr">
        <is>
          <t>05_RIGHTS_TERP_ENTITLE!F9</t>
        </is>
      </c>
      <c r="D21" s="138" t="n"/>
      <c r="E21" s="139" t="n"/>
      <c r="F21" s="137">
        <f>'05_RIGHTS_TERP_ENTITLE'!F9</f>
        <v/>
      </c>
      <c r="G21" s="137" t="n"/>
    </row>
    <row r="22" ht="22" customHeight="1">
      <c r="B22" s="136" t="inlineStr">
        <is>
          <t>Subscribed shares (BASE, rights)</t>
        </is>
      </c>
      <c r="C22" s="137" t="inlineStr">
        <is>
          <t>05_RIGHTS_TERP_ENTITLE!F21</t>
        </is>
      </c>
      <c r="D22" s="138" t="n"/>
      <c r="E22" s="139" t="n"/>
      <c r="F22" s="137">
        <f>'05_RIGHTS_TERP_ENTITLE'!F21</f>
        <v/>
      </c>
      <c r="G22" s="137" t="n"/>
    </row>
    <row r="23" ht="22" customHeight="1">
      <c r="B23" s="136" t="inlineStr">
        <is>
          <t>Rump shares (BASE, rights)</t>
        </is>
      </c>
      <c r="C23" s="137" t="inlineStr">
        <is>
          <t>05_RIGHTS_TERP_ENTITLE!F22</t>
        </is>
      </c>
      <c r="D23" s="138" t="n"/>
      <c r="E23" s="139" t="n"/>
      <c r="F23" s="137">
        <f>'05_RIGHTS_TERP_ENTITLE'!F22</f>
        <v/>
      </c>
      <c r="G23" s="137" t="n"/>
    </row>
    <row r="24" ht="22" customHeight="1">
      <c r="B24" s="136" t="inlineStr">
        <is>
          <t>Issued shares (BASE, rights)</t>
        </is>
      </c>
      <c r="C24" s="137" t="inlineStr">
        <is>
          <t>05_RIGHTS_TERP_ENTITLE!F23</t>
        </is>
      </c>
      <c r="D24" s="138" t="n"/>
      <c r="E24" s="139" t="n"/>
      <c r="F24" s="137">
        <f>'05_RIGHTS_TERP_ENTITLE'!F23</f>
        <v/>
      </c>
      <c r="G24" s="137" t="n"/>
    </row>
    <row r="25" ht="22" customHeight="1">
      <c r="B25" s="136" t="inlineStr">
        <is>
          <t>Offer type selected</t>
        </is>
      </c>
      <c r="C25" s="137" t="inlineStr">
        <is>
          <t>01_CONTROL!E8</t>
        </is>
      </c>
      <c r="D25" s="138" t="n"/>
      <c r="E25" s="139" t="n"/>
      <c r="F25" s="137">
        <f>'01_CONTROL'!E8</f>
        <v/>
      </c>
      <c r="G25" s="137" t="n"/>
    </row>
    <row r="26" ht="22" customHeight="1">
      <c r="B26" s="136" t="inlineStr">
        <is>
          <t>Checks status (BASE)</t>
        </is>
      </c>
      <c r="C26" s="137" t="inlineStr">
        <is>
          <t>90_CHECKS!F7</t>
        </is>
      </c>
      <c r="D26" s="138" t="n"/>
      <c r="E26" s="139" t="n"/>
      <c r="F26" s="137">
        <f>'90_CHECKS'!F7</f>
        <v/>
      </c>
      <c r="G26" s="137" t="n"/>
    </row>
    <row r="27" ht="22" customHeight="1">
      <c r="B27" s="136" t="inlineStr">
        <is>
          <t>EBITDA (input)</t>
        </is>
      </c>
      <c r="C27" s="137" t="inlineStr">
        <is>
          <t>02_ISSUER_INPUTS!E29</t>
        </is>
      </c>
      <c r="D27" s="138" t="n"/>
      <c r="E27" s="139" t="n"/>
      <c r="F27" s="137">
        <f>'02_ISSUER_INPUTS'!E29</f>
        <v/>
      </c>
      <c r="G27" s="137" t="n"/>
    </row>
    <row r="28"/>
    <row r="29"/>
    <row r="30" ht="18" customHeight="1">
      <c r="B30" s="132" t="inlineStr">
        <is>
          <t>12 DRILLS (CHANGE ONLY ALLOWED INPUTS)</t>
        </is>
      </c>
      <c r="C30" s="133" t="n"/>
      <c r="D30" s="133" t="n"/>
      <c r="E30" s="133" t="n"/>
      <c r="F30" s="133" t="n"/>
      <c r="G30" s="133" t="n"/>
      <c r="H30" s="133" t="n"/>
      <c r="I30" s="133" t="n"/>
      <c r="J30" s="133" t="n"/>
      <c r="K30" s="133" t="n"/>
      <c r="L30" s="133" t="n"/>
    </row>
    <row r="31" ht="30" customHeight="1">
      <c r="B31" s="117" t="inlineStr">
        <is>
          <t>Drill</t>
        </is>
      </c>
      <c r="C31" s="117" t="inlineStr">
        <is>
          <t>Objective</t>
        </is>
      </c>
      <c r="D31" s="117" t="inlineStr"/>
      <c r="E31" s="117" t="inlineStr"/>
      <c r="F31" s="117" t="inlineStr">
        <is>
          <t>Forbidden inputs</t>
        </is>
      </c>
      <c r="G31" s="117" t="inlineStr">
        <is>
          <t>PASS/FAIL (formula)</t>
        </is>
      </c>
      <c r="H31" s="117" t="inlineStr">
        <is>
          <t>Driver logic (why this works)</t>
        </is>
      </c>
      <c r="I31" s="117" t="inlineStr">
        <is>
          <t>Notes</t>
        </is>
      </c>
    </row>
    <row r="32" ht="84" customHeight="1">
      <c r="B32" s="136" t="inlineStr">
        <is>
          <t>1. Net proceeds +10% without lowering discount</t>
        </is>
      </c>
      <c r="C32" s="137" t="inlineStr">
        <is>
          <t>Increase net proceeds by at least +10% vs baseline while discount (BASE) is not smaller (no tighter pricing).</t>
        </is>
      </c>
      <c r="D32" s="138" t="n"/>
      <c r="E32" s="137" t="inlineStr">
        <is>
          <t>01_CONTROL fees (E37:E39), fixed costs (E40), raise target (E30:G30) and raise mode (E13).</t>
        </is>
      </c>
      <c r="F32" s="137" t="inlineStr">
        <is>
          <t>Any calc cells; do not change discount or issue price directly.</t>
        </is>
      </c>
      <c r="G32" s="137">
        <f>IF(AND($F$14&gt;=1.10*$E$14,$F$12&gt;= $E$12,$F$26="PASS"),"PASS","FAIL")</f>
        <v/>
      </c>
      <c r="H32" s="137" t="inlineStr">
        <is>
          <t>Net proceeds can rise via lower fees/costs or larger primary raise. Holding discount constant forces structural levers, not pricing.</t>
        </is>
      </c>
      <c r="I32" s="137" t="inlineStr"/>
    </row>
    <row r="33" ht="84" customHeight="1">
      <c r="B33" s="136" t="inlineStr">
        <is>
          <t>2. Reduce dilution by 3pp, keep net proceeds constant</t>
        </is>
      </c>
      <c r="C33" s="137" t="inlineStr">
        <is>
          <t>Reduce dilution by at least 3 percentage points while keeping net proceeds within ±1% of baseline.</t>
        </is>
      </c>
      <c r="D33" s="138" t="n"/>
      <c r="E33" s="137" t="inlineStr">
        <is>
          <t>Pricing/discount controls, raise sizing mode/target, and fees if needed, but keep net proceeds stable.</t>
        </is>
      </c>
      <c r="F33" s="137" t="inlineStr">
        <is>
          <t>Do not edit calculated ownership cells; do not change baseline capture cells.</t>
        </is>
      </c>
      <c r="G33" s="137">
        <f>IF(AND($F$15&lt;= $E$15-0.03,ABS($F$14-$E$14)/$E$14&lt;=0.01,$F$26="PASS"),"PASS","FAIL")</f>
        <v/>
      </c>
      <c r="H33" s="137" t="inlineStr">
        <is>
          <t>Dilution is driven by shares issued. Keeping net constant means you must trade off price, fees, and sizing efficiently.</t>
        </is>
      </c>
      <c r="I33" s="137" t="inlineStr"/>
    </row>
    <row r="34" ht="84" customHeight="1">
      <c r="B34" s="136" t="inlineStr">
        <is>
          <t>3. Increase free float +5pp, keep dilution within a cap</t>
        </is>
      </c>
      <c r="C34" s="137" t="inlineStr">
        <is>
          <t>Increase post free float by at least +5pp while keeping dilution at or below baseline +1pp.</t>
        </is>
      </c>
      <c r="D34" s="138" t="n"/>
      <c r="E34" s="137" t="inlineStr">
        <is>
          <t>Offer type, secondary shares (if used), and any allocation inputs that shift shares toward public investors.</t>
        </is>
      </c>
      <c r="F34" s="137" t="inlineStr">
        <is>
          <t>Do not edit formula cells in ownership table.</t>
        </is>
      </c>
      <c r="G34" s="137">
        <f>IF(AND($F$16&gt;= $E$16+0.05,$F$15&lt;= $E$15+0.01,$F$26="PASS"),"PASS","FAIL")</f>
        <v/>
      </c>
      <c r="H34" s="137" t="inlineStr">
        <is>
          <t>Float increases when shares are placed with public investors (sell-down or rump to float). Cap forces you to keep dilution optics under control.</t>
        </is>
      </c>
      <c r="I34" s="137" t="inlineStr"/>
    </row>
    <row r="35" ht="84" customHeight="1">
      <c r="B35" s="136" t="inlineStr">
        <is>
          <t>4. Reduce leverage by -0.5x using use-of-proceeds only</t>
        </is>
      </c>
      <c r="C35" s="137" t="inlineStr">
        <is>
          <t>Achieve at least -0.5x leverage improvement versus baseline by changing only the use-of-proceeds split.</t>
        </is>
      </c>
      <c r="D35" s="138" t="n"/>
      <c r="E35" s="137" t="inlineStr">
        <is>
          <t>01_CONTROL use-of-proceeds % (E46:E48) only.</t>
        </is>
      </c>
      <c r="F35" s="137" t="inlineStr">
        <is>
          <t>Do not change proceeds inputs (price/fees/size).</t>
        </is>
      </c>
      <c r="G35" s="137">
        <f>IF(AND($F$17&lt;= $E$17-0.5,ABS($F$14-$E$14)/$E$14&lt;=0.005,$F$26="PASS"),"PASS","FAIL")</f>
        <v/>
      </c>
      <c r="H35" s="137" t="inlineStr">
        <is>
          <t>Leverage improves when more net proceeds go to debt paydown. Net proceeds should stay unchanged if you only reallocate.</t>
        </is>
      </c>
      <c r="I35" s="137" t="inlineStr"/>
    </row>
    <row r="36" ht="84" customHeight="1">
      <c r="B36" s="136" t="inlineStr">
        <is>
          <t>5. Rights: take-up 80% → 60% and observe rump</t>
        </is>
      </c>
      <c r="C36" s="137" t="inlineStr">
        <is>
          <t>Set take-up to 60% and show rump shares increase versus baseline.</t>
        </is>
      </c>
      <c r="D36" s="138" t="n"/>
      <c r="E36" s="137" t="inlineStr">
        <is>
          <t>01_CONTROL take-up scenario (E18) only.</t>
        </is>
      </c>
      <c r="F36" s="137" t="inlineStr">
        <is>
          <t>Do not change offer size or price for this drill.</t>
        </is>
      </c>
      <c r="G36" s="137">
        <f>IF(AND($F$20=0.6,$F$23&gt;$E$23,$F$26="PASS"),"PASS","FAIL")</f>
        <v/>
      </c>
      <c r="H36" s="137" t="inlineStr">
        <is>
          <t>Lower take-up reduces subscribed shares and increases rump, changing who buys the shares and shifting execution risk.</t>
        </is>
      </c>
      <c r="I36" s="137" t="inlineStr"/>
    </row>
    <row r="37" ht="84" customHeight="1">
      <c r="B37" s="136" t="inlineStr">
        <is>
          <t>6. Rights: hold TERP stable while changing Ps and subscription ratio</t>
        </is>
      </c>
      <c r="C37" s="137" t="inlineStr">
        <is>
          <t>Change issue price and subscription ratio materially while keeping TERP within ±0.1% of baseline.</t>
        </is>
      </c>
      <c r="D37" s="138" t="n"/>
      <c r="E37" s="137" t="inlineStr">
        <is>
          <t>Raise target and/or discount (to change Ps), and any rights sizing inputs that move M/N.</t>
        </is>
      </c>
      <c r="F37" s="137" t="inlineStr">
        <is>
          <t>Do not change reference price P0.</t>
        </is>
      </c>
      <c r="G37" s="137">
        <f>IF(AND(ABS($F$18-$E$18)/$E$18&lt;=0.001,ABS($F$13-$E$13)/$E$13&gt;=0.02,ABS($F$19-$E$19)/$E$19&gt;=0.10,$F$26="PASS"),"PASS","FAIL")</f>
        <v/>
      </c>
      <c r="H37" s="137" t="inlineStr">
        <is>
          <t>TERP is a weighted average. You can offset price changes with ratio changes to keep TERP approximately constant.</t>
        </is>
      </c>
      <c r="I37" s="137" t="inlineStr"/>
    </row>
    <row r="38" ht="84" customHeight="1">
      <c r="B38" s="136" t="inlineStr">
        <is>
          <t>7. ABB: minimise discount while still raising the target</t>
        </is>
      </c>
      <c r="C38" s="137" t="inlineStr">
        <is>
          <t>Switch to ABB and reduce discount to at most 4% while keeping net proceeds at or above baseline.</t>
        </is>
      </c>
      <c r="D38" s="138" t="n"/>
      <c r="E38" s="137" t="inlineStr">
        <is>
          <t>Offer type (01_CONTROL!E8), discount/price controls, and sizing to keep proceeds.</t>
        </is>
      </c>
      <c r="F38" s="137" t="inlineStr">
        <is>
          <t>Do not change reference price definition.</t>
        </is>
      </c>
      <c r="G38" s="137">
        <f>IF(AND('01_CONTROL'!E8="ABB",$F$12&lt;=0.04,$F$14&gt;=$E$14,$F$26="PASS"),"PASS","FAIL")</f>
        <v/>
      </c>
      <c r="H38" s="137" t="inlineStr">
        <is>
          <t>Tighter pricing is harder to execute. To keep proceeds constant you must solve sizing and fee impacts without relying on a big discount.</t>
        </is>
      </c>
      <c r="I38" s="137" t="inlineStr"/>
    </row>
    <row r="39" ht="84" customHeight="1">
      <c r="B39" s="136" t="inlineStr">
        <is>
          <t>8. Switch offer type and write a 6-bullet recommendation</t>
        </is>
      </c>
      <c r="C39" s="137" t="inlineStr">
        <is>
          <t>Switch offer type away from baseline and draft a 6-bullet recommendation referencing KPIs (dilution, float, proceeds, execution risk).</t>
        </is>
      </c>
      <c r="D39" s="138" t="n"/>
      <c r="E39" s="137" t="inlineStr">
        <is>
          <t>Offer type toggle (01_CONTROL!E8) plus any method-specific inputs needed for coherence.</t>
        </is>
      </c>
      <c r="F39" s="137" t="inlineStr">
        <is>
          <t>Do not edit formula cells.</t>
        </is>
      </c>
      <c r="G39" s="137">
        <f>IF(AND('01_CONTROL'!E8&lt;&gt;$E$25,$F$26="PASS"),"PASS","FAIL")</f>
        <v/>
      </c>
      <c r="H39" s="137" t="inlineStr">
        <is>
          <t>Offer type changes speed, certainty, and fairness. Your recommendation must connect method choice to KPIs and risks.</t>
        </is>
      </c>
      <c r="I39" s="137" t="inlineStr"/>
    </row>
    <row r="40" ht="84" customHeight="1">
      <c r="B40" s="136" t="inlineStr">
        <is>
          <t>9. Fix a definition mismatch using controls</t>
        </is>
      </c>
      <c r="C40" s="137" t="inlineStr">
        <is>
          <t>Adjust controls/inputs to resolve an inconsistency so checks return PASS.</t>
        </is>
      </c>
      <c r="D40" s="138" t="n"/>
      <c r="E40" s="137" t="inlineStr">
        <is>
          <t>Only definition and input cells in 01_CONTROL and 02_ISSUER_INPUTS.</t>
        </is>
      </c>
      <c r="F40" s="137" t="inlineStr">
        <is>
          <t>Do not patch formulas or links.</t>
        </is>
      </c>
      <c r="G40" s="137">
        <f>IF($F$26="PASS","PASS","FAIL")</f>
        <v/>
      </c>
      <c r="H40" s="137" t="inlineStr">
        <is>
          <t>Most model failures are definition mismatches. Fix via inputs, then validate via 90_CHECKS before communicating numbers.</t>
        </is>
      </c>
      <c r="I40" s="137" t="inlineStr"/>
    </row>
    <row r="41" ht="84" customHeight="1">
      <c r="B41" s="136" t="inlineStr">
        <is>
          <t>10. Stress: weaker EBITDA and show leverage impact</t>
        </is>
      </c>
      <c r="C41" s="137" t="inlineStr">
        <is>
          <t>Reduce EBITDA by 10% and confirm leverage worsens versus baseline (while checks remain PASS).</t>
        </is>
      </c>
      <c r="D41" s="138" t="n"/>
      <c r="E41" s="137" t="inlineStr">
        <is>
          <t>EBITDA input (02_ISSUER_INPUTS!E29) only.</t>
        </is>
      </c>
      <c r="F41" s="137" t="inlineStr">
        <is>
          <t>Do not change proceeds inputs.</t>
        </is>
      </c>
      <c r="G41" s="137">
        <f>IF(AND($F$27&lt;=0.9*$E$27,$F$17&gt;$E$17,$F$26="PASS"),"PASS","FAIL")</f>
        <v/>
      </c>
      <c r="H41" s="137" t="inlineStr">
        <is>
          <t>Leverage sensitivity is often driven by EBITDA. This drill builds intuition for denominator risk.</t>
        </is>
      </c>
      <c r="I41" s="137" t="inlineStr"/>
    </row>
    <row r="42" ht="84" customHeight="1">
      <c r="B42" s="136" t="inlineStr">
        <is>
          <t>11. Underwriting: issued shares stay at M when take-up falls</t>
        </is>
      </c>
      <c r="C42" s="137" t="inlineStr">
        <is>
          <t>Set underwriting to FULLY UNDERWRITTEN and take-up to 60%, then show issued shares equals M (total new shares).</t>
        </is>
      </c>
      <c r="D42" s="138" t="n"/>
      <c r="E42" s="137" t="inlineStr">
        <is>
          <t>01_CONTROL underwriting toggle (E16) and take-up scenario (E18).</t>
        </is>
      </c>
      <c r="F42" s="137" t="inlineStr">
        <is>
          <t>Do not change offer size.</t>
        </is>
      </c>
      <c r="G42" s="137">
        <f>IF(AND('01_CONTROL'!E16="FULLY UNDERWRITTEN",$F$20=0.6,$F$24=$F$21,$F$22&lt;$F$21,$F$26="PASS"),"PASS","FAIL")</f>
        <v/>
      </c>
      <c r="H42" s="137" t="inlineStr">
        <is>
          <t>Underwriting converts take-up uncertainty into proceeds certainty. Issued shares remain M; the gap to subscribed is rump exposure.</t>
        </is>
      </c>
      <c r="I42" s="137" t="inlineStr"/>
    </row>
    <row r="43" ht="84" customHeight="1">
      <c r="B43" s="136" t="inlineStr">
        <is>
          <t>12. Write a 6-bullet deal mechanics narrative</t>
        </is>
      </c>
      <c r="C43" s="137" t="inlineStr">
        <is>
          <t>Write a 6-bullet narrative explaining: method, price/discount, shares+dilution, float, proceeds+allocation, key risks+mitigants.</t>
        </is>
      </c>
      <c r="D43" s="138" t="n"/>
      <c r="E43" s="137" t="inlineStr">
        <is>
          <t>No model changes required.</t>
        </is>
      </c>
      <c r="F43" s="137" t="inlineStr">
        <is>
          <t>None.</t>
        </is>
      </c>
      <c r="G43" s="137">
        <f>IF($F$26="PASS","PASS","FAIL")</f>
        <v/>
      </c>
      <c r="H43" s="137" t="inlineStr">
        <is>
          <t>This trains you to synthesise mechanics into an IC-ready narrative using KPIs and scripts.</t>
        </is>
      </c>
      <c r="I43" s="137" t="inlineStr"/>
    </row>
    <row r="44"/>
    <row r="45"/>
    <row r="46" ht="18" customHeight="1">
      <c r="B46" s="132" t="inlineStr">
        <is>
          <t>SCORE TRACKER (LOG YOUR ATTEMPTS)</t>
        </is>
      </c>
      <c r="C46" s="133" t="n"/>
      <c r="D46" s="133" t="n"/>
      <c r="E46" s="133" t="n"/>
      <c r="F46" s="133" t="n"/>
      <c r="G46" s="133" t="n"/>
      <c r="H46" s="133" t="n"/>
      <c r="I46" s="133" t="n"/>
      <c r="J46" s="133" t="n"/>
      <c r="K46" s="133" t="n"/>
      <c r="L46" s="133" t="n"/>
    </row>
    <row r="47" ht="24" customHeight="1">
      <c r="B47" s="117" t="inlineStr">
        <is>
          <t>Date</t>
        </is>
      </c>
      <c r="C47" s="117" t="inlineStr">
        <is>
          <t>Drill #</t>
        </is>
      </c>
      <c r="D47" s="117" t="inlineStr">
        <is>
          <t>Pass? (Y/N)</t>
        </is>
      </c>
      <c r="E47" s="117" t="inlineStr">
        <is>
          <t>Time (min)</t>
        </is>
      </c>
      <c r="F47" s="117" t="inlineStr">
        <is>
          <t>Notes</t>
        </is>
      </c>
    </row>
    <row r="48" ht="20" customHeight="1">
      <c r="B48" s="139" t="inlineStr"/>
      <c r="C48" s="139" t="inlineStr"/>
      <c r="D48" s="139" t="inlineStr"/>
      <c r="E48" s="139" t="inlineStr"/>
      <c r="F48" s="137" t="inlineStr"/>
    </row>
    <row r="49" ht="20" customHeight="1">
      <c r="B49" s="139" t="inlineStr"/>
      <c r="C49" s="139" t="inlineStr"/>
      <c r="D49" s="139" t="inlineStr"/>
      <c r="E49" s="139" t="inlineStr"/>
      <c r="F49" s="137" t="inlineStr"/>
    </row>
    <row r="50" ht="20" customHeight="1">
      <c r="B50" s="139" t="inlineStr"/>
      <c r="C50" s="139" t="inlineStr"/>
      <c r="D50" s="139" t="inlineStr"/>
      <c r="E50" s="139" t="inlineStr"/>
      <c r="F50" s="137" t="inlineStr"/>
    </row>
    <row r="51" ht="20" customHeight="1">
      <c r="B51" s="139" t="inlineStr"/>
      <c r="C51" s="139" t="inlineStr"/>
      <c r="D51" s="139" t="inlineStr"/>
      <c r="E51" s="139" t="inlineStr"/>
      <c r="F51" s="137" t="inlineStr"/>
    </row>
    <row r="52" ht="20" customHeight="1">
      <c r="B52" s="139" t="inlineStr"/>
      <c r="C52" s="139" t="inlineStr"/>
      <c r="D52" s="139" t="inlineStr"/>
      <c r="E52" s="139" t="inlineStr"/>
      <c r="F52" s="137" t="inlineStr"/>
    </row>
    <row r="53" ht="20" customHeight="1">
      <c r="B53" s="139" t="inlineStr"/>
      <c r="C53" s="139" t="inlineStr"/>
      <c r="D53" s="139" t="inlineStr"/>
      <c r="E53" s="139" t="inlineStr"/>
      <c r="F53" s="137" t="inlineStr"/>
    </row>
    <row r="54" ht="20" customHeight="1">
      <c r="B54" s="139" t="inlineStr"/>
      <c r="C54" s="139" t="inlineStr"/>
      <c r="D54" s="139" t="inlineStr"/>
      <c r="E54" s="139" t="inlineStr"/>
      <c r="F54" s="137" t="inlineStr"/>
    </row>
    <row r="55" ht="20" customHeight="1">
      <c r="B55" s="139" t="inlineStr"/>
      <c r="C55" s="139" t="inlineStr"/>
      <c r="D55" s="139" t="inlineStr"/>
      <c r="E55" s="139" t="inlineStr"/>
      <c r="F55" s="137" t="inlineStr"/>
    </row>
    <row r="56" ht="20" customHeight="1">
      <c r="B56" s="139" t="inlineStr"/>
      <c r="C56" s="139" t="inlineStr"/>
      <c r="D56" s="139" t="inlineStr"/>
      <c r="E56" s="139" t="inlineStr"/>
      <c r="F56" s="137" t="inlineStr"/>
    </row>
    <row r="57" ht="20" customHeight="1">
      <c r="B57" s="139" t="inlineStr"/>
      <c r="C57" s="139" t="inlineStr"/>
      <c r="D57" s="139" t="inlineStr"/>
      <c r="E57" s="139" t="inlineStr"/>
      <c r="F57" s="137" t="inlineStr"/>
    </row>
    <row r="58" ht="20" customHeight="1">
      <c r="B58" s="139" t="inlineStr"/>
      <c r="C58" s="139" t="inlineStr"/>
      <c r="D58" s="139" t="inlineStr"/>
      <c r="E58" s="139" t="inlineStr"/>
      <c r="F58" s="137" t="inlineStr"/>
    </row>
    <row r="59" ht="20" customHeight="1">
      <c r="B59" s="139" t="inlineStr"/>
      <c r="C59" s="139" t="inlineStr"/>
      <c r="D59" s="139" t="inlineStr"/>
      <c r="E59" s="139" t="inlineStr"/>
      <c r="F59" s="137" t="inlineStr"/>
    </row>
    <row r="60" ht="20" customHeight="1">
      <c r="B60" s="139" t="inlineStr"/>
      <c r="C60" s="139" t="inlineStr"/>
      <c r="D60" s="139" t="inlineStr"/>
      <c r="E60" s="139" t="inlineStr"/>
      <c r="F60" s="137" t="inlineStr"/>
    </row>
    <row r="61" ht="20" customHeight="1">
      <c r="B61" s="139" t="inlineStr"/>
      <c r="C61" s="139" t="inlineStr"/>
      <c r="D61" s="139" t="inlineStr"/>
      <c r="E61" s="139" t="inlineStr"/>
      <c r="F61" s="137" t="inlineStr"/>
    </row>
    <row r="62" ht="20" customHeight="1">
      <c r="B62" s="139" t="inlineStr"/>
      <c r="C62" s="139" t="inlineStr"/>
      <c r="D62" s="139" t="inlineStr"/>
      <c r="E62" s="139" t="inlineStr"/>
      <c r="F62" s="137" t="inlineStr"/>
    </row>
    <row r="63" ht="20" customHeight="1">
      <c r="B63" s="139" t="inlineStr"/>
      <c r="C63" s="139" t="inlineStr"/>
      <c r="D63" s="139" t="inlineStr"/>
      <c r="E63" s="139" t="inlineStr"/>
      <c r="F63" s="137" t="inlineStr"/>
    </row>
    <row r="64" ht="20" customHeight="1">
      <c r="B64" s="139" t="inlineStr"/>
      <c r="C64" s="139" t="inlineStr"/>
      <c r="D64" s="139" t="inlineStr"/>
      <c r="E64" s="139" t="inlineStr"/>
      <c r="F64" s="137" t="inlineStr"/>
    </row>
    <row r="65" ht="20" customHeight="1">
      <c r="B65" s="139" t="inlineStr"/>
      <c r="C65" s="139" t="inlineStr"/>
      <c r="D65" s="139" t="inlineStr"/>
      <c r="E65" s="139" t="inlineStr"/>
      <c r="F65" s="137" t="inlineStr"/>
    </row>
    <row r="66" ht="20" customHeight="1">
      <c r="B66" s="139" t="inlineStr"/>
      <c r="C66" s="139" t="inlineStr"/>
      <c r="D66" s="139" t="inlineStr"/>
      <c r="E66" s="139" t="inlineStr"/>
      <c r="F66" s="137" t="inlineStr"/>
    </row>
    <row r="67" ht="20" customHeight="1">
      <c r="B67" s="139" t="inlineStr"/>
      <c r="C67" s="139" t="inlineStr"/>
      <c r="D67" s="139" t="inlineStr"/>
      <c r="E67" s="139" t="inlineStr"/>
      <c r="F67" s="137" t="inlineStr"/>
    </row>
    <row r="68" ht="20" customHeight="1">
      <c r="B68" s="139" t="inlineStr"/>
      <c r="C68" s="139" t="inlineStr"/>
      <c r="D68" s="139" t="inlineStr"/>
      <c r="E68" s="139" t="inlineStr"/>
      <c r="F68" s="137" t="inlineStr"/>
    </row>
    <row r="69" ht="20" customHeight="1">
      <c r="B69" s="139" t="inlineStr"/>
      <c r="C69" s="139" t="inlineStr"/>
      <c r="D69" s="139" t="inlineStr"/>
      <c r="E69" s="139" t="inlineStr"/>
      <c r="F69" s="137" t="inlineStr"/>
    </row>
    <row r="70" ht="20" customHeight="1">
      <c r="B70" s="139" t="inlineStr"/>
      <c r="C70" s="139" t="inlineStr"/>
      <c r="D70" s="139" t="inlineStr"/>
      <c r="E70" s="139" t="inlineStr"/>
      <c r="F70" s="137" t="inlineStr"/>
    </row>
    <row r="71" ht="20" customHeight="1">
      <c r="B71" s="139" t="inlineStr"/>
      <c r="C71" s="139" t="inlineStr"/>
      <c r="D71" s="139" t="inlineStr"/>
      <c r="E71" s="139" t="inlineStr"/>
      <c r="F71" s="137" t="inlineStr"/>
    </row>
    <row r="72" ht="20" customHeight="1">
      <c r="B72" s="139" t="inlineStr"/>
      <c r="C72" s="139" t="inlineStr"/>
      <c r="D72" s="139" t="inlineStr"/>
      <c r="E72" s="139" t="inlineStr"/>
      <c r="F72" s="137" t="inlineStr"/>
    </row>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ht="15" customHeight="1"/>
  </sheetData>
  <mergeCells count="4">
    <mergeCell ref="B5:L5"/>
    <mergeCell ref="B10:L10"/>
    <mergeCell ref="B30:L30"/>
    <mergeCell ref="B46:L46"/>
  </mergeCells>
  <hyperlinks>
    <hyperlink xmlns:r="http://schemas.openxmlformats.org/officeDocument/2006/relationships" ref="C12" r:id="rId1"/>
    <hyperlink xmlns:r="http://schemas.openxmlformats.org/officeDocument/2006/relationships" ref="C13" r:id="rId2"/>
    <hyperlink xmlns:r="http://schemas.openxmlformats.org/officeDocument/2006/relationships" ref="C14" r:id="rId3"/>
    <hyperlink xmlns:r="http://schemas.openxmlformats.org/officeDocument/2006/relationships" ref="C15" r:id="rId4"/>
    <hyperlink xmlns:r="http://schemas.openxmlformats.org/officeDocument/2006/relationships" ref="C16" r:id="rId5"/>
    <hyperlink xmlns:r="http://schemas.openxmlformats.org/officeDocument/2006/relationships" ref="C17" r:id="rId6"/>
    <hyperlink xmlns:r="http://schemas.openxmlformats.org/officeDocument/2006/relationships" ref="C18" r:id="rId7"/>
    <hyperlink xmlns:r="http://schemas.openxmlformats.org/officeDocument/2006/relationships" ref="C20" r:id="rId8"/>
    <hyperlink xmlns:r="http://schemas.openxmlformats.org/officeDocument/2006/relationships" ref="C21" r:id="rId9"/>
    <hyperlink xmlns:r="http://schemas.openxmlformats.org/officeDocument/2006/relationships" ref="C22" r:id="rId10"/>
    <hyperlink xmlns:r="http://schemas.openxmlformats.org/officeDocument/2006/relationships" ref="C23" r:id="rId11"/>
    <hyperlink xmlns:r="http://schemas.openxmlformats.org/officeDocument/2006/relationships" ref="C24" r:id="rId12"/>
    <hyperlink xmlns:r="http://schemas.openxmlformats.org/officeDocument/2006/relationships" ref="C25" r:id="rId13"/>
    <hyperlink xmlns:r="http://schemas.openxmlformats.org/officeDocument/2006/relationships" ref="C26" r:id="rId14"/>
    <hyperlink xmlns:r="http://schemas.openxmlformats.org/officeDocument/2006/relationships" ref="C27" r:id="rId15"/>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B1:L46"/>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outlineLevelCol="0"/>
  <cols>
    <col width="2" customWidth="1" min="1" max="1"/>
    <col width="38" customWidth="1" min="2" max="2"/>
    <col width="24" customWidth="1" min="3" max="3"/>
    <col width="2"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2" customWidth="1" min="12" max="12"/>
    <col width="12" customWidth="1" min="13" max="13"/>
    <col width="12" customWidth="1" min="14" max="14"/>
    <col width="12" customWidth="1" min="15" max="15"/>
    <col width="12" customWidth="1" min="16" max="16"/>
    <col width="12" customWidth="1" min="17" max="17"/>
    <col width="12" customWidth="1" min="18" max="18"/>
  </cols>
  <sheetData>
    <row r="1" ht="15" customHeight="1">
      <c r="B1" s="78" t="inlineStr">
        <is>
          <t>Dashboard</t>
        </is>
      </c>
      <c r="C1" s="78" t="inlineStr">
        <is>
          <t>Control</t>
        </is>
      </c>
      <c r="D1" s="78" t="inlineStr">
        <is>
          <t>Issuer</t>
        </is>
      </c>
      <c r="E1" s="78" t="inlineStr">
        <is>
          <t>Offer</t>
        </is>
      </c>
      <c r="F1" s="78" t="inlineStr">
        <is>
          <t>Checks</t>
        </is>
      </c>
      <c r="G1" s="78" t="inlineStr">
        <is>
          <t>Learn</t>
        </is>
      </c>
    </row>
    <row r="2" ht="18" customHeight="1">
      <c r="B2" s="120" t="inlineStr">
        <is>
          <t>ECM Learning Layer</t>
        </is>
      </c>
    </row>
    <row r="3" ht="15" customHeight="1">
      <c r="B3" s="121" t="inlineStr">
        <is>
          <t>85) Mistake Library + Training Mode (common ECM modelling pitfalls, how to detect, and how to fix)</t>
        </is>
      </c>
    </row>
    <row r="4" ht="15" customHeight="1"/>
    <row r="5" ht="18" customHeight="1">
      <c r="B5" s="132" t="inlineStr">
        <is>
          <t>OPTIONAL TRAINING MODE (SIMULATED)</t>
        </is>
      </c>
      <c r="C5" s="133" t="n"/>
      <c r="D5" s="133" t="n"/>
      <c r="E5" s="133" t="n"/>
      <c r="F5" s="133" t="n"/>
      <c r="G5" s="133" t="n"/>
      <c r="H5" s="133" t="n"/>
      <c r="I5" s="133" t="n"/>
      <c r="J5" s="133" t="n"/>
      <c r="K5" s="133" t="n"/>
      <c r="L5" s="133" t="n"/>
    </row>
    <row r="6" ht="15" customHeight="1">
      <c r="B6" s="134" t="inlineStr">
        <is>
          <t>TRAINING_MODE (type ON/OFF):</t>
        </is>
      </c>
      <c r="E6" s="140" t="inlineStr">
        <is>
          <t>OFF</t>
        </is>
      </c>
    </row>
    <row r="7" ht="15" customHeight="1">
      <c r="B7" t="inlineStr">
        <is>
          <t>If ON: the sheet shows 5 'planted' issues to hunt. To keep the base model outputs identical, issues are simulated (you create them via allowed input edits and confirm 90_CHECKS flags them).</t>
        </is>
      </c>
    </row>
    <row r="8" ht="15" customHeight="1"/>
    <row r="9" ht="18" customHeight="1">
      <c r="B9" s="130" t="inlineStr">
        <is>
          <t>Simulated issues (when TRAINING_MODE=ON):</t>
        </is>
      </c>
    </row>
    <row r="10" ht="18" customHeight="1">
      <c r="B10" s="130" t="inlineStr">
        <is>
          <t>1) Share roll-forward mismatch: change pre shares input so pre + new ≠ post (expect a cap table / roll-forward check to fail).</t>
        </is>
      </c>
    </row>
    <row r="11" ht="18" customHeight="1">
      <c r="B11" s="130" t="inlineStr">
        <is>
          <t>2) TERP logic break: set reference price or issue price to blank/zero (expect rights checks to fail or TERP to show error).</t>
        </is>
      </c>
    </row>
    <row r="12" ht="18" customHeight="1">
      <c r="B12" s="130" t="inlineStr">
        <is>
          <t>3) Fee sign error: input a negative fee % or fixed cost (expect net proceeds sanity check to fail).</t>
        </is>
      </c>
    </row>
    <row r="13" ht="18" customHeight="1">
      <c r="B13" s="130" t="inlineStr">
        <is>
          <t>4) Reference price mismatch: switch reference definition without updating narrative (expect discount/TERP to look inconsistent vs stated basis).</t>
        </is>
      </c>
    </row>
    <row r="14" ht="18" customHeight="1">
      <c r="B14" s="130" t="inlineStr">
        <is>
          <t>5) Broken link placeholder: intentionally point an input to a wrong cell (expect a #REF or a missing input warning if checks exist).</t>
        </is>
      </c>
    </row>
    <row r="15" ht="15" customHeight="1"/>
    <row r="16" ht="15" customHeight="1">
      <c r="B16" s="134" t="inlineStr">
        <is>
          <t>Answer key (what to do):</t>
        </is>
      </c>
    </row>
    <row r="17" ht="15" customHeight="1">
      <c r="B17" s="141" t="inlineStr">
        <is>
          <t>• Use 90_CHECKS as your gate. You pass training mode only when you can (i) reproduce the issue, (ii) locate the root cause in inputs/definitions, (iii) restore PASS without touching calc cells.</t>
        </is>
      </c>
    </row>
    <row r="18" ht="15" customHeight="1"/>
    <row r="19" ht="15" customHeight="1"/>
    <row r="20" ht="18" customHeight="1">
      <c r="B20" s="132" t="inlineStr">
        <is>
          <t>MISTAKE LIBRARY (25 COMMON ECM MODELLING ERRORS)</t>
        </is>
      </c>
      <c r="C20" s="133" t="n"/>
      <c r="D20" s="133" t="n"/>
      <c r="E20" s="133" t="n"/>
      <c r="F20" s="133" t="n"/>
      <c r="G20" s="133" t="n"/>
      <c r="H20" s="133" t="n"/>
      <c r="I20" s="133" t="n"/>
      <c r="J20" s="133" t="n"/>
      <c r="K20" s="133" t="n"/>
      <c r="L20" s="133" t="n"/>
    </row>
    <row r="21" ht="30" customHeight="1">
      <c r="B21" s="117" t="inlineStr">
        <is>
          <t>Category</t>
        </is>
      </c>
      <c r="C21" s="117" t="inlineStr">
        <is>
          <t>Mistake</t>
        </is>
      </c>
      <c r="D21" s="117" t="inlineStr">
        <is>
          <t>What it breaks / causes</t>
        </is>
      </c>
      <c r="E21" s="117" t="inlineStr"/>
      <c r="F21" s="117" t="inlineStr">
        <is>
          <t>How to detect (checks / symptoms)</t>
        </is>
      </c>
      <c r="G21" s="117" t="inlineStr">
        <is>
          <t>How to fix (action)</t>
        </is>
      </c>
    </row>
    <row r="22" ht="54" customHeight="1">
      <c r="B22" s="136" t="inlineStr">
        <is>
          <t>Share mechanics</t>
        </is>
      </c>
      <c r="C22" s="137" t="inlineStr">
        <is>
          <t>Pre/post share roll-forward mismatch</t>
        </is>
      </c>
      <c r="D22" s="137" t="inlineStr">
        <is>
          <t>Post shares do not equal pre shares + new shares (dilution wrong).</t>
        </is>
      </c>
      <c r="E22" s="138" t="n"/>
      <c r="F22" s="137" t="inlineStr">
        <is>
          <t>90_CHECKS roll-forward FAIL; ownership totals ≠100%.</t>
        </is>
      </c>
      <c r="G22" s="137" t="inlineStr">
        <is>
          <t>Fix pre shares input; ensure new shares block is referenced consistently.</t>
        </is>
      </c>
    </row>
    <row r="23" ht="54" customHeight="1">
      <c r="B23" s="136" t="inlineStr">
        <is>
          <t>Share mechanics</t>
        </is>
      </c>
      <c r="C23" s="137" t="inlineStr">
        <is>
          <t>Secondary shares treated as issuer cash</t>
        </is>
      </c>
      <c r="D23" s="137" t="inlineStr">
        <is>
          <t>Net proceeds overstated; issuer cash bridge wrong.</t>
        </is>
      </c>
      <c r="E23" s="138" t="n"/>
      <c r="F23" s="137" t="inlineStr">
        <is>
          <t>Proceeds tab shows issuer cash &gt; primary proceeds; CFO questions.</t>
        </is>
      </c>
      <c r="G23" s="137" t="inlineStr">
        <is>
          <t>Split primary vs secondary; only primary proceeds flow to cash.</t>
        </is>
      </c>
    </row>
    <row r="24" ht="54" customHeight="1">
      <c r="B24" s="136" t="inlineStr">
        <is>
          <t>Share mechanics</t>
        </is>
      </c>
      <c r="C24" s="137" t="inlineStr">
        <is>
          <t>Free float flagging wrong (insiders marked as float)</t>
        </is>
      </c>
      <c r="D24" s="137" t="inlineStr">
        <is>
          <t>Free float % overstated; index eligibility wrong.</t>
        </is>
      </c>
      <c r="E24" s="138" t="n"/>
      <c r="F24" s="137" t="inlineStr">
        <is>
          <t>Free float jumps unrealistically; top holder appears in float.</t>
        </is>
      </c>
      <c r="G24" s="137" t="inlineStr">
        <is>
          <t>Correct holder classification inputs; re-check ownership table.</t>
        </is>
      </c>
    </row>
    <row r="25" ht="54" customHeight="1">
      <c r="B25" s="136" t="inlineStr">
        <is>
          <t>Share mechanics</t>
        </is>
      </c>
      <c r="C25" s="137" t="inlineStr">
        <is>
          <t>Mixing shares and % in ownership inputs</t>
        </is>
      </c>
      <c r="D25" s="137" t="inlineStr">
        <is>
          <t>Ownership percentages drift; sums not 100%.</t>
        </is>
      </c>
      <c r="E25" s="138" t="n"/>
      <c r="F25" s="137" t="inlineStr">
        <is>
          <t>Ownership totals ≠100% or negative holder values.</t>
        </is>
      </c>
      <c r="G25" s="137" t="inlineStr">
        <is>
          <t>Standardise: input shares only, calculate %; use checks.</t>
        </is>
      </c>
    </row>
    <row r="26" ht="54" customHeight="1">
      <c r="B26" s="136" t="inlineStr">
        <is>
          <t>Share mechanics</t>
        </is>
      </c>
      <c r="C26" s="137" t="inlineStr">
        <is>
          <t>Using share-count dilution as EPS dilution</t>
        </is>
      </c>
      <c r="D26" s="137" t="inlineStr">
        <is>
          <t>Overstates economic impact; wrong narrative.</t>
        </is>
      </c>
      <c r="E26" s="138" t="n"/>
      <c r="F26" s="137" t="inlineStr">
        <is>
          <t>Stakeholders ask why EPS math missing.</t>
        </is>
      </c>
      <c r="G26" s="137" t="inlineStr">
        <is>
          <t>Clarify definition: share-count dilution only; add EPS module separately if needed.</t>
        </is>
      </c>
    </row>
    <row r="27" ht="54" customHeight="1">
      <c r="B27" s="136" t="inlineStr">
        <is>
          <t>Rights mechanics</t>
        </is>
      </c>
      <c r="C27" s="137" t="inlineStr">
        <is>
          <t>Subscription ratio inverted (N/M vs M/N)</t>
        </is>
      </c>
      <c r="D27" s="137" t="inlineStr">
        <is>
          <t>Entitlements wrong; take-up, rump, TERP wrong.</t>
        </is>
      </c>
      <c r="E27" s="138" t="n"/>
      <c r="F27" s="137" t="inlineStr">
        <is>
          <t>Rights outputs show impossible entitlements; check fails.</t>
        </is>
      </c>
      <c r="G27" s="137" t="inlineStr">
        <is>
          <t>Recompute ratio and label clearly (M new, N existing).</t>
        </is>
      </c>
    </row>
    <row r="28" ht="54" customHeight="1">
      <c r="B28" s="136" t="inlineStr">
        <is>
          <t>Rights mechanics</t>
        </is>
      </c>
      <c r="C28" s="137" t="inlineStr">
        <is>
          <t>TERP uses wrong reference price definition</t>
        </is>
      </c>
      <c r="D28" s="137" t="inlineStr">
        <is>
          <t>Right value wrong; fairness analysis wrong.</t>
        </is>
      </c>
      <c r="E28" s="138" t="n"/>
      <c r="F28" s="137" t="inlineStr">
        <is>
          <t>TERP inconsistent vs stated P0; discount optics odd.</t>
        </is>
      </c>
      <c r="G28" s="137" t="inlineStr">
        <is>
          <t>Lock reference price definition; document date/time.</t>
        </is>
      </c>
    </row>
    <row r="29" ht="54" customHeight="1">
      <c r="B29" s="136" t="inlineStr">
        <is>
          <t>Rights mechanics</t>
        </is>
      </c>
      <c r="C29" s="137" t="inlineStr">
        <is>
          <t>Right value sign error (TERP - Ps vs Ps - TERP)</t>
        </is>
      </c>
      <c r="D29" s="137" t="inlineStr">
        <is>
          <t>Shows negative right value; wrong conclusion.</t>
        </is>
      </c>
      <c r="E29" s="138" t="n"/>
      <c r="F29" s="137" t="inlineStr">
        <is>
          <t>Right value negative in normal cases.</t>
        </is>
      </c>
      <c r="G29" s="137" t="inlineStr">
        <is>
          <t>Use Right value = max(TERP - Ps,0) per right-share logic used.</t>
        </is>
      </c>
    </row>
    <row r="30" ht="54" customHeight="1">
      <c r="B30" s="136" t="inlineStr">
        <is>
          <t>Rights mechanics</t>
        </is>
      </c>
      <c r="C30" s="137" t="inlineStr">
        <is>
          <t>Take-up applied to total new shares, not entitlement</t>
        </is>
      </c>
      <c r="D30" s="137" t="inlineStr">
        <is>
          <t>Subscribed shares overstated; rump understated.</t>
        </is>
      </c>
      <c r="E30" s="138" t="n"/>
      <c r="F30" s="137" t="inlineStr">
        <is>
          <t>Rump too small even at low take-up.</t>
        </is>
      </c>
      <c r="G30" s="137" t="inlineStr">
        <is>
          <t>Subscribed = entitlement × take-up; rump = M - subscribed.</t>
        </is>
      </c>
    </row>
    <row r="31" ht="54" customHeight="1">
      <c r="B31" s="136" t="inlineStr">
        <is>
          <t>Rights mechanics</t>
        </is>
      </c>
      <c r="C31" s="137" t="inlineStr">
        <is>
          <t>Rump shares not capped at 0</t>
        </is>
      </c>
      <c r="D31" s="137" t="inlineStr">
        <is>
          <t>Negative rump; breaks allocation logic.</t>
        </is>
      </c>
      <c r="E31" s="138" t="n"/>
      <c r="F31" s="137" t="inlineStr">
        <is>
          <t>Rump becomes negative at take-up&gt;100% or rounding.</t>
        </is>
      </c>
      <c r="G31" s="137" t="inlineStr">
        <is>
          <t>Wrap with MAX(0,...) and validate take-up bounds.</t>
        </is>
      </c>
    </row>
    <row r="32" ht="54" customHeight="1">
      <c r="B32" s="136" t="inlineStr">
        <is>
          <t>Rights mechanics</t>
        </is>
      </c>
      <c r="C32" s="137" t="inlineStr">
        <is>
          <t>Ignoring rounding rules (entitlements not integer)</t>
        </is>
      </c>
      <c r="D32" s="137" t="inlineStr">
        <is>
          <t>Minor mismatches accumulate; checks fail.</t>
        </is>
      </c>
      <c r="E32" s="138" t="n"/>
      <c r="F32" s="137" t="inlineStr">
        <is>
          <t>Roll-forward differs by small number of shares.</t>
        </is>
      </c>
      <c r="G32" s="137" t="inlineStr">
        <is>
          <t>Apply rounding consistently and book rounding to rump.</t>
        </is>
      </c>
    </row>
    <row r="33" ht="54" customHeight="1">
      <c r="B33" s="136" t="inlineStr">
        <is>
          <t>Proceeds/fees</t>
        </is>
      </c>
      <c r="C33" s="137" t="inlineStr">
        <is>
          <t>Fee base wrong (charged on gross including secondary)</t>
        </is>
      </c>
      <c r="D33" s="137" t="inlineStr">
        <is>
          <t>Issuer net proceeds understated or overstated.</t>
        </is>
      </c>
      <c r="E33" s="138" t="n"/>
      <c r="F33" s="137" t="inlineStr">
        <is>
          <t>Fee line inconsistent with term sheet.</t>
        </is>
      </c>
      <c r="G33" s="137" t="inlineStr">
        <is>
          <t>Define fee base explicitly (primary only or total) and model accordingly.</t>
        </is>
      </c>
    </row>
    <row r="34" ht="54" customHeight="1">
      <c r="B34" s="136" t="inlineStr">
        <is>
          <t>Proceeds/fees</t>
        </is>
      </c>
      <c r="C34" s="137" t="inlineStr">
        <is>
          <t>Fixed fees double-counted</t>
        </is>
      </c>
      <c r="D34" s="137" t="inlineStr">
        <is>
          <t>Net proceeds too low; leverage impact understated.</t>
        </is>
      </c>
      <c r="E34" s="138" t="n"/>
      <c r="F34" s="137" t="inlineStr">
        <is>
          <t>Costs appear in both % fee and fixed cost lines.</t>
        </is>
      </c>
      <c r="G34" s="137" t="inlineStr">
        <is>
          <t>Deduplicate: choose one location for each cost item.</t>
        </is>
      </c>
    </row>
    <row r="35" ht="54" customHeight="1">
      <c r="B35" s="136" t="inlineStr">
        <is>
          <t>Proceeds/fees</t>
        </is>
      </c>
      <c r="C35" s="137" t="inlineStr">
        <is>
          <t>Sign error on fees/costs</t>
        </is>
      </c>
      <c r="D35" s="137" t="inlineStr">
        <is>
          <t>Net proceeds increases when fees increase.</t>
        </is>
      </c>
      <c r="E35" s="138" t="n"/>
      <c r="F35" s="137" t="inlineStr">
        <is>
          <t>Sensitivity behaves backwards; checks should fail.</t>
        </is>
      </c>
      <c r="G35" s="137" t="inlineStr">
        <is>
          <t>Standardise sign convention: proceeds positive, costs negative.</t>
        </is>
      </c>
    </row>
    <row r="36" ht="54" customHeight="1">
      <c r="B36" s="136" t="inlineStr">
        <is>
          <t>Proceeds/fees</t>
        </is>
      </c>
      <c r="C36" s="137" t="inlineStr">
        <is>
          <t>Using gross proceeds in BS bridge</t>
        </is>
      </c>
      <c r="D36" s="137" t="inlineStr">
        <is>
          <t>Cash and debt movements overstated.</t>
        </is>
      </c>
      <c r="E36" s="138" t="n"/>
      <c r="F36" s="137" t="inlineStr">
        <is>
          <t>Pro forma cash jump exceeds net proceeds.</t>
        </is>
      </c>
      <c r="G36" s="137" t="inlineStr">
        <is>
          <t>Bridge must use net primary proceeds after fees.</t>
        </is>
      </c>
    </row>
    <row r="37" ht="54" customHeight="1">
      <c r="B37" s="136" t="inlineStr">
        <is>
          <t>Proceeds/fees</t>
        </is>
      </c>
      <c r="C37" s="137" t="inlineStr">
        <is>
          <t>Primary/secondary mixed in 'new shares'</t>
        </is>
      </c>
      <c r="D37" s="137" t="inlineStr">
        <is>
          <t>Dilution wrong and inconsistent with proceeds.</t>
        </is>
      </c>
      <c r="E37" s="138" t="n"/>
      <c r="F37" s="137" t="inlineStr">
        <is>
          <t>New shares not matching primary shares.</t>
        </is>
      </c>
      <c r="G37" s="137" t="inlineStr">
        <is>
          <t>Separate primary new shares from secondary sell-down.</t>
        </is>
      </c>
    </row>
    <row r="38" ht="54" customHeight="1">
      <c r="B38" s="136" t="inlineStr">
        <is>
          <t>Definitions</t>
        </is>
      </c>
      <c r="C38" s="137" t="inlineStr">
        <is>
          <t>Reference price date mismatch vs narrative</t>
        </is>
      </c>
      <c r="D38" s="137" t="inlineStr">
        <is>
          <t>Discount optics and scripts wrong.</t>
        </is>
      </c>
      <c r="E38" s="138" t="n"/>
      <c r="F38" s="137" t="inlineStr">
        <is>
          <t>Questions about 'as of' date; VWAP mismatch.</t>
        </is>
      </c>
      <c r="G38" s="137" t="inlineStr">
        <is>
          <t>Add explicit date/time label; link narrative to control cell.</t>
        </is>
      </c>
    </row>
    <row r="39" ht="54" customHeight="1">
      <c r="B39" s="136" t="inlineStr">
        <is>
          <t>Definitions</t>
        </is>
      </c>
      <c r="C39" s="137" t="inlineStr">
        <is>
          <t>Net debt definition mismatch (cash netting, leases)</t>
        </is>
      </c>
      <c r="D39" s="137" t="inlineStr">
        <is>
          <t>Leverage numbers inconsistent with company reporting.</t>
        </is>
      </c>
      <c r="E39" s="138" t="n"/>
      <c r="F39" s="137" t="inlineStr">
        <is>
          <t>Board sees different ND/EBITDA than model.</t>
        </is>
      </c>
      <c r="G39" s="137" t="inlineStr">
        <is>
          <t>Align to company definition; disclose adjustments separately.</t>
        </is>
      </c>
    </row>
    <row r="40" ht="54" customHeight="1">
      <c r="B40" s="136" t="inlineStr">
        <is>
          <t>Definitions</t>
        </is>
      </c>
      <c r="C40" s="137" t="inlineStr">
        <is>
          <t>EBITDA basis mismatch (LTM vs NTM)</t>
        </is>
      </c>
      <c r="D40" s="137" t="inlineStr">
        <is>
          <t>Leverage change overstated/understated.</t>
        </is>
      </c>
      <c r="E40" s="138" t="n"/>
      <c r="F40" s="137" t="inlineStr">
        <is>
          <t>Leverage looks too good/bad; mismatch vs research.</t>
        </is>
      </c>
      <c r="G40" s="137" t="inlineStr">
        <is>
          <t>State basis in dashboard; use single EBITDA input.</t>
        </is>
      </c>
    </row>
    <row r="41" ht="54" customHeight="1">
      <c r="B41" s="136" t="inlineStr">
        <is>
          <t>Definitions</t>
        </is>
      </c>
      <c r="C41" s="137" t="inlineStr">
        <is>
          <t>Currency mismatch (DKK vs EUR)</t>
        </is>
      </c>
      <c r="D41" s="137" t="inlineStr">
        <is>
          <t>All KPIs wrong by FX factor.</t>
        </is>
      </c>
      <c r="E41" s="138" t="n"/>
      <c r="F41" s="137" t="inlineStr">
        <is>
          <t>Numbers off by ~7.45x; inconsistent labels.</t>
        </is>
      </c>
      <c r="G41" s="137" t="inlineStr">
        <is>
          <t>Use a single currency flag; convert consistently; label everywhere.</t>
        </is>
      </c>
    </row>
    <row r="42" ht="54" customHeight="1">
      <c r="B42" s="136" t="inlineStr">
        <is>
          <t>Definitions</t>
        </is>
      </c>
      <c r="C42" s="137" t="inlineStr">
        <is>
          <t>Market cap/EV uses post price incorrectly</t>
        </is>
      </c>
      <c r="D42" s="137" t="inlineStr">
        <is>
          <t>EV bridge wrong; valuation narrative breaks.</t>
        </is>
      </c>
      <c r="E42" s="138" t="n"/>
      <c r="F42" s="137" t="inlineStr">
        <is>
          <t>EV moves in odd direction after dilution.</t>
        </is>
      </c>
      <c r="G42" s="137" t="inlineStr">
        <is>
          <t>Use consistent price basis (P0 or TERP) and disclose choice.</t>
        </is>
      </c>
    </row>
    <row r="43" ht="54" customHeight="1">
      <c r="B43" s="136" t="inlineStr">
        <is>
          <t>Presentation</t>
        </is>
      </c>
      <c r="C43" s="137" t="inlineStr">
        <is>
          <t>Discount % reported without basis</t>
        </is>
      </c>
      <c r="D43" s="137" t="inlineStr">
        <is>
          <t>Miscommunication risk in meetings.</t>
        </is>
      </c>
      <c r="E43" s="138" t="n"/>
      <c r="F43" s="137" t="inlineStr">
        <is>
          <t>CFO asks 'discount to what?'</t>
        </is>
      </c>
      <c r="G43" s="137" t="inlineStr">
        <is>
          <t>Always show discount basis (last close/VWAP) and date.</t>
        </is>
      </c>
    </row>
    <row r="44" ht="54" customHeight="1">
      <c r="B44" s="136" t="inlineStr">
        <is>
          <t>Presentation</t>
        </is>
      </c>
      <c r="C44" s="137" t="inlineStr">
        <is>
          <t>Scenario names not aligned with controls</t>
        </is>
      </c>
      <c r="D44" s="137" t="inlineStr">
        <is>
          <t>Upside/Downside output swapped or confusing.</t>
        </is>
      </c>
      <c r="E44" s="138" t="n"/>
      <c r="F44" s="137" t="inlineStr">
        <is>
          <t>Numbers do not match expectation when toggling.</t>
        </is>
      </c>
      <c r="G44" s="137" t="inlineStr">
        <is>
          <t>Tie scenario labels to control toggles; avoid manual relabeling.</t>
        </is>
      </c>
    </row>
    <row r="45" ht="54" customHeight="1">
      <c r="B45" s="136" t="inlineStr">
        <is>
          <t>Presentation</t>
        </is>
      </c>
      <c r="C45" s="137" t="inlineStr">
        <is>
          <t>Ignoring 90_CHECKS gate</t>
        </is>
      </c>
      <c r="D45" s="137" t="inlineStr">
        <is>
          <t>Communicating wrong numbers.</t>
        </is>
      </c>
      <c r="E45" s="138" t="n"/>
      <c r="F45" s="137" t="inlineStr">
        <is>
          <t>Check tab shows FAIL but memo uses outputs.</t>
        </is>
      </c>
      <c r="G45" s="137" t="inlineStr">
        <is>
          <t>Make 90_CHECKS PASS mandatory before exporting or presenting.</t>
        </is>
      </c>
    </row>
    <row r="46" ht="54" customHeight="1">
      <c r="B46" s="136" t="inlineStr">
        <is>
          <t>Logic bugs</t>
        </is>
      </c>
      <c r="C46" s="137" t="inlineStr">
        <is>
          <t>Scenario toggle not applied everywhere</t>
        </is>
      </c>
      <c r="D46" s="137" t="inlineStr">
        <is>
          <t>Some blocks reflect BASE while others reflect LOW/HIGH.</t>
        </is>
      </c>
      <c r="E46" s="138" t="n"/>
      <c r="F46" s="137" t="inlineStr">
        <is>
          <t>Outputs inconsistent across tabs.</t>
        </is>
      </c>
      <c r="G46" s="137" t="inlineStr">
        <is>
          <t>Centralise scenario selector and reference it from all blocks.</t>
        </is>
      </c>
    </row>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sheetData>
  <mergeCells count="2">
    <mergeCell ref="B5:L5"/>
    <mergeCell ref="B20:L20"/>
  </mergeCells>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B1:L79"/>
  <sheetViews>
    <sheetView showGridLines="0" workbookViewId="0">
      <pane xSplit="4" ySplit="5" topLeftCell="E6" activePane="bottomRight" state="frozen"/>
      <selection pane="topRight"/>
      <selection pane="bottomLeft"/>
      <selection pane="bottomRight" activeCell="A1" sqref="A1"/>
    </sheetView>
  </sheetViews>
  <sheetFormatPr baseColWidth="8" defaultRowHeight="15" outlineLevelCol="0"/>
  <cols>
    <col width="2" customWidth="1" min="1" max="1"/>
    <col width="38" customWidth="1" min="2" max="2"/>
    <col width="24" customWidth="1" min="3" max="3"/>
    <col width="2" customWidth="1" min="4" max="4"/>
    <col width="18" customWidth="1" min="5" max="5"/>
    <col width="18" customWidth="1" min="6" max="6"/>
    <col width="18" customWidth="1" min="7" max="7"/>
    <col width="18" customWidth="1" min="8" max="8"/>
    <col width="18" customWidth="1" min="9" max="9"/>
    <col width="18" customWidth="1" min="10" max="10"/>
    <col width="2" customWidth="1" min="11" max="11"/>
    <col width="2" customWidth="1" min="12" max="12"/>
    <col width="12" customWidth="1" min="13" max="13"/>
    <col width="12" customWidth="1" min="14" max="14"/>
    <col width="12" customWidth="1" min="15" max="15"/>
    <col width="12" customWidth="1" min="16" max="16"/>
    <col width="12" customWidth="1" min="17" max="17"/>
    <col width="12" customWidth="1" min="18" max="18"/>
  </cols>
  <sheetData>
    <row r="1" ht="15" customHeight="1">
      <c r="B1" s="78" t="inlineStr">
        <is>
          <t>Dashboard</t>
        </is>
      </c>
      <c r="C1" s="78" t="inlineStr">
        <is>
          <t>Control</t>
        </is>
      </c>
      <c r="D1" s="78" t="inlineStr">
        <is>
          <t>Issuer</t>
        </is>
      </c>
      <c r="E1" s="78" t="inlineStr">
        <is>
          <t>Offer</t>
        </is>
      </c>
      <c r="F1" s="78" t="inlineStr">
        <is>
          <t>Checks</t>
        </is>
      </c>
      <c r="G1" s="78" t="inlineStr">
        <is>
          <t>Learn</t>
        </is>
      </c>
    </row>
    <row r="2" ht="18" customHeight="1">
      <c r="B2" s="120" t="inlineStr">
        <is>
          <t>ECM Learning Layer</t>
        </is>
      </c>
    </row>
    <row r="3" ht="15" customHeight="1">
      <c r="B3" s="121" t="inlineStr">
        <is>
          <t>86) ECM Special Modules (decision guide, rights mechanics lab, pro forma bridge)</t>
        </is>
      </c>
    </row>
    <row r="4" ht="15" customHeight="1"/>
    <row r="5" ht="18" customHeight="1">
      <c r="B5" s="132" t="inlineStr">
        <is>
          <t>1) OFFER TYPE DECISION GUIDE (RIGHTS VS PLACEMENT VS ABB)</t>
        </is>
      </c>
      <c r="C5" s="133" t="n"/>
      <c r="D5" s="133" t="n"/>
      <c r="E5" s="133" t="n"/>
      <c r="F5" s="133" t="n"/>
      <c r="G5" s="133" t="n"/>
      <c r="H5" s="133" t="n"/>
      <c r="I5" s="133" t="n"/>
      <c r="J5" s="133" t="n"/>
      <c r="K5" s="133" t="n"/>
      <c r="L5" s="133" t="n"/>
    </row>
    <row r="6" ht="30" customHeight="1">
      <c r="B6" s="117" t="inlineStr">
        <is>
          <t>Dimension</t>
        </is>
      </c>
      <c r="C6" s="117" t="inlineStr">
        <is>
          <t>Rights Issue</t>
        </is>
      </c>
      <c r="D6" s="117" t="inlineStr">
        <is>
          <t>Private Placement</t>
        </is>
      </c>
      <c r="E6" s="117" t="inlineStr">
        <is>
          <t>ABB</t>
        </is>
      </c>
      <c r="F6" s="117" t="inlineStr">
        <is>
          <t>Meeting script (what to say)</t>
        </is>
      </c>
    </row>
    <row r="7" ht="40" customHeight="1">
      <c r="B7" s="136" t="inlineStr">
        <is>
          <t>Speed</t>
        </is>
      </c>
      <c r="C7" s="137" t="inlineStr">
        <is>
          <t>Slower (documentation + subscription period)</t>
        </is>
      </c>
      <c r="D7" s="137" t="inlineStr">
        <is>
          <t>Medium (bookbuild + docs)</t>
        </is>
      </c>
      <c r="E7" s="137" t="inlineStr">
        <is>
          <t>Fastest (overnight)</t>
        </is>
      </c>
      <c r="F7" s="137" t="inlineStr">
        <is>
          <t>Frame as trade-off: speed vs fairness vs certainty.</t>
        </is>
      </c>
    </row>
    <row r="8" ht="40" customHeight="1">
      <c r="B8" s="136" t="inlineStr">
        <is>
          <t>Certainty of proceeds</t>
        </is>
      </c>
      <c r="C8" s="137" t="inlineStr">
        <is>
          <t>High if underwritten; otherwise take-up risk</t>
        </is>
      </c>
      <c r="D8" s="137" t="inlineStr">
        <is>
          <t>High if demand built; execution risk at pricing</t>
        </is>
      </c>
      <c r="E8" s="137" t="inlineStr">
        <is>
          <t>Moderate-high but depends on market window</t>
        </is>
      </c>
      <c r="F8" s="137" t="inlineStr">
        <is>
          <t>Use 'certainty' language: underwrite to de-risk, or size to demand.</t>
        </is>
      </c>
    </row>
    <row r="9" ht="40" customHeight="1">
      <c r="B9" s="136" t="inlineStr">
        <is>
          <t>Shareholder fairness</t>
        </is>
      </c>
      <c r="C9" s="137" t="inlineStr">
        <is>
          <t>High: all holders can maintain % if they subscribe</t>
        </is>
      </c>
      <c r="D9" s="137" t="inlineStr">
        <is>
          <t>Medium: dilution concentrated on non-participants</t>
        </is>
      </c>
      <c r="E9" s="137" t="inlineStr">
        <is>
          <t>Low-medium: dilution concentrated; optics sensitive</t>
        </is>
      </c>
      <c r="F9" s="137" t="inlineStr">
        <is>
          <t>Explain value transfer and mitigation (rights, allocation, communication).</t>
        </is>
      </c>
    </row>
    <row r="10" ht="40" customHeight="1">
      <c r="B10" s="136" t="inlineStr">
        <is>
          <t>Dilution optics</t>
        </is>
      </c>
      <c r="C10" s="137" t="inlineStr">
        <is>
          <t>Often more acceptable if rights allow participation</t>
        </is>
      </c>
      <c r="D10" s="137" t="inlineStr">
        <is>
          <t>Can be sensitive if strategic dilution</t>
        </is>
      </c>
      <c r="E10" s="137" t="inlineStr">
        <is>
          <t>Can be sensitive due to tighter timeline/discount</t>
        </is>
      </c>
      <c r="F10" s="137" t="inlineStr">
        <is>
          <t>Anchor dilution to use of proceeds and value creation plan.</t>
        </is>
      </c>
    </row>
    <row r="11" ht="40" customHeight="1">
      <c r="B11" s="136" t="inlineStr">
        <is>
          <t>Typical discount</t>
        </is>
      </c>
      <c r="C11" s="137" t="inlineStr">
        <is>
          <t>Often larger to drive take-up (vs TERP/P0)</t>
        </is>
      </c>
      <c r="D11" s="137" t="inlineStr">
        <is>
          <t>Moderate (depends on anchor demand)</t>
        </is>
      </c>
      <c r="E11" s="137" t="inlineStr">
        <is>
          <t>Often wider than placement to clear overnight</t>
        </is>
      </c>
      <c r="F11" s="137" t="inlineStr">
        <is>
          <t>Use discount defensibility: volatility, liquidity, order book strength.</t>
        </is>
      </c>
    </row>
    <row r="12" ht="40" customHeight="1">
      <c r="B12" s="136" t="inlineStr">
        <is>
          <t>Underwriting need</t>
        </is>
      </c>
      <c r="C12" s="137" t="inlineStr">
        <is>
          <t>Common (especially large deals)</t>
        </is>
      </c>
      <c r="D12" s="137" t="inlineStr">
        <is>
          <t>Optional</t>
        </is>
      </c>
      <c r="E12" s="137" t="inlineStr">
        <is>
          <t>Rare (usually not)</t>
        </is>
      </c>
      <c r="F12" s="137" t="inlineStr">
        <is>
          <t>State why underwriting: size, take-up, market risk.</t>
        </is>
      </c>
    </row>
    <row r="13" ht="40" customHeight="1">
      <c r="B13" s="136" t="inlineStr">
        <is>
          <t>Market risk exposure</t>
        </is>
      </c>
      <c r="C13" s="137" t="inlineStr">
        <is>
          <t>Longer exposure to volatility</t>
        </is>
      </c>
      <c r="D13" s="137" t="inlineStr">
        <is>
          <t>Medium</t>
        </is>
      </c>
      <c r="E13" s="137" t="inlineStr">
        <is>
          <t>Highest sensitivity to window</t>
        </is>
      </c>
      <c r="F13" s="137" t="inlineStr">
        <is>
          <t>Tie to market conditions: vol, sector comps, investor sentiment.</t>
        </is>
      </c>
    </row>
    <row r="14" ht="15" customHeight="1"/>
    <row r="15" ht="15" customHeight="1">
      <c r="B15" s="134" t="inlineStr">
        <is>
          <t>When each method is preferred (rules of thumb):</t>
        </is>
      </c>
    </row>
    <row r="16" ht="15" customHeight="1">
      <c r="B16" s="130" t="inlineStr">
        <is>
          <t>• Rights: when fairness and shareholder participation are critical, and you can accept a longer process.</t>
        </is>
      </c>
    </row>
    <row r="17" ht="15" customHeight="1">
      <c r="B17" s="130" t="inlineStr">
        <is>
          <t>• Placement: when you need speed and targeted investor demand, and dilution optics are manageable.</t>
        </is>
      </c>
    </row>
    <row r="18" ht="15" customHeight="1">
      <c r="B18" s="130" t="inlineStr">
        <is>
          <t>• ABB: when you need maximum speed and can clear the deal overnight with a robust order book.</t>
        </is>
      </c>
    </row>
    <row r="19" ht="15" customHeight="1"/>
    <row r="20" ht="15" customHeight="1"/>
    <row r="21" ht="18" customHeight="1">
      <c r="B21" s="132" t="inlineStr">
        <is>
          <t>2) RIGHTS ISSUE MECHANICS LAB (TERP + VALUE TRANSFER)</t>
        </is>
      </c>
      <c r="C21" s="133" t="n"/>
      <c r="D21" s="133" t="n"/>
      <c r="E21" s="133" t="n"/>
      <c r="F21" s="133" t="n"/>
      <c r="G21" s="133" t="n"/>
      <c r="H21" s="133" t="n"/>
      <c r="I21" s="133" t="n"/>
      <c r="J21" s="133" t="n"/>
      <c r="K21" s="133" t="n"/>
      <c r="L21" s="133" t="n"/>
    </row>
    <row r="22" ht="15" customHeight="1">
      <c r="B22" s="134" t="inlineStr">
        <is>
          <t>Step-by-step chain (each step links to the base model):</t>
        </is>
      </c>
    </row>
    <row r="23" ht="30" customHeight="1">
      <c r="B23" s="117" t="inlineStr">
        <is>
          <t>Step</t>
        </is>
      </c>
      <c r="C23" s="117" t="inlineStr">
        <is>
          <t>Input / Output</t>
        </is>
      </c>
      <c r="D23" s="117" t="inlineStr"/>
      <c r="E23" s="117" t="inlineStr"/>
      <c r="F23" s="117" t="inlineStr">
        <is>
          <t>Why it matters (1–2 lines)</t>
        </is>
      </c>
    </row>
    <row r="24" ht="44" customHeight="1">
      <c r="B24" s="136" t="inlineStr">
        <is>
          <t>1</t>
        </is>
      </c>
      <c r="C24" s="137" t="inlineStr">
        <is>
          <t>Reference price P0</t>
        </is>
      </c>
      <c r="D24" s="138" t="n"/>
      <c r="E24" s="137" t="inlineStr">
        <is>
          <t>03_MARKET_DATA!E7</t>
        </is>
      </c>
      <c r="F24" s="137" t="inlineStr">
        <is>
          <t>Anchors discount and TERP. Must match the stated basis/date.</t>
        </is>
      </c>
    </row>
    <row r="25" ht="44" customHeight="1">
      <c r="B25" s="136" t="inlineStr">
        <is>
          <t>2</t>
        </is>
      </c>
      <c r="C25" s="137" t="inlineStr">
        <is>
          <t>Issue price Ps and discount %</t>
        </is>
      </c>
      <c r="D25" s="138" t="n"/>
      <c r="E25" s="137" t="inlineStr">
        <is>
          <t>04_OFFER_SETUP!F8 / F9</t>
        </is>
      </c>
      <c r="F25" s="137" t="inlineStr">
        <is>
          <t>Defines economics and take-up incentives.</t>
        </is>
      </c>
    </row>
    <row r="26" ht="44" customHeight="1">
      <c r="B26" s="136" t="inlineStr">
        <is>
          <t>3</t>
        </is>
      </c>
      <c r="C26" s="137" t="inlineStr">
        <is>
          <t>Share counts N (existing) and M (new)</t>
        </is>
      </c>
      <c r="D26" s="138" t="n"/>
      <c r="E26" s="137" t="inlineStr">
        <is>
          <t>05_RIGHTS_TERP_ENTITLE!F8 / F9</t>
        </is>
      </c>
      <c r="F26" s="137" t="inlineStr">
        <is>
          <t>Defines subscription ratio and dilution mechanics.</t>
        </is>
      </c>
    </row>
    <row r="27" ht="44" customHeight="1">
      <c r="B27" s="136" t="inlineStr">
        <is>
          <t>4</t>
        </is>
      </c>
      <c r="C27" s="137" t="inlineStr">
        <is>
          <t>TERP (weighted average)</t>
        </is>
      </c>
      <c r="D27" s="138" t="n"/>
      <c r="E27" s="137" t="inlineStr">
        <is>
          <t>05_RIGHTS_TERP_ENTITLE!F12</t>
        </is>
      </c>
      <c r="F27" s="137" t="inlineStr">
        <is>
          <t>Fairness benchmark and the core rights mechanic.</t>
        </is>
      </c>
    </row>
    <row r="28" ht="44" customHeight="1">
      <c r="B28" s="136" t="inlineStr">
        <is>
          <t>5</t>
        </is>
      </c>
      <c r="C28" s="137" t="inlineStr">
        <is>
          <t>Right value per existing share (P0 - TERP)</t>
        </is>
      </c>
      <c r="D28" s="138" t="n"/>
      <c r="E28" s="143" t="inlineStr">
        <is>
          <t>05_RIGHTS_TERP_ENTITLE!F13</t>
        </is>
      </c>
      <c r="F28" s="144" t="inlineStr">
        <is>
          <t>Shows value transfer. Total entitlement value for a holder = right value × holder pre shares (see 80_ECM_LEARN_MAP!E46).</t>
        </is>
      </c>
    </row>
    <row r="29" ht="44" customHeight="1">
      <c r="B29" s="136" t="inlineStr">
        <is>
          <t>6</t>
        </is>
      </c>
      <c r="C29" s="137" t="inlineStr">
        <is>
          <t>Take-up scenario and subscribed shares</t>
        </is>
      </c>
      <c r="D29" s="138" t="n"/>
      <c r="E29" s="137" t="inlineStr">
        <is>
          <t>01_CONTROL!E19 / 05_RIGHTS_TERP_ENTITLE!F21</t>
        </is>
      </c>
      <c r="F29" s="137" t="inlineStr">
        <is>
          <t>Drives rump and underwriting exposure.</t>
        </is>
      </c>
    </row>
    <row r="30" ht="44" customHeight="1">
      <c r="B30" s="136" t="inlineStr">
        <is>
          <t>7</t>
        </is>
      </c>
      <c r="C30" s="137" t="inlineStr">
        <is>
          <t>Rump shares and issued shares</t>
        </is>
      </c>
      <c r="D30" s="138" t="n"/>
      <c r="E30" s="137" t="inlineStr">
        <is>
          <t>05_RIGHTS_TERP_ENTITLE!F22 / F23</t>
        </is>
      </c>
      <c r="F30" s="137" t="inlineStr">
        <is>
          <t>Drives who ends up owning the shares and execution risk.</t>
        </is>
      </c>
    </row>
    <row r="31" ht="15" customHeight="1"/>
    <row r="32" ht="15" customHeight="1">
      <c r="B32" s="134" t="inlineStr">
        <is>
          <t>Rights sanity checks (quick checklist):</t>
        </is>
      </c>
    </row>
    <row r="33" ht="15" customHeight="1">
      <c r="B33" s="142" t="inlineStr">
        <is>
          <t>• TERP should sit between P0 and Ps (if Ps &lt; P0).</t>
        </is>
      </c>
    </row>
    <row r="34" ht="15" customHeight="1">
      <c r="B34" s="142" t="inlineStr">
        <is>
          <t>• Right value should be positive when Ps is below TERP.</t>
        </is>
      </c>
    </row>
    <row r="35" ht="15" customHeight="1">
      <c r="B35" s="142" t="inlineStr">
        <is>
          <t>• Subscribed shares = entitlement × take-up; rump = M - subscribed (not negative).</t>
        </is>
      </c>
    </row>
    <row r="36" ht="15" customHeight="1">
      <c r="B36" s="142" t="inlineStr">
        <is>
          <t>• Post shares = N + M; ownership totals to 100%.</t>
        </is>
      </c>
    </row>
    <row r="37" ht="15" customHeight="1"/>
    <row r="38" ht="15" customHeight="1"/>
    <row r="39" ht="18" customHeight="1">
      <c r="B39" s="132" t="inlineStr">
        <is>
          <t>3) PRO FORMA BALANCE SHEET EXPLAINER (PROCEEDS → CASH → NET DEBT → LEVERAGE)</t>
        </is>
      </c>
      <c r="C39" s="133" t="n"/>
      <c r="D39" s="133" t="n"/>
      <c r="E39" s="133" t="n"/>
      <c r="F39" s="133" t="n"/>
      <c r="G39" s="133" t="n"/>
      <c r="H39" s="133" t="n"/>
      <c r="I39" s="133" t="n"/>
      <c r="J39" s="133" t="n"/>
      <c r="K39" s="133" t="n"/>
      <c r="L39" s="133" t="n"/>
    </row>
    <row r="40" ht="15" customHeight="1">
      <c r="B40" s="134" t="inlineStr">
        <is>
          <t>Bridge steps (traceable):</t>
        </is>
      </c>
    </row>
    <row r="41" ht="30" customHeight="1">
      <c r="B41" s="117" t="inlineStr">
        <is>
          <t>Step</t>
        </is>
      </c>
      <c r="C41" s="117" t="inlineStr">
        <is>
          <t>Bridge item</t>
        </is>
      </c>
      <c r="D41" s="117" t="inlineStr"/>
      <c r="E41" s="117" t="inlineStr"/>
      <c r="F41" s="117" t="inlineStr">
        <is>
          <t>Sanity check / pitfall</t>
        </is>
      </c>
    </row>
    <row r="42" ht="44" customHeight="1">
      <c r="B42" s="136" t="inlineStr">
        <is>
          <t>1</t>
        </is>
      </c>
      <c r="C42" s="137" t="inlineStr">
        <is>
          <t>Net primary proceeds to issuer</t>
        </is>
      </c>
      <c r="D42" s="138" t="n"/>
      <c r="E42" s="137" t="inlineStr">
        <is>
          <t>07_PROCEEDS_AND_FEES!F16</t>
        </is>
      </c>
      <c r="F42" s="137" t="inlineStr">
        <is>
          <t>Must exclude secondary and include fees.</t>
        </is>
      </c>
    </row>
    <row r="43" ht="44" customHeight="1">
      <c r="B43" s="136" t="inlineStr">
        <is>
          <t>2</t>
        </is>
      </c>
      <c r="C43" s="137" t="inlineStr">
        <is>
          <t>Cash increases by net primary proceeds (or split)</t>
        </is>
      </c>
      <c r="D43" s="138" t="n"/>
      <c r="E43" s="137" t="inlineStr">
        <is>
          <t>08_PRO_FORMA_BS_LEVERAGE!F14</t>
        </is>
      </c>
      <c r="F43" s="137" t="inlineStr">
        <is>
          <t>If you allocate to debt paydown, cash increase is lower.</t>
        </is>
      </c>
    </row>
    <row r="44" ht="44" customHeight="1">
      <c r="B44" s="136" t="inlineStr">
        <is>
          <t>3</t>
        </is>
      </c>
      <c r="C44" s="137" t="inlineStr">
        <is>
          <t>Debt paydown uses allocated proceeds</t>
        </is>
      </c>
      <c r="D44" s="138" t="n"/>
      <c r="E44" s="137" t="inlineStr">
        <is>
          <t>08_PRO_FORMA_BS_LEVERAGE!F20</t>
        </is>
      </c>
      <c r="F44" s="137" t="inlineStr">
        <is>
          <t>Check sign convention: paydown should reduce debt.</t>
        </is>
      </c>
    </row>
    <row r="45" ht="44" customHeight="1">
      <c r="B45" s="136" t="inlineStr">
        <is>
          <t>4</t>
        </is>
      </c>
      <c r="C45" s="137" t="inlineStr">
        <is>
          <t>Net debt post = debt post - cash post</t>
        </is>
      </c>
      <c r="D45" s="138" t="n"/>
      <c r="E45" s="137" t="inlineStr">
        <is>
          <t>08_PRO_FORMA_BS_LEVERAGE!F27</t>
        </is>
      </c>
      <c r="F45" s="137" t="inlineStr">
        <is>
          <t>Ensure net debt definition matches company reporting.</t>
        </is>
      </c>
    </row>
    <row r="46" ht="44" customHeight="1">
      <c r="B46" s="136" t="inlineStr">
        <is>
          <t>5</t>
        </is>
      </c>
      <c r="C46" s="137" t="inlineStr">
        <is>
          <t>Leverage post = net debt post / EBITDA basis</t>
        </is>
      </c>
      <c r="D46" s="138" t="n"/>
      <c r="E46" s="137" t="inlineStr">
        <is>
          <t>08_PRO_FORMA_BS_LEVERAGE!F34</t>
        </is>
      </c>
      <c r="F46" s="137" t="inlineStr">
        <is>
          <t>Confirm EBITDA basis (LTM/NTM) and currency consistency.</t>
        </is>
      </c>
    </row>
    <row r="47" ht="15" customHeight="1"/>
    <row r="48" ht="15" customHeight="1">
      <c r="B48" s="134" t="inlineStr">
        <is>
          <t>Pro forma sanity checks:</t>
        </is>
      </c>
    </row>
    <row r="49" ht="15" customHeight="1">
      <c r="B49" s="142" t="inlineStr">
        <is>
          <t>• Cash post should increase by at most net primary proceeds (less if allocated to debt paydown).</t>
        </is>
      </c>
    </row>
    <row r="50" ht="15" customHeight="1">
      <c r="B50" s="142" t="inlineStr">
        <is>
          <t>• Net debt post should decrease when proceeds are used for debt paydown.</t>
        </is>
      </c>
    </row>
    <row r="51" ht="15" customHeight="1">
      <c r="B51" s="142" t="inlineStr">
        <is>
          <t>• Leverage should improve when net debt decreases, unless EBITDA is stressed or definition changes.</t>
        </is>
      </c>
    </row>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sheetData>
  <mergeCells count="3">
    <mergeCell ref="B5:L5"/>
    <mergeCell ref="B21:L21"/>
    <mergeCell ref="B39:L39"/>
  </mergeCells>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 xmlns:r="http://schemas.openxmlformats.org/officeDocument/2006/relationships" ref="G1" r:id="rId6"/>
    <hyperlink xmlns:r="http://schemas.openxmlformats.org/officeDocument/2006/relationships" ref="E24" r:id="rId7"/>
    <hyperlink xmlns:r="http://schemas.openxmlformats.org/officeDocument/2006/relationships" ref="E25" r:id="rId8"/>
    <hyperlink xmlns:r="http://schemas.openxmlformats.org/officeDocument/2006/relationships" ref="E26" r:id="rId9"/>
    <hyperlink xmlns:r="http://schemas.openxmlformats.org/officeDocument/2006/relationships" ref="E27" r:id="rId10"/>
    <hyperlink xmlns:r="http://schemas.openxmlformats.org/officeDocument/2006/relationships" ref="E28" r:id="rId11"/>
    <hyperlink xmlns:r="http://schemas.openxmlformats.org/officeDocument/2006/relationships" ref="E29" r:id="rId12"/>
    <hyperlink xmlns:r="http://schemas.openxmlformats.org/officeDocument/2006/relationships" ref="E30" r:id="rId13"/>
    <hyperlink xmlns:r="http://schemas.openxmlformats.org/officeDocument/2006/relationships" ref="E42" r:id="rId14"/>
    <hyperlink xmlns:r="http://schemas.openxmlformats.org/officeDocument/2006/relationships" ref="E43" r:id="rId15"/>
    <hyperlink xmlns:r="http://schemas.openxmlformats.org/officeDocument/2006/relationships" ref="E44" r:id="rId16"/>
    <hyperlink xmlns:r="http://schemas.openxmlformats.org/officeDocument/2006/relationships" ref="E45" r:id="rId17"/>
    <hyperlink xmlns:r="http://schemas.openxmlformats.org/officeDocument/2006/relationships" ref="E46" r:id="rId18"/>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B1:O22"/>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Checks</t>
        </is>
      </c>
      <c r="C2" s="80" t="n"/>
      <c r="D2" s="80" t="n"/>
      <c r="E2" s="80" t="n"/>
      <c r="F2" s="80" t="n"/>
      <c r="G2" s="80" t="n"/>
      <c r="H2" s="80" t="inlineStr">
        <is>
          <t>CHECKS:</t>
        </is>
      </c>
      <c r="I2" s="5">
        <f>'90_CHECKS'!$E$4</f>
        <v/>
      </c>
      <c r="J2" s="4" t="inlineStr">
        <is>
          <t>Failed:</t>
        </is>
      </c>
      <c r="K2" s="5">
        <f>'90_CHECKS'!$E$5</f>
        <v/>
      </c>
    </row>
    <row r="3" ht="15" customHeight="1"/>
    <row r="4" ht="18" customHeight="1">
      <c r="B4" s="83" t="n"/>
      <c r="C4" s="83" t="n"/>
      <c r="D4" s="83" t="n"/>
      <c r="E4" s="84">
        <f>E7</f>
        <v/>
      </c>
      <c r="F4" s="84" t="n"/>
      <c r="G4" s="84" t="n"/>
      <c r="H4" s="84" t="n"/>
      <c r="I4" s="84" t="n"/>
      <c r="J4" s="84" t="n"/>
      <c r="K4" s="84" t="n"/>
      <c r="L4" s="84" t="n"/>
      <c r="M4" s="84" t="n"/>
      <c r="N4" s="84" t="n"/>
      <c r="O4" s="84" t="n"/>
    </row>
    <row r="5" ht="18" customHeight="1">
      <c r="B5" s="83" t="n"/>
      <c r="C5" s="83" t="n"/>
      <c r="D5" s="83" t="n"/>
      <c r="E5" s="84">
        <f>E8</f>
        <v/>
      </c>
      <c r="F5" s="84" t="n"/>
      <c r="G5" s="84" t="n"/>
      <c r="H5" s="84" t="n"/>
      <c r="I5" s="84" t="n"/>
      <c r="J5" s="84" t="n"/>
      <c r="K5" s="84" t="n"/>
      <c r="L5" s="84" t="n"/>
      <c r="M5" s="84" t="n"/>
      <c r="N5" s="84" t="n"/>
      <c r="O5" s="84" t="n"/>
    </row>
    <row r="6" ht="18" customHeight="1">
      <c r="B6" s="83" t="inlineStr">
        <is>
          <t>OVERALL STATUS</t>
        </is>
      </c>
      <c r="C6" s="83" t="n"/>
      <c r="D6" s="83" t="n"/>
      <c r="E6" s="84" t="n"/>
      <c r="F6" s="84" t="n"/>
      <c r="G6" s="84" t="n"/>
      <c r="H6" s="84" t="n"/>
      <c r="I6" s="84" t="n"/>
      <c r="J6" s="84" t="n"/>
      <c r="K6" s="84" t="n"/>
      <c r="L6" s="84" t="n"/>
      <c r="M6" s="84" t="n"/>
      <c r="N6" s="84" t="n"/>
      <c r="O6" s="84" t="n"/>
    </row>
    <row r="7" ht="18" customHeight="1">
      <c r="B7" s="83" t="inlineStr">
        <is>
          <t>Overall</t>
        </is>
      </c>
      <c r="C7" s="83" t="n"/>
      <c r="D7" s="83" t="n"/>
      <c r="E7" s="84">
        <f>IF(MIN($E$13:$E$22)=1,"PASS","FAIL")</f>
        <v/>
      </c>
      <c r="F7" s="84" t="n"/>
      <c r="G7" s="84" t="n"/>
      <c r="H7" s="84" t="n"/>
      <c r="I7" s="84" t="n"/>
      <c r="J7" s="84" t="n"/>
      <c r="K7" s="84" t="n"/>
      <c r="L7" s="84" t="n"/>
      <c r="M7" s="84" t="n"/>
      <c r="N7" s="84" t="n"/>
      <c r="O7" s="84" t="n"/>
    </row>
    <row r="8" ht="18" customHeight="1">
      <c r="B8" s="83" t="inlineStr">
        <is>
          <t>Failed checks</t>
        </is>
      </c>
      <c r="C8" s="83" t="n"/>
      <c r="D8" s="83" t="n"/>
      <c r="E8" s="111">
        <f>COUNTIF($D$13:$D$22,"FAIL")</f>
        <v/>
      </c>
      <c r="F8" s="84" t="n"/>
      <c r="G8" s="84" t="n"/>
      <c r="H8" s="84" t="n"/>
      <c r="I8" s="84" t="n"/>
      <c r="J8" s="84" t="n"/>
      <c r="K8" s="84" t="n"/>
      <c r="L8" s="84" t="n"/>
      <c r="M8" s="84" t="n"/>
      <c r="N8" s="84" t="n"/>
      <c r="O8" s="84" t="n"/>
    </row>
    <row r="9" ht="15" customHeight="1"/>
    <row r="10" ht="15" customHeight="1"/>
    <row r="11" ht="18" customHeight="1">
      <c r="B11" s="83" t="inlineStr">
        <is>
          <t>CHECK LIST</t>
        </is>
      </c>
      <c r="C11" s="83" t="n"/>
      <c r="D11" s="83" t="n"/>
      <c r="E11" s="84" t="n"/>
      <c r="F11" s="84" t="n"/>
      <c r="G11" s="84" t="n"/>
      <c r="H11" s="84" t="n"/>
      <c r="I11" s="84" t="n"/>
      <c r="J11" s="84" t="n"/>
      <c r="K11" s="84" t="n"/>
      <c r="L11" s="84" t="n"/>
      <c r="M11" s="84" t="n"/>
      <c r="N11" s="84" t="n"/>
      <c r="O11" s="84" t="n"/>
    </row>
    <row r="12" ht="15" customHeight="1">
      <c r="B12" s="38" t="inlineStr">
        <is>
          <t>Category</t>
        </is>
      </c>
      <c r="C12" s="38" t="inlineStr">
        <is>
          <t>Check name</t>
        </is>
      </c>
      <c r="D12" s="38" t="inlineStr">
        <is>
          <t>Status</t>
        </is>
      </c>
      <c r="E12" s="38" t="inlineStr">
        <is>
          <t>Flag (1=pass)</t>
        </is>
      </c>
      <c r="H12" s="38" t="inlineStr">
        <is>
          <t>Reference / Notes</t>
        </is>
      </c>
    </row>
    <row r="13" ht="15" customHeight="1">
      <c r="B13" s="9" t="inlineStr">
        <is>
          <t>TIEOUT</t>
        </is>
      </c>
      <c r="C13" s="9" t="inlineStr">
        <is>
          <t>Issuer proceeds tie out (Primary gross - Fees - Net = 0)</t>
        </is>
      </c>
      <c r="D13" s="36">
        <f>IF($E13=1,"PASS","FAIL")</f>
        <v/>
      </c>
      <c r="E13" s="55">
        <f>--(AND(ABS('07_PROCEEDS_AND_FEES'!E8-'07_PROCEEDS_AND_FEES'!E15-'07_PROCEEDS_AND_FEES'!E16)&lt;0.01,ABS('07_PROCEEDS_AND_FEES'!F8-'07_PROCEEDS_AND_FEES'!F15-'07_PROCEEDS_AND_FEES'!F16)&lt;0.01,ABS('07_PROCEEDS_AND_FEES'!G8-'07_PROCEEDS_AND_FEES'!G15-'07_PROCEEDS_AND_FEES'!G16)&lt;0.01))</f>
        <v/>
      </c>
      <c r="H13" s="29" t="inlineStr">
        <is>
          <t>07_PROCEEDS_AND_FEES rows 8-16</t>
        </is>
      </c>
    </row>
    <row r="14" ht="15" customHeight="1">
      <c r="B14" s="9" t="inlineStr">
        <is>
          <t>TIEOUT</t>
        </is>
      </c>
      <c r="C14" s="9" t="inlineStr">
        <is>
          <t>Gross proceeds split (Total = Primary + Secondary)</t>
        </is>
      </c>
      <c r="D14" s="36">
        <f>IF($E14=1,"PASS","FAIL")</f>
        <v/>
      </c>
      <c r="E14" s="55">
        <f>--(AND(ABS('07_PROCEEDS_AND_FEES'!E10-('07_PROCEEDS_AND_FEES'!E8+'07_PROCEEDS_AND_FEES'!E9))&lt;0.01,ABS('07_PROCEEDS_AND_FEES'!F10-('07_PROCEEDS_AND_FEES'!F8+'07_PROCEEDS_AND_FEES'!F9))&lt;0.01,ABS('07_PROCEEDS_AND_FEES'!G10-('07_PROCEEDS_AND_FEES'!G8+'07_PROCEEDS_AND_FEES'!G9))&lt;0.01))</f>
        <v/>
      </c>
      <c r="H14" s="29" t="inlineStr">
        <is>
          <t>07_PROCEEDS_AND_FEES rows 8-10</t>
        </is>
      </c>
    </row>
    <row r="15" ht="15" customHeight="1">
      <c r="B15" s="9" t="inlineStr">
        <is>
          <t>TIEOUT</t>
        </is>
      </c>
      <c r="C15" s="9" t="inlineStr">
        <is>
          <t>Cap table tie (Pre + New = Post)</t>
        </is>
      </c>
      <c r="D15" s="36">
        <f>IF($E15=1,"PASS","FAIL")</f>
        <v/>
      </c>
      <c r="E15" s="55">
        <f>--(AND(ABS('06_CAP_TABLE_OWNERSHIP'!E9+'06_CAP_TABLE_OWNERSHIP'!E12-'06_CAP_TABLE_OWNERSHIP'!E13)&lt;0.001,ABS('06_CAP_TABLE_OWNERSHIP'!F9+'06_CAP_TABLE_OWNERSHIP'!F12-'06_CAP_TABLE_OWNERSHIP'!F13)&lt;0.001,ABS('06_CAP_TABLE_OWNERSHIP'!G9+'06_CAP_TABLE_OWNERSHIP'!G12-'06_CAP_TABLE_OWNERSHIP'!G13)&lt;0.001))</f>
        <v/>
      </c>
      <c r="H15" s="29" t="inlineStr">
        <is>
          <t>06_CAP_TABLE_OWNERSHIP rows 9-13</t>
        </is>
      </c>
    </row>
    <row r="16" ht="15" customHeight="1">
      <c r="B16" s="9" t="inlineStr">
        <is>
          <t>OWNERSHIP</t>
        </is>
      </c>
      <c r="C16" s="9" t="inlineStr">
        <is>
          <t>Shareholder pre % sums to 100%</t>
        </is>
      </c>
      <c r="D16" s="36">
        <f>IF($E16=1,"PASS","FAIL")</f>
        <v/>
      </c>
      <c r="E16" s="55">
        <f>--(ABS('02_ISSUER_INPUTS'!D23-1)&lt;0.0001)</f>
        <v/>
      </c>
      <c r="H16" s="29" t="inlineStr">
        <is>
          <t>02_ISSUER_INPUTS total row</t>
        </is>
      </c>
    </row>
    <row r="17" ht="15" customHeight="1">
      <c r="B17" s="9" t="inlineStr">
        <is>
          <t>CONTROL</t>
        </is>
      </c>
      <c r="C17" s="9" t="inlineStr">
        <is>
          <t>Use of proceeds sums to 100%</t>
        </is>
      </c>
      <c r="D17" s="36">
        <f>IF($E17=1,"PASS","FAIL")</f>
        <v/>
      </c>
      <c r="E17" s="55">
        <f>--(ABS('01_CONTROL'!E48-1)&lt;0.0001)</f>
        <v/>
      </c>
      <c r="H17" s="29" t="inlineStr">
        <is>
          <t>01_CONTROL!E48</t>
        </is>
      </c>
    </row>
    <row r="18" ht="15" customHeight="1">
      <c r="B18" s="9" t="inlineStr">
        <is>
          <t>RIGHTS</t>
        </is>
      </c>
      <c r="C18" s="9" t="inlineStr">
        <is>
          <t>TERP math valid (base)</t>
        </is>
      </c>
      <c r="D18" s="36">
        <f>IF($E18=1,"PASS","FAIL")</f>
        <v/>
      </c>
      <c r="E18" s="55">
        <f>--(ABS('05_RIGHTS_TERP_ENTITLE'!F12-(('05_RIGHTS_TERP_ENTITLE'!F8*'05_RIGHTS_TERP_ENTITLE'!F10+'05_RIGHTS_TERP_ENTITLE'!F9*'05_RIGHTS_TERP_ENTITLE'!F11)/('05_RIGHTS_TERP_ENTITLE'!F8+'05_RIGHTS_TERP_ENTITLE'!F9)))&lt;0.01)</f>
        <v/>
      </c>
      <c r="H18" s="29" t="inlineStr">
        <is>
          <t>05_RIGHTS_TERP_ENTITLE row 12</t>
        </is>
      </c>
    </row>
    <row r="19" ht="15" customHeight="1">
      <c r="B19" s="9" t="inlineStr">
        <is>
          <t>INTEGRITY</t>
        </is>
      </c>
      <c r="C19" s="9" t="inlineStr">
        <is>
          <t>No errors in key output ranges</t>
        </is>
      </c>
      <c r="D19" s="36">
        <f>IF($E19=1,"PASS","FAIL")</f>
        <v/>
      </c>
      <c r="E19" s="55">
        <f>--(SUMPRODUCT(--ISERROR('04_OFFER_SETUP'!E8:G21),--('04_OFFER_SETUP'!E8:G21&lt;&gt;""))+SUMPRODUCT(--ISERROR('06_CAP_TABLE_OWNERSHIP'!E9:G14),--('06_CAP_TABLE_OWNERSHIP'!E9:G14&lt;&gt;""))+SUMPRODUCT(--ISERROR('07_PROCEEDS_AND_FEES'!E8:G17),--('07_PROCEEDS_AND_FEES'!E8:G17&lt;&gt;""))+SUMPRODUCT(--ISERROR('08_PRO_FORMA_BS_LEVERAGE'!E25:G34),--('08_PRO_FORMA_BS_LEVERAGE'!E25:G34&lt;&gt;""))=0)</f>
        <v/>
      </c>
      <c r="H19" s="29" t="inlineStr">
        <is>
          <t>ISERROR across key blocks</t>
        </is>
      </c>
    </row>
    <row r="20" ht="15" customHeight="1">
      <c r="B20" s="9" t="inlineStr">
        <is>
          <t>MANUAL</t>
        </is>
      </c>
      <c r="C20" s="9" t="inlineStr">
        <is>
          <t>Iterative calculation OFF (manual)</t>
        </is>
      </c>
      <c r="D20" s="36">
        <f>IF($E20=1,"PASS","FAIL")</f>
        <v/>
      </c>
      <c r="E20" s="55">
        <f>1</f>
        <v/>
      </c>
      <c r="H20" s="29" t="inlineStr">
        <is>
          <t>Manual: ensure iterative calc is OFF</t>
        </is>
      </c>
    </row>
    <row r="21" ht="15" customHeight="1">
      <c r="B21" s="9" t="inlineStr">
        <is>
          <t>MANUAL</t>
        </is>
      </c>
      <c r="C21" s="9" t="inlineStr">
        <is>
          <t>No external links (manual)</t>
        </is>
      </c>
      <c r="D21" s="36">
        <f>IF($E21=1,"PASS","FAIL")</f>
        <v/>
      </c>
      <c r="E21" s="55">
        <f>1</f>
        <v/>
      </c>
      <c r="H21" s="29" t="inlineStr">
        <is>
          <t>Manual: Data &gt; Edit Links should show none</t>
        </is>
      </c>
    </row>
    <row r="22" ht="15" customHeight="1">
      <c r="B22" s="9" t="inlineStr">
        <is>
          <t>MANUAL</t>
        </is>
      </c>
      <c r="C22" s="9" t="inlineStr">
        <is>
          <t>No merged cells (manual)</t>
        </is>
      </c>
      <c r="D22" s="36">
        <f>IF($E22=1,"PASS","FAIL")</f>
        <v/>
      </c>
      <c r="E22" s="55">
        <f>1</f>
        <v/>
      </c>
      <c r="H22" s="29" t="inlineStr">
        <is>
          <t>Manual: Center Across Selection only (no merges)</t>
        </is>
      </c>
    </row>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E7">
    <cfRule type="cellIs" priority="1" operator="equal" dxfId="0">
      <formula>"PASS"</formula>
    </cfRule>
    <cfRule type="cellIs" priority="2" operator="equal" dxfId="1">
      <formula>"FAIL"</formula>
    </cfRule>
    <cfRule type="expression" priority="7" dxfId="2">
      <formula>E7="PASS"</formula>
    </cfRule>
    <cfRule type="expression" priority="8" dxfId="3">
      <formula>E7="FAIL"</formula>
    </cfRule>
  </conditionalFormatting>
  <conditionalFormatting sqref="E4">
    <cfRule type="cellIs" priority="3" operator="equal" dxfId="0">
      <formula>"PASS"</formula>
    </cfRule>
    <cfRule type="cellIs" priority="4" operator="equal" dxfId="1">
      <formula>"FAIL"</formula>
    </cfRule>
  </conditionalFormatting>
  <conditionalFormatting sqref="D13:D22">
    <cfRule type="cellIs" priority="5" operator="equal" dxfId="0">
      <formula>"PASS"</formula>
    </cfRule>
    <cfRule type="cellIs" priority="6" operator="equal" dxfId="1">
      <formula>"FAIL"</formula>
    </cfRule>
  </conditionalFormatting>
  <conditionalFormatting sqref="E13">
    <cfRule type="expression" priority="9" dxfId="2">
      <formula>E13="PASS"</formula>
    </cfRule>
    <cfRule type="expression" priority="10" dxfId="3">
      <formula>E13="FAIL"</formula>
    </cfRule>
  </conditionalFormatting>
  <conditionalFormatting sqref="E14">
    <cfRule type="expression" priority="11" dxfId="2">
      <formula>E14="PASS"</formula>
    </cfRule>
    <cfRule type="expression" priority="12" dxfId="3">
      <formula>E14="FAIL"</formula>
    </cfRule>
  </conditionalFormatting>
  <conditionalFormatting sqref="E15">
    <cfRule type="expression" priority="13" dxfId="2">
      <formula>E15="PASS"</formula>
    </cfRule>
    <cfRule type="expression" priority="14" dxfId="3">
      <formula>E15="FAIL"</formula>
    </cfRule>
  </conditionalFormatting>
  <conditionalFormatting sqref="E16">
    <cfRule type="expression" priority="15" dxfId="2">
      <formula>E16="PASS"</formula>
    </cfRule>
    <cfRule type="expression" priority="16" dxfId="3">
      <formula>E16="FAIL"</formula>
    </cfRule>
  </conditionalFormatting>
  <conditionalFormatting sqref="E17">
    <cfRule type="expression" priority="17" dxfId="2">
      <formula>E17="PASS"</formula>
    </cfRule>
    <cfRule type="expression" priority="18" dxfId="3">
      <formula>E17="FAIL"</formula>
    </cfRule>
  </conditionalFormatting>
  <conditionalFormatting sqref="E18">
    <cfRule type="expression" priority="19" dxfId="2">
      <formula>E18="PASS"</formula>
    </cfRule>
    <cfRule type="expression" priority="20" dxfId="3">
      <formula>E18="FAIL"</formula>
    </cfRule>
  </conditionalFormatting>
  <conditionalFormatting sqref="E19">
    <cfRule type="expression" priority="21" dxfId="2">
      <formula>E19="PASS"</formula>
    </cfRule>
    <cfRule type="expression" priority="22" dxfId="3">
      <formula>E19="FAIL"</formula>
    </cfRule>
  </conditionalFormatting>
  <conditionalFormatting sqref="E20">
    <cfRule type="expression" priority="23" dxfId="2">
      <formula>E20="PASS"</formula>
    </cfRule>
    <cfRule type="expression" priority="24" dxfId="3">
      <formula>E20="FAIL"</formula>
    </cfRule>
  </conditionalFormatting>
  <conditionalFormatting sqref="E21">
    <cfRule type="expression" priority="25" dxfId="2">
      <formula>E21="PASS"</formula>
    </cfRule>
    <cfRule type="expression" priority="26" dxfId="3">
      <formula>E21="FAIL"</formula>
    </cfRule>
  </conditionalFormatting>
  <conditionalFormatting sqref="E22">
    <cfRule type="expression" priority="27" dxfId="2">
      <formula>E22="PASS"</formula>
    </cfRule>
    <cfRule type="expression" priority="28" dxfId="3">
      <formula>E22="FAIL"</formula>
    </cfRule>
  </conditionalFormatting>
  <conditionalFormatting sqref="E10:E50">
    <cfRule type="expression" priority="29" dxfId="2">
      <formula>E10="PASS"</formula>
    </cfRule>
    <cfRule type="expression" priority="30" dxfId="3">
      <formula>E10="FAIL"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xl/worksheets/sheet20.xml><?xml version="1.0" encoding="utf-8"?>
<worksheet xmlns="http://schemas.openxmlformats.org/spreadsheetml/2006/main">
  <sheetPr>
    <outlinePr summaryBelow="1" summaryRight="1"/>
    <pageSetUpPr/>
  </sheetPr>
  <dimension ref="B1:O4"/>
  <sheetViews>
    <sheetView showGridLines="0" workbookViewId="0">
      <pane xSplit="4" ySplit="5" topLeftCell="E6" activePane="bottomRight" state="frozen"/>
      <selection pane="top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Col="0"/>
  <cols>
    <col width="2" customWidth="1" min="1" max="1"/>
    <col width="42" customWidth="1" min="2" max="2"/>
    <col width="11" customWidth="1" min="3" max="3"/>
    <col width="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16" customHeight="1">
      <c r="B1" s="78" t="inlineStr">
        <is>
          <t>Dashboard</t>
        </is>
      </c>
      <c r="C1" s="78" t="inlineStr">
        <is>
          <t>Control</t>
        </is>
      </c>
      <c r="D1" s="78" t="inlineStr">
        <is>
          <t>Issuer</t>
        </is>
      </c>
      <c r="E1" s="78" t="inlineStr">
        <is>
          <t>Offer</t>
        </is>
      </c>
      <c r="F1" s="78" t="inlineStr">
        <is>
          <t>Checks</t>
        </is>
      </c>
      <c r="G1" s="78" t="n"/>
      <c r="H1" s="78" t="n"/>
      <c r="I1" s="78" t="n"/>
      <c r="J1" s="78" t="n"/>
      <c r="K1" s="78" t="n"/>
      <c r="L1" s="78" t="n"/>
      <c r="M1" s="78" t="n"/>
      <c r="N1" s="78" t="n"/>
      <c r="O1" s="78" t="n"/>
    </row>
    <row r="2" ht="22" customHeight="1">
      <c r="B2" s="79" t="inlineStr">
        <is>
          <t>Appendix (Paste / raw data)</t>
        </is>
      </c>
      <c r="C2" s="80" t="n"/>
      <c r="D2" s="80" t="n"/>
      <c r="E2" s="80" t="n"/>
      <c r="F2" s="80" t="n"/>
      <c r="G2" s="80" t="n"/>
      <c r="H2" s="81" t="inlineStr">
        <is>
          <t>CHECKS:</t>
        </is>
      </c>
      <c r="I2" s="82">
        <f>'90_CHECKS'!$E$4</f>
        <v/>
      </c>
      <c r="J2" s="4" t="inlineStr">
        <is>
          <t>Failed:</t>
        </is>
      </c>
      <c r="K2" s="5">
        <f>'90_CHECKS'!$E$5</f>
        <v/>
      </c>
    </row>
    <row r="3" ht="15" customHeight="1"/>
    <row r="4" ht="15" customHeight="1">
      <c r="B4" s="56" t="inlineStr">
        <is>
          <t>Use this tab for pasted external data (e.g., shareholder lists, raw pulls). Avoid linking critical outputs here unless clearly labelled.</t>
        </is>
      </c>
    </row>
    <row r="5" ht="15" customHeight="1"/>
    <row r="6" ht="15" customHeight="1"/>
    <row r="7" ht="15" customHeight="1"/>
    <row r="8" ht="15" customHeight="1"/>
    <row r="9" ht="15" customHeight="1"/>
    <row r="10" ht="15" customHeight="1"/>
    <row r="11" ht="15" customHeight="1"/>
    <row r="12" ht="15" customHeight="1"/>
    <row r="13" ht="15" customHeight="1"/>
    <row r="14" ht="15" customHeight="1"/>
    <row r="15" ht="15" customHeight="1"/>
    <row r="16" ht="15" customHeight="1"/>
    <row r="17" ht="15" customHeight="1"/>
    <row r="18" ht="15" customHeight="1"/>
    <row r="19" ht="15" customHeight="1"/>
    <row r="20" ht="15" customHeight="1"/>
    <row r="21" ht="15" customHeight="1"/>
    <row r="22" ht="15" customHeight="1"/>
    <row r="23" ht="15" customHeight="1"/>
    <row r="24" ht="15" customHeight="1"/>
    <row r="25" ht="15" customHeight="1"/>
    <row r="26" ht="15" customHeight="1"/>
    <row r="27" ht="15" customHeight="1"/>
    <row r="28" ht="15" customHeight="1"/>
    <row r="29" ht="15" customHeight="1"/>
    <row r="30" ht="15" customHeight="1"/>
    <row r="31" ht="15" customHeight="1"/>
    <row r="32" ht="15" customHeight="1"/>
    <row r="33" ht="15" customHeight="1"/>
    <row r="34" ht="15" customHeight="1"/>
    <row r="35" ht="15" customHeight="1"/>
    <row r="36" ht="15" customHeight="1"/>
    <row r="37" ht="15" customHeight="1"/>
    <row r="38" ht="15" customHeight="1"/>
    <row r="39" ht="15" customHeight="1"/>
    <row r="40" ht="15" customHeight="1"/>
    <row r="41" ht="15" customHeight="1"/>
    <row r="42" ht="15" customHeight="1"/>
    <row r="43" ht="15" customHeight="1"/>
    <row r="44" ht="15" customHeight="1"/>
    <row r="45" ht="15" customHeight="1"/>
    <row r="46" ht="15" customHeight="1"/>
    <row r="47" ht="15" customHeight="1"/>
    <row r="48" ht="15" customHeight="1"/>
    <row r="49" ht="15" customHeight="1"/>
    <row r="50" ht="15" customHeight="1"/>
    <row r="51" ht="15" customHeight="1"/>
    <row r="52" ht="15" customHeight="1"/>
    <row r="53" ht="15" customHeight="1"/>
    <row r="54" ht="15" customHeight="1"/>
    <row r="55" ht="15" customHeight="1"/>
    <row r="56" ht="15" customHeight="1"/>
    <row r="57" ht="15" customHeight="1"/>
    <row r="58" ht="15" customHeight="1"/>
    <row r="59" ht="15" customHeight="1"/>
    <row r="60" ht="15" customHeight="1"/>
    <row r="61" ht="15" customHeight="1"/>
    <row r="62" ht="15" customHeight="1"/>
    <row r="63" ht="15" customHeight="1"/>
    <row r="64" ht="15" customHeight="1"/>
    <row r="65" ht="15" customHeight="1"/>
    <row r="66" ht="15" customHeight="1"/>
    <row r="67" ht="15" customHeight="1"/>
    <row r="68" ht="15" customHeight="1"/>
    <row r="69" ht="15" customHeight="1"/>
    <row r="70" ht="15" customHeight="1"/>
    <row r="71" ht="15" customHeight="1"/>
    <row r="72" ht="15" customHeight="1"/>
    <row r="73" ht="15" customHeight="1"/>
    <row r="74" ht="15" customHeight="1"/>
    <row r="75" ht="15" customHeight="1"/>
    <row r="76" ht="15" customHeight="1"/>
    <row r="77" ht="15" customHeight="1"/>
    <row r="78" ht="15" customHeight="1"/>
    <row r="79" ht="15" customHeight="1"/>
    <row r="80" ht="15" customHeight="1"/>
    <row r="81" ht="15" customHeight="1"/>
    <row r="82" ht="15" customHeight="1"/>
    <row r="83" ht="15" customHeight="1"/>
    <row r="84" ht="15" customHeight="1"/>
    <row r="85" ht="15" customHeight="1"/>
    <row r="86" ht="15" customHeight="1"/>
    <row r="87" ht="15" customHeight="1"/>
    <row r="88" ht="15" customHeight="1"/>
    <row r="89" ht="15" customHeight="1"/>
    <row r="90" ht="15" customHeight="1"/>
    <row r="91" ht="15" customHeight="1"/>
    <row r="92" ht="15" customHeight="1"/>
    <row r="93" ht="15" customHeight="1"/>
    <row r="94" ht="15" customHeight="1"/>
    <row r="95" ht="15" customHeight="1"/>
    <row r="96" ht="15" customHeight="1"/>
    <row r="97" ht="15" customHeight="1"/>
    <row r="98" ht="15" customHeight="1"/>
    <row r="99" ht="15" customHeight="1"/>
    <row r="100" ht="15" customHeight="1"/>
    <row r="101" ht="15"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row r="120" ht="15" customHeight="1"/>
    <row r="121" ht="15" customHeight="1"/>
    <row r="122" ht="15" customHeight="1"/>
    <row r="123" ht="15" customHeight="1"/>
    <row r="124" ht="15" customHeight="1"/>
    <row r="125" ht="15" customHeight="1"/>
    <row r="126" ht="15" customHeight="1"/>
    <row r="127" ht="15" customHeight="1"/>
    <row r="128" ht="15" customHeight="1"/>
    <row r="129" ht="15" customHeight="1"/>
    <row r="130" ht="15" customHeight="1"/>
    <row r="131" ht="15" customHeight="1"/>
    <row r="132" ht="15" customHeight="1"/>
    <row r="133" ht="15" customHeight="1"/>
    <row r="134" ht="15" customHeight="1"/>
    <row r="135" ht="15" customHeight="1"/>
    <row r="136" ht="15" customHeight="1"/>
    <row r="137" ht="15" customHeight="1"/>
    <row r="138" ht="15" customHeight="1"/>
    <row r="139" ht="15" customHeight="1"/>
    <row r="140" ht="15" customHeight="1"/>
    <row r="141" ht="15" customHeight="1"/>
    <row r="142" ht="15" customHeight="1"/>
    <row r="143" ht="15" customHeight="1"/>
    <row r="144" ht="15" customHeight="1"/>
    <row r="145" ht="15" customHeight="1"/>
    <row r="146" ht="15" customHeight="1"/>
    <row r="147" ht="15" customHeight="1"/>
    <row r="148" ht="15" customHeight="1"/>
    <row r="149" ht="15" customHeight="1"/>
    <row r="150" ht="15" customHeight="1"/>
    <row r="151" ht="15" customHeight="1"/>
    <row r="152" ht="15" customHeight="1"/>
    <row r="153" ht="15" customHeight="1"/>
    <row r="154" ht="15" customHeight="1"/>
    <row r="155" ht="15" customHeight="1"/>
    <row r="156" ht="15" customHeight="1"/>
    <row r="157" ht="15" customHeight="1"/>
    <row r="158" ht="15" customHeight="1"/>
    <row r="159" ht="15" customHeight="1"/>
    <row r="160" ht="15" customHeight="1"/>
    <row r="161" ht="15" customHeight="1"/>
    <row r="162" ht="15" customHeight="1"/>
    <row r="163" ht="15" customHeight="1"/>
    <row r="164" ht="15" customHeight="1"/>
    <row r="165" ht="15" customHeight="1"/>
    <row r="166" ht="15" customHeight="1"/>
    <row r="167" ht="15" customHeight="1"/>
    <row r="168" ht="15" customHeight="1"/>
    <row r="169" ht="15" customHeight="1"/>
    <row r="170" ht="15" customHeight="1"/>
    <row r="171" ht="15" customHeight="1"/>
    <row r="172" ht="15" customHeight="1"/>
    <row r="173" ht="15" customHeight="1"/>
    <row r="174" ht="15" customHeight="1"/>
    <row r="175" ht="15" customHeight="1"/>
    <row r="176" ht="15" customHeight="1"/>
    <row r="177" ht="15" customHeight="1"/>
    <row r="178" ht="15" customHeight="1"/>
    <row r="179" ht="15" customHeight="1"/>
    <row r="180" ht="15" customHeight="1"/>
    <row r="181" ht="15" customHeight="1"/>
    <row r="182" ht="15" customHeight="1"/>
    <row r="183" ht="15" customHeight="1"/>
    <row r="184" ht="15" customHeight="1"/>
    <row r="185" ht="15" customHeight="1"/>
    <row r="186" ht="15" customHeight="1"/>
    <row r="187" ht="15" customHeight="1"/>
    <row r="188" ht="15" customHeight="1"/>
    <row r="189" ht="15" customHeight="1"/>
    <row r="190" ht="15" customHeight="1"/>
    <row r="191" ht="15" customHeight="1"/>
    <row r="192" ht="15" customHeight="1"/>
    <row r="193" ht="15" customHeight="1"/>
    <row r="194" ht="15" customHeight="1"/>
    <row r="195" ht="15" customHeight="1"/>
    <row r="196" ht="15" customHeight="1"/>
    <row r="197" ht="15" customHeight="1"/>
    <row r="198" ht="15" customHeight="1"/>
    <row r="199" ht="15" customHeight="1"/>
    <row r="200" ht="15" customHeight="1"/>
    <row r="201" ht="15" customHeight="1"/>
    <row r="202" ht="15" customHeight="1"/>
    <row r="203" ht="15" customHeight="1"/>
    <row r="204" ht="15" customHeight="1"/>
    <row r="205" ht="15" customHeight="1"/>
    <row r="206" ht="15" customHeight="1"/>
    <row r="207" ht="15" customHeight="1"/>
    <row r="208" ht="15" customHeight="1"/>
    <row r="209" ht="15" customHeight="1"/>
    <row r="210" ht="15" customHeight="1"/>
    <row r="211" ht="15" customHeight="1"/>
    <row r="212" ht="15" customHeight="1"/>
    <row r="213" ht="15" customHeight="1"/>
    <row r="214" ht="15" customHeight="1"/>
    <row r="215" ht="15" customHeight="1"/>
    <row r="216" ht="15" customHeight="1"/>
    <row r="217" ht="15" customHeight="1"/>
    <row r="218" ht="15" customHeight="1"/>
    <row r="219" ht="15" customHeight="1"/>
    <row r="220" ht="15" customHeight="1"/>
    <row r="221" ht="15" customHeight="1"/>
    <row r="222" ht="15" customHeight="1"/>
    <row r="223" ht="15" customHeight="1"/>
    <row r="224" ht="15" customHeight="1"/>
    <row r="225" ht="15" customHeight="1"/>
    <row r="226" ht="15" customHeight="1"/>
    <row r="227" ht="15" customHeight="1"/>
    <row r="228" ht="15" customHeight="1"/>
    <row r="229" ht="15" customHeight="1"/>
    <row r="230" ht="15" customHeight="1"/>
    <row r="231" ht="15" customHeight="1"/>
    <row r="232" ht="15" customHeight="1"/>
    <row r="233" ht="15" customHeight="1"/>
    <row r="234" ht="15" customHeight="1"/>
    <row r="235" ht="15" customHeight="1"/>
    <row r="236" ht="15" customHeight="1"/>
    <row r="237" ht="15" customHeight="1"/>
    <row r="238" ht="15" customHeight="1"/>
    <row r="239" ht="15" customHeight="1"/>
    <row r="240" ht="15" customHeight="1"/>
    <row r="241" ht="15" customHeight="1"/>
    <row r="242" ht="15" customHeight="1"/>
    <row r="243" ht="15" customHeight="1"/>
    <row r="244" ht="15" customHeight="1"/>
    <row r="245" ht="15" customHeight="1"/>
    <row r="246" ht="15" customHeight="1"/>
    <row r="247" ht="15" customHeight="1"/>
    <row r="248" ht="15" customHeight="1"/>
    <row r="249" ht="15" customHeight="1"/>
    <row r="250" ht="15" customHeight="1"/>
    <row r="251" ht="15" customHeight="1"/>
    <row r="252" ht="15" customHeight="1"/>
    <row r="253" ht="15" customHeight="1"/>
    <row r="254" ht="15" customHeight="1"/>
    <row r="255" ht="15" customHeight="1"/>
    <row r="256" ht="15" customHeight="1"/>
    <row r="257" ht="15" customHeight="1"/>
    <row r="258" ht="15" customHeight="1"/>
    <row r="259" ht="15" customHeight="1"/>
  </sheetData>
  <conditionalFormatting sqref="I2">
    <cfRule type="expression" priority="1" dxfId="2">
      <formula>I2="PASS"</formula>
    </cfRule>
    <cfRule type="expression" priority="2" dxfId="3">
      <formula>I2="FAIL"</formula>
    </cfRule>
  </conditionalFormatting>
  <hyperlinks>
    <hyperlink xmlns:r="http://schemas.openxmlformats.org/officeDocument/2006/relationships" ref="B1" r:id="rId1"/>
    <hyperlink xmlns:r="http://schemas.openxmlformats.org/officeDocument/2006/relationships" ref="C1" r:id="rId2"/>
    <hyperlink xmlns:r="http://schemas.openxmlformats.org/officeDocument/2006/relationships" ref="D1" r:id="rId3"/>
    <hyperlink xmlns:r="http://schemas.openxmlformats.org/officeDocument/2006/relationships" ref="E1" r:id="rId4"/>
    <hyperlink xmlns:r="http://schemas.openxmlformats.org/officeDocument/2006/relationships" ref="F1" r:id="rId5"/>
  </hyperlink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2026-02-16T08:52:49Z</dcterms:created>
  <dcterms:modified xmlns:dcterms="http://purl.org/dc/terms/" xmlns:xsi="http://www.w3.org/2001/XMLSchema-instance" xsi:type="dcterms:W3CDTF">2026-02-16T12:43:06Z</dcterms:modified>
</cp:coreProperties>
</file>