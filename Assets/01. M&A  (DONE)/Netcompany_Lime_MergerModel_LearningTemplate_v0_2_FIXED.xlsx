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ASHBOARD" sheetId="1" state="visible" r:id="rId1"/>
    <sheet xmlns:r="http://schemas.openxmlformats.org/officeDocument/2006/relationships" name="01_COVER" sheetId="2" state="visible" r:id="rId2"/>
    <sheet xmlns:r="http://schemas.openxmlformats.org/officeDocument/2006/relationships" name="02_TOC" sheetId="3" state="visible" r:id="rId3"/>
    <sheet xmlns:r="http://schemas.openxmlformats.org/officeDocument/2006/relationships" name="03_GLOBAL_PARAMS" sheetId="4" state="visible" r:id="rId4"/>
    <sheet xmlns:r="http://schemas.openxmlformats.org/officeDocument/2006/relationships" name="10_INPUTS_ACQUIRER" sheetId="5" state="visible" r:id="rId5"/>
    <sheet xmlns:r="http://schemas.openxmlformats.org/officeDocument/2006/relationships" name="11_INPUTS_TARGET" sheetId="6" state="visible" r:id="rId6"/>
    <sheet xmlns:r="http://schemas.openxmlformats.org/officeDocument/2006/relationships" name="12_INPUTS_DEAL_TERMS" sheetId="7" state="visible" r:id="rId7"/>
    <sheet xmlns:r="http://schemas.openxmlformats.org/officeDocument/2006/relationships" name="13_INPUTS_SYNERGIES" sheetId="8" state="visible" r:id="rId8"/>
    <sheet xmlns:r="http://schemas.openxmlformats.org/officeDocument/2006/relationships" name="14_INPUTS_FX_AND_ACCOUNTING" sheetId="9" state="visible" r:id="rId9"/>
    <sheet xmlns:r="http://schemas.openxmlformats.org/officeDocument/2006/relationships" name="20_CALCS_SOURCES_USES" sheetId="10" state="visible" r:id="rId10"/>
    <sheet xmlns:r="http://schemas.openxmlformats.org/officeDocument/2006/relationships" name="21_CALCS_FINANCING" sheetId="11" state="visible" r:id="rId11"/>
    <sheet xmlns:r="http://schemas.openxmlformats.org/officeDocument/2006/relationships" name="22_CALCS_PPA" sheetId="12" state="visible" r:id="rId12"/>
    <sheet xmlns:r="http://schemas.openxmlformats.org/officeDocument/2006/relationships" name="23_CALCS_PRO_FORMA_IS" sheetId="13" state="visible" r:id="rId13"/>
    <sheet xmlns:r="http://schemas.openxmlformats.org/officeDocument/2006/relationships" name="24_CALCS_PRO_FORMA_BS" sheetId="14" state="visible" r:id="rId14"/>
    <sheet xmlns:r="http://schemas.openxmlformats.org/officeDocument/2006/relationships" name="25_CALCS_PRO_FORMA_CF" sheetId="15" state="visible" r:id="rId15"/>
    <sheet xmlns:r="http://schemas.openxmlformats.org/officeDocument/2006/relationships" name="26_CALCS_SHARES_AND_EPS" sheetId="16" state="visible" r:id="rId16"/>
    <sheet xmlns:r="http://schemas.openxmlformats.org/officeDocument/2006/relationships" name="30_OUTPUT_SUMMARY" sheetId="17" state="visible" r:id="rId17"/>
    <sheet xmlns:r="http://schemas.openxmlformats.org/officeDocument/2006/relationships" name="31_OUTPUT_SENSITIVITIES" sheetId="18" state="visible" r:id="rId18"/>
    <sheet xmlns:r="http://schemas.openxmlformats.org/officeDocument/2006/relationships" name="90_CHECKS" sheetId="19" state="visible" r:id="rId19"/>
    <sheet xmlns:r="http://schemas.openxmlformats.org/officeDocument/2006/relationships" name="99_APPENDIX_DATA" sheetId="20" state="visible" r:id="rId20"/>
  </sheets>
  <definedNames>
    <definedName name="g_StartYear">'03_GLOBAL_PARAMS'!$F$7</definedName>
    <definedName name="g_CloseDate">'03_GLOBAL_PARAMS'!$F$8</definedName>
    <definedName name="g_Scenario">'03_GLOBAL_PARAMS'!$F$9</definedName>
    <definedName name="g_Consideration">'03_GLOBAL_PARAMS'!$F$10</definedName>
    <definedName name="g_TaxRate">'03_GLOBAL_PARAMS'!$F$11</definedName>
    <definedName name="g_MinCash">'03_GLOBAL_PARAMS'!$F$12</definedName>
    <definedName name="g_Sweep_On">'03_GLOBAL_PARAMS'!$F$13</definedName>
    <definedName name="g_NoCircular_Attest">'03_GLOBAL_PARAMS'!$F$14</definedName>
    <definedName name="g_NoExternal_Attest">'03_GLOBAL_PARAMS'!$F$15</definedName>
    <definedName name="in_A_Revenue_Y0">'10_INPUTS_ACQUIRER'!$F$7</definedName>
    <definedName name="in_A_EBITDA_Y0">'10_INPUTS_ACQUIRER'!$F$8</definedName>
    <definedName name="in_A_DA_Y0">'10_INPUTS_ACQUIRER'!$F$9</definedName>
    <definedName name="in_A_Interest_Y0">'10_INPUTS_ACQUIRER'!$F$10</definedName>
    <definedName name="in_A_Taxes_Y0">'10_INPUTS_ACQUIRER'!$F$11</definedName>
    <definedName name="in_A_NI_Y0">'10_INPUTS_ACQUIRER'!$F$12</definedName>
    <definedName name="in_A_BS_Cash">'10_INPUTS_ACQUIRER'!$F$15</definedName>
    <definedName name="in_A_BS_Debt">'10_INPUTS_ACQUIRER'!$F$16</definedName>
    <definedName name="in_A_BS_NWC">'10_INPUTS_ACQUIRER'!$F$17</definedName>
    <definedName name="in_A_BS_PPE">'10_INPUTS_ACQUIRER'!$F$18</definedName>
    <definedName name="in_A_BS_OtherAssets">'10_INPUTS_ACQUIRER'!$F$19</definedName>
    <definedName name="in_A_BS_OtherLiab">'10_INPUTS_ACQUIRER'!$F$20</definedName>
    <definedName name="in_A_BS_Equity">'10_INPUTS_ACQUIRER'!$F$21</definedName>
    <definedName name="in_A_Growth_Row">'10_INPUTS_ACQUIRER'!$F$24:$K$24</definedName>
    <definedName name="in_A_EBITDA_Margin_Row">'10_INPUTS_ACQUIRER'!$F$25:$K$25</definedName>
    <definedName name="in_A_DA_Pct_Row">'10_INPUTS_ACQUIRER'!$F$26:$K$26</definedName>
    <definedName name="in_A_Capex_Pct_Row">'10_INPUTS_ACQUIRER'!$F$27:$K$27</definedName>
    <definedName name="in_A_NWC_Pct_Row">'10_INPUTS_ACQUIRER'!$F$28:$K$28</definedName>
    <definedName name="in_A_Dividend_Pct_Row">'10_INPUTS_ACQUIRER'!$F$29:$K$29</definedName>
    <definedName name="in_A_Shares_Basic">'10_INPUTS_ACQUIRER'!$F$32</definedName>
    <definedName name="in_A_Shares_Diluted">'10_INPUTS_ACQUIRER'!$F$33</definedName>
    <definedName name="in_A_SharePrice">'10_INPUTS_ACQUIRER'!$F$34</definedName>
    <definedName name="in_T_Revenue_Y0">'11_INPUTS_TARGET'!$F$7</definedName>
    <definedName name="in_T_EBITDA_Y0">'11_INPUTS_TARGET'!$F$8</definedName>
    <definedName name="in_T_DA_Y0">'11_INPUTS_TARGET'!$F$9</definedName>
    <definedName name="in_T_NI_Y0">'11_INPUTS_TARGET'!$F$10</definedName>
    <definedName name="in_T_ARR_End_Y0">'11_INPUTS_TARGET'!$F$11</definedName>
    <definedName name="in_T_ARR_to_Rev">'11_INPUTS_TARGET'!$F$14</definedName>
    <definedName name="calc_T_RevenueFromARR_Row">'11_INPUTS_TARGET'!$F$21:$K$21</definedName>
    <definedName name="calc_T_EndARR_Row">'11_INPUTS_TARGET'!$F$19:$K$19</definedName>
    <definedName name="in_T_EBITDA_Margin_Row">'11_INPUTS_TARGET'!$F$24:$K$24</definedName>
    <definedName name="in_T_DA_Pct_Row">'11_INPUTS_TARGET'!$F$25:$K$25</definedName>
    <definedName name="in_T_Capex_Pct_Row">'11_INPUTS_TARGET'!$F$26:$K$26</definedName>
    <definedName name="in_T_NWC_Pct_Row">'11_INPUTS_TARGET'!$F$27:$K$27</definedName>
    <definedName name="in_T_BS_Cash">'11_INPUTS_TARGET'!$F$30</definedName>
    <definedName name="in_T_BS_Debt">'11_INPUTS_TARGET'!$F$31</definedName>
    <definedName name="in_T_BS_NWC">'11_INPUTS_TARGET'!$F$32</definedName>
    <definedName name="in_T_BS_PPE">'11_INPUTS_TARGET'!$F$33</definedName>
    <definedName name="in_T_BS_OtherAssets">'11_INPUTS_TARGET'!$F$34</definedName>
    <definedName name="in_T_BS_OtherLiab">'11_INPUTS_TARGET'!$F$35</definedName>
    <definedName name="in_T_BS_Equity">'11_INPUTS_TARGET'!$F$36</definedName>
    <definedName name="in_EquityValue_SEK">'12_INPUTS_DEAL_TERMS'!$F$7</definedName>
    <definedName name="in_NetDebt_SEK">'12_INPUTS_DEAL_TERMS'!$F$8</definedName>
    <definedName name="in_DebtRepaid_SEK">'12_INPUTS_DEAL_TERMS'!$F$9</definedName>
    <definedName name="in_TxnFees_DKK">'12_INPUTS_DEAL_TERMS'!$F$10</definedName>
    <definedName name="in_CashPct">'12_INPUTS_DEAL_TERMS'!$F$13</definedName>
    <definedName name="in_DebtPct">'12_INPUTS_DEAL_TERMS'!$F$14</definedName>
    <definedName name="in_StockPct">'12_INPUTS_DEAL_TERMS'!$F$15</definedName>
    <definedName name="calc_MixSum">'12_INPUTS_DEAL_TERMS'!$F$16</definedName>
    <definedName name="in_BaseRate">'12_INPUTS_DEAL_TERMS'!$F$19</definedName>
    <definedName name="in_T1_Margin">'12_INPUTS_DEAL_TERMS'!$F$20</definedName>
    <definedName name="in_T1_Amort">'12_INPUTS_DEAL_TERMS'!$F$21</definedName>
    <definedName name="in_T2_Margin">'12_INPUTS_DEAL_TERMS'!$F$22</definedName>
    <definedName name="in_T2_Amort">'12_INPUTS_DEAL_TERMS'!$F$23</definedName>
    <definedName name="in_T1_Share">'12_INPUTS_DEAL_TERMS'!$F$24</definedName>
    <definedName name="in_SynergyRunRate">'13_INPUTS_SYNERGIES'!$F$7</definedName>
    <definedName name="in_RevSynergyRunRate">'13_INPUTS_SYNERGIES'!$F$8</definedName>
    <definedName name="in_SynergyRamp_Row">'13_INPUTS_SYNERGIES'!$F$11:$K$11</definedName>
    <definedName name="in_Integration_Row">'13_INPUTS_SYNERGIES'!$F$14:$K$14</definedName>
    <definedName name="in_FX_Spot">'14_INPUTS_FX_AND_ACCOUNTING'!$F$7</definedName>
    <definedName name="in_FX_Avg_Row">'14_INPUTS_FX_AND_ACCOUNTING'!$F$8:$K$8</definedName>
    <definedName name="calc_FX_Avg_Used_Row">'14_INPUTS_FX_AND_ACCOUNTING'!$F$9:$K$9</definedName>
    <definedName name="in_FX_Shock">'14_INPUTS_FX_AND_ACCOUNTING'!$F$12</definedName>
    <definedName name="in_FX_Sens_On">'14_INPUTS_FX_AND_ACCOUNTING'!$F$13</definedName>
    <definedName name="in_PPA_Cust_FV">'14_INPUTS_FX_AND_ACCOUNTING'!$F$16</definedName>
    <definedName name="in_PPA_Cust_Life">'14_INPUTS_FX_AND_ACCOUNTING'!$F$17</definedName>
    <definedName name="in_PPA_Tech_FV">'14_INPUTS_FX_AND_ACCOUNTING'!$F$18</definedName>
    <definedName name="in_PPA_Tech_Life">'14_INPUTS_FX_AND_ACCOUNTING'!$F$19</definedName>
    <definedName name="in_PPA_Brand_FV">'14_INPUTS_FX_AND_ACCOUNTING'!$F$20</definedName>
    <definedName name="in_PPA_Brand_Life">'14_INPUTS_FX_AND_ACCOUNTING'!$F$21</definedName>
    <definedName name="in_PPA_DTL_On">'14_INPUTS_FX_AND_ACCOUNTING'!$F$22</definedName>
    <definedName name="calc_FX_Spot_Used">'20_CALCS_SOURCES_USES'!$F$7</definedName>
    <definedName name="calc_EquityValue_DKK">'20_CALCS_SOURCES_USES'!$F$10</definedName>
    <definedName name="calc_NetDebt_DKK">'20_CALCS_SOURCES_USES'!$F$11</definedName>
    <definedName name="calc_EV_DKK">'20_CALCS_SOURCES_USES'!$F$12</definedName>
    <definedName name="calc_DebtRepaid_DKK">'20_CALCS_SOURCES_USES'!$F$13</definedName>
    <definedName name="calc_TxnFees_DKK">'20_CALCS_SOURCES_USES'!$F$14</definedName>
    <definedName name="calc_TotalUses">'20_CALCS_SOURCES_USES'!$F$20</definedName>
    <definedName name="calc_CashUsed_DKK">'20_CALCS_SOURCES_USES'!$F$23</definedName>
    <definedName name="calc_NewDebt_DKK">'20_CALCS_SOURCES_USES'!$F$24</definedName>
    <definedName name="calc_StockValue_DKK">'20_CALCS_SOURCES_USES'!$F$25</definedName>
    <definedName name="calc_TotalSources">'20_CALCS_SOURCES_USES'!$F$26</definedName>
    <definedName name="check_SourcesUses">'20_CALCS_SOURCES_USES'!$F$28</definedName>
    <definedName name="calc_NewDebtTotal">'21_CALCS_FINANCING'!$F$7</definedName>
    <definedName name="calc_T1_Amount">'21_CALCS_FINANCING'!$F$8</definedName>
    <definedName name="calc_T2_Amount">'21_CALCS_FINANCING'!$F$9</definedName>
    <definedName name="calc_NewDebt_End_Row">'21_CALCS_FINANCING'!$F$30:$K$30</definedName>
    <definedName name="calc_NewDebt_Interest_Row">'21_CALCS_FINANCING'!$F$31:$K$31</definedName>
    <definedName name="check_DebtRoll_T1_Row">'21_CALCS_FINANCING'!$F$33:$K$33</definedName>
    <definedName name="check_DebtRoll_T2_Row">'21_CALCS_FINANCING'!$F$34:$K$34</definedName>
    <definedName name="calc_TargetNetAssets_DKK">'22_CALCS_PPA'!$F$8</definedName>
    <definedName name="calc_Intangibles_FV">'22_CALCS_PPA'!$F$9</definedName>
    <definedName name="calc_PPA_DTL">'22_CALCS_PPA'!$F$10</definedName>
    <definedName name="calc_Goodwill">'22_CALCS_PPA'!$F$11</definedName>
    <definedName name="calc_PPA_Amort_Row">'22_CALCS_PPA'!$F$17:$K$17</definedName>
    <definedName name="calc_A_NI_Row">'23_CALCS_PRO_FORMA_IS'!$F$13:$K$13</definedName>
    <definedName name="calc_T_NI_Row">'23_CALCS_PRO_FORMA_IS'!$F$21:$K$21</definedName>
    <definedName name="calc_PF_NI_Row">'23_CALCS_PRO_FORMA_IS'!$F$35:$K$35</definedName>
    <definedName name="calc_CashAvail_Row">'25_CALCS_PRO_FORMA_CF'!$F$8:$K$8</definedName>
    <definedName name="calc_EndCash_Row">'25_CALCS_PRO_FORMA_CF'!$F$30:$K$30</definedName>
    <definedName name="check_BS_Row">'24_CALCS_PRO_FORMA_BS'!$F$19:$K$19</definedName>
    <definedName name="calc_NewShares_mm">'26_CALCS_SHARES_AND_EPS'!$F$8</definedName>
    <definedName name="calc_PF_Shares_mm">'26_CALCS_SHARES_AND_EPS'!$F$9</definedName>
    <definedName name="calc_AccDil_Row">'26_CALCS_SHARES_AND_EPS'!$F$14:$K$14</definedName>
    <definedName name="calc_PF_EPS_Row">'26_CALCS_SHARES_AND_EPS'!$F$13:$K$13</definedName>
    <definedName name="out_AccDil_Y1">'30_OUTPUT_SUMMARY'!$G$12</definedName>
    <definedName name="out_AccDil_Y2">'30_OUTPUT_SUMMARY'!$H$12</definedName>
    <definedName name="out_AccDil_Y5">'30_OUTPUT_SUMMARY'!$K$12</definedName>
    <definedName name="out_PF_EPS_Y1">'30_OUTPUT_SUMMARY'!$G$11</definedName>
    <definedName name="out_PF_EPS_Y2">'30_OUTPUT_SUMMARY'!$H$11</definedName>
    <definedName name="out_PF_EPS_Y5">'30_OUTPUT_SUMMARY'!$K$11</definedName>
    <definedName name="out_ND_EBITDA_Close">'30_OUTPUT_SUMMARY'!$F$16</definedName>
    <definedName name="out_ND_EBITDA_Y1">'30_OUTPUT_SUMMARY'!$G$16</definedName>
    <definedName name="out_ND_EBITDA_Y5">'30_OUTPUT_SUMMARY'!$K$16</definedName>
    <definedName name="out_EV_EBITDA">'30_OUTPUT_SUMMARY'!$F$17</definedName>
    <definedName name="out_EV_REV">'30_OUTPUT_SUMMARY'!$F$18</definedName>
    <definedName name="out_SynergyRun">'30_OUTPUT_SUMMARY'!$F$19</definedName>
    <definedName name="out_SynergyRamp_Y1">'30_OUTPUT_SUMMARY'!$G$20</definedName>
    <definedName name="out_Goodwill">'30_OUTPUT_SUMMARY'!$F$21</definedName>
    <definedName name="out_Intangibles">'30_OUTPUT_SUMMARY'!$F$22</definedName>
    <definedName name="check_AllClear">'90_CHECKS'!$F$7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%;[Red](0.0%);&quot;-&quot;"/>
    <numFmt numFmtId="165" formatCode="#,##0;[Red](#,##0);&quot;-&quot;"/>
    <numFmt numFmtId="166" formatCode="0.0&quot;x&quot;;[Red](0.0&quot;x&quot;);&quot;-&quot;"/>
    <numFmt numFmtId="167" formatCode="yyyy-mm-dd"/>
    <numFmt numFmtId="168" formatCode="0.0"/>
    <numFmt numFmtId="169" formatCode="0.00&quot;x&quot;"/>
    <numFmt numFmtId="170" formatCode="0.000"/>
  </numFmts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color rgb="00FFFFFF"/>
      <sz val="11"/>
    </font>
    <font>
      <i val="1"/>
      <color rgb="00666666"/>
      <sz val="10"/>
    </font>
    <font>
      <color rgb="000000FF"/>
    </font>
    <font>
      <color rgb="000563C1"/>
      <u val="single"/>
    </font>
    <font>
      <color rgb="00008000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bottom style="thin">
        <color rgb="00A6A6A6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applyAlignment="1" pivotButton="0" quotePrefix="0" xfId="0">
      <alignment horizontal="centerContinuous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3" fillId="2" borderId="2" applyAlignment="1" pivotButton="0" quotePrefix="0" xfId="0">
      <alignment horizontal="centerContinuous" vertical="center"/>
    </xf>
    <xf numFmtId="0" fontId="2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0" fillId="0" borderId="2" pivotButton="0" quotePrefix="0" xfId="0"/>
    <xf numFmtId="164" fontId="8" fillId="3" borderId="2" applyAlignment="1" pivotButton="0" quotePrefix="0" xfId="0">
      <alignment horizontal="center" vertical="center"/>
    </xf>
    <xf numFmtId="165" fontId="8" fillId="3" borderId="2" applyAlignment="1" pivotButton="0" quotePrefix="0" xfId="0">
      <alignment horizontal="center" vertical="center"/>
    </xf>
    <xf numFmtId="166" fontId="8" fillId="3" borderId="2" applyAlignment="1" pivotButton="0" quotePrefix="0" xfId="0">
      <alignment horizontal="center" vertical="center"/>
    </xf>
    <xf numFmtId="1" fontId="8" fillId="3" borderId="2" applyAlignment="1" pivotButton="0" quotePrefix="0" xfId="0">
      <alignment horizontal="center" vertical="center"/>
    </xf>
    <xf numFmtId="0" fontId="2" fillId="0" borderId="0" pivotButton="0" quotePrefix="0" xfId="0"/>
    <xf numFmtId="0" fontId="0" fillId="3" borderId="2" applyAlignment="1" pivotButton="0" quotePrefix="0" xfId="0">
      <alignment horizontal="center" vertical="center"/>
    </xf>
    <xf numFmtId="166" fontId="2" fillId="3" borderId="2" applyAlignment="1" pivotButton="0" quotePrefix="0" xfId="0">
      <alignment horizontal="center" vertical="center"/>
    </xf>
    <xf numFmtId="165" fontId="2" fillId="3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0" fontId="4" fillId="0" borderId="0" pivotButton="0" quotePrefix="0" xfId="0"/>
    <xf numFmtId="1" fontId="8" fillId="3" borderId="2" pivotButton="0" quotePrefix="0" xfId="0"/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4" borderId="2" applyAlignment="1" pivotButton="0" quotePrefix="0" xfId="0">
      <alignment horizontal="right" vertical="center"/>
    </xf>
    <xf numFmtId="167" fontId="5" fillId="4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2" fillId="3" borderId="2" pivotButton="0" quotePrefix="0" xfId="0"/>
    <xf numFmtId="0" fontId="0" fillId="3" borderId="2" pivotButton="0" quotePrefix="0" xfId="0"/>
    <xf numFmtId="0" fontId="6" fillId="0" borderId="2" pivotButton="0" quotePrefix="0" xfId="0"/>
    <xf numFmtId="1" fontId="5" fillId="4" borderId="2" applyAlignment="1" pivotButton="0" quotePrefix="0" xfId="0">
      <alignment horizontal="right" vertical="center"/>
    </xf>
    <xf numFmtId="164" fontId="5" fillId="4" borderId="2" applyAlignment="1" pivotButton="0" quotePrefix="0" xfId="0">
      <alignment horizontal="right" vertical="center"/>
    </xf>
    <xf numFmtId="165" fontId="5" fillId="4" borderId="2" applyAlignment="1" pivotButton="0" quotePrefix="0" xfId="0">
      <alignment horizontal="right" vertical="center"/>
    </xf>
    <xf numFmtId="1" fontId="2" fillId="3" borderId="2" applyAlignment="1" pivotButton="0" quotePrefix="0" xfId="0">
      <alignment horizontal="right" vertical="center"/>
    </xf>
    <xf numFmtId="0" fontId="0" fillId="3" borderId="2" applyAlignment="1" pivotButton="0" quotePrefix="0" xfId="0">
      <alignment horizontal="right" vertical="center"/>
    </xf>
    <xf numFmtId="168" fontId="5" fillId="4" borderId="2" applyAlignment="1" pivotButton="0" quotePrefix="0" xfId="0">
      <alignment horizontal="right" vertical="center"/>
    </xf>
    <xf numFmtId="169" fontId="5" fillId="4" borderId="2" applyAlignment="1" pivotButton="0" quotePrefix="0" xfId="0">
      <alignment horizontal="right" vertical="center"/>
    </xf>
    <xf numFmtId="165" fontId="7" fillId="4" borderId="2" applyAlignment="1" pivotButton="0" quotePrefix="0" xfId="0">
      <alignment horizontal="right" vertical="center"/>
    </xf>
    <xf numFmtId="165" fontId="0" fillId="0" borderId="2" applyAlignment="1" pivotButton="0" quotePrefix="0" xfId="0">
      <alignment horizontal="right" vertical="center"/>
    </xf>
    <xf numFmtId="165" fontId="7" fillId="0" borderId="2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164" fontId="2" fillId="0" borderId="2" applyAlignment="1" pivotButton="0" quotePrefix="0" xfId="0">
      <alignment horizontal="right" vertical="center"/>
    </xf>
    <xf numFmtId="170" fontId="5" fillId="4" borderId="2" applyAlignment="1" pivotButton="0" quotePrefix="0" xfId="0">
      <alignment horizontal="right" vertical="center"/>
    </xf>
    <xf numFmtId="170" fontId="7" fillId="0" borderId="2" applyAlignment="1" pivotButton="0" quotePrefix="0" xfId="0">
      <alignment horizontal="right" vertical="center"/>
    </xf>
    <xf numFmtId="165" fontId="2" fillId="0" borderId="2" applyAlignment="1" pivotButton="0" quotePrefix="0" xfId="0">
      <alignment horizontal="right" vertical="center"/>
    </xf>
    <xf numFmtId="164" fontId="0" fillId="0" borderId="2" applyAlignment="1" pivotButton="0" quotePrefix="0" xfId="0">
      <alignment horizontal="right" vertical="center"/>
    </xf>
    <xf numFmtId="168" fontId="7" fillId="0" borderId="2" applyAlignment="1" pivotButton="0" quotePrefix="0" xfId="0">
      <alignment horizontal="right" vertical="center"/>
    </xf>
    <xf numFmtId="168" fontId="2" fillId="0" borderId="2" applyAlignment="1" pivotButton="0" quotePrefix="0" xfId="0">
      <alignment horizontal="right" vertical="center"/>
    </xf>
    <xf numFmtId="166" fontId="0" fillId="0" borderId="2" applyAlignment="1" pivotButton="0" quotePrefix="0" xfId="0">
      <alignment horizontal="right" vertical="center"/>
    </xf>
    <xf numFmtId="166" fontId="5" fillId="4" borderId="2" applyAlignment="1" pivotButton="0" quotePrefix="0" xfId="0">
      <alignment horizontal="right" vertical="center"/>
    </xf>
    <xf numFmtId="166" fontId="2" fillId="3" borderId="2" applyAlignment="1" pivotButton="0" quotePrefix="0" xfId="0">
      <alignment horizontal="right" vertical="center"/>
    </xf>
    <xf numFmtId="165" fontId="2" fillId="3" borderId="2" applyAlignment="1" pivotButton="0" quotePrefix="0" xfId="0">
      <alignment horizontal="right" vertical="center"/>
    </xf>
    <xf numFmtId="1" fontId="2" fillId="0" borderId="2" applyAlignment="1" pivotButton="0" quotePrefix="0" xfId="0">
      <alignment horizontal="right" vertical="center"/>
    </xf>
    <xf numFmtId="1" fontId="2" fillId="0" borderId="2" pivotButton="0" quotePrefix="0" xfId="0"/>
    <xf numFmtId="164" fontId="8" fillId="3" borderId="2" applyAlignment="1" pivotButton="0" quotePrefix="0" xfId="0">
      <alignment horizontal="center" vertical="center"/>
    </xf>
    <xf numFmtId="165" fontId="8" fillId="3" borderId="2" applyAlignment="1" pivotButton="0" quotePrefix="0" xfId="0">
      <alignment horizontal="center" vertical="center"/>
    </xf>
    <xf numFmtId="166" fontId="8" fillId="3" borderId="2" applyAlignment="1" pivotButton="0" quotePrefix="0" xfId="0">
      <alignment horizontal="center" vertical="center"/>
    </xf>
    <xf numFmtId="166" fontId="2" fillId="3" borderId="2" applyAlignment="1" pivotButton="0" quotePrefix="0" xfId="0">
      <alignment horizontal="center" vertical="center"/>
    </xf>
    <xf numFmtId="165" fontId="2" fillId="3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167" fontId="5" fillId="4" borderId="2" applyAlignment="1" pivotButton="0" quotePrefix="0" xfId="0">
      <alignment horizontal="right" vertical="center"/>
    </xf>
    <xf numFmtId="164" fontId="5" fillId="4" borderId="2" applyAlignment="1" pivotButton="0" quotePrefix="0" xfId="0">
      <alignment horizontal="right" vertical="center"/>
    </xf>
    <xf numFmtId="165" fontId="5" fillId="4" borderId="2" applyAlignment="1" pivotButton="0" quotePrefix="0" xfId="0">
      <alignment horizontal="right" vertical="center"/>
    </xf>
    <xf numFmtId="168" fontId="5" fillId="4" borderId="2" applyAlignment="1" pivotButton="0" quotePrefix="0" xfId="0">
      <alignment horizontal="right" vertical="center"/>
    </xf>
    <xf numFmtId="169" fontId="5" fillId="4" borderId="2" applyAlignment="1" pivotButton="0" quotePrefix="0" xfId="0">
      <alignment horizontal="right" vertical="center"/>
    </xf>
    <xf numFmtId="165" fontId="7" fillId="4" borderId="2" applyAlignment="1" pivotButton="0" quotePrefix="0" xfId="0">
      <alignment horizontal="right" vertical="center"/>
    </xf>
    <xf numFmtId="165" fontId="0" fillId="0" borderId="2" applyAlignment="1" pivotButton="0" quotePrefix="0" xfId="0">
      <alignment horizontal="right" vertical="center"/>
    </xf>
    <xf numFmtId="165" fontId="7" fillId="0" borderId="2" applyAlignment="1" pivotButton="0" quotePrefix="0" xfId="0">
      <alignment horizontal="right" vertical="center"/>
    </xf>
    <xf numFmtId="164" fontId="2" fillId="0" borderId="2" applyAlignment="1" pivotButton="0" quotePrefix="0" xfId="0">
      <alignment horizontal="right" vertical="center"/>
    </xf>
    <xf numFmtId="170" fontId="5" fillId="4" borderId="2" applyAlignment="1" pivotButton="0" quotePrefix="0" xfId="0">
      <alignment horizontal="right" vertical="center"/>
    </xf>
    <xf numFmtId="170" fontId="7" fillId="0" borderId="2" applyAlignment="1" pivotButton="0" quotePrefix="0" xfId="0">
      <alignment horizontal="right" vertical="center"/>
    </xf>
    <xf numFmtId="165" fontId="2" fillId="0" borderId="2" applyAlignment="1" pivotButton="0" quotePrefix="0" xfId="0">
      <alignment horizontal="right" vertical="center"/>
    </xf>
    <xf numFmtId="164" fontId="0" fillId="0" borderId="2" applyAlignment="1" pivotButton="0" quotePrefix="0" xfId="0">
      <alignment horizontal="right" vertical="center"/>
    </xf>
    <xf numFmtId="168" fontId="7" fillId="0" borderId="2" applyAlignment="1" pivotButton="0" quotePrefix="0" xfId="0">
      <alignment horizontal="right" vertical="center"/>
    </xf>
    <xf numFmtId="168" fontId="2" fillId="0" borderId="2" applyAlignment="1" pivotButton="0" quotePrefix="0" xfId="0">
      <alignment horizontal="right" vertical="center"/>
    </xf>
    <xf numFmtId="166" fontId="0" fillId="0" borderId="2" applyAlignment="1" pivotButton="0" quotePrefix="0" xfId="0">
      <alignment horizontal="right" vertical="center"/>
    </xf>
    <xf numFmtId="166" fontId="5" fillId="4" borderId="2" applyAlignment="1" pivotButton="0" quotePrefix="0" xfId="0">
      <alignment horizontal="right" vertical="center"/>
    </xf>
    <xf numFmtId="166" fontId="2" fillId="3" borderId="2" applyAlignment="1" pivotButton="0" quotePrefix="0" xfId="0">
      <alignment horizontal="right" vertical="center"/>
    </xf>
    <xf numFmtId="165" fontId="2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EPS accretion/dilution %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'03_GLOBAL_PARAMS'!$F$19:$K$19</f>
            </numRef>
          </cat>
          <val>
            <numRef>
              <f>'26_CALCS_SHARES_AND_EPS'!$F$14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'03_GLOBAL_PARAMS'!$F$19:$K$19</f>
            </numRef>
          </cat>
          <val>
            <numRef>
              <f>'26_CALCS_SHARES_AND_EPS'!$G$14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'03_GLOBAL_PARAMS'!$F$19:$K$19</f>
            </numRef>
          </cat>
          <val>
            <numRef>
              <f>'26_CALCS_SHARES_AND_EPS'!$H$14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'03_GLOBAL_PARAMS'!$F$19:$K$19</f>
            </numRef>
          </cat>
          <val>
            <numRef>
              <f>'26_CALCS_SHARES_AND_EPS'!$I$14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'03_GLOBAL_PARAMS'!$F$19:$K$19</f>
            </numRef>
          </cat>
          <val>
            <numRef>
              <f>'26_CALCS_SHARES_AND_EPS'!$J$14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'03_GLOBAL_PARAMS'!$F$19:$K$19</f>
            </numRef>
          </cat>
          <val>
            <numRef>
              <f>'26_CALCS_SHARES_AND_EPS'!$K$14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trace</author>
  </authors>
  <commentList>
    <comment ref="B8" authorId="0" shapeId="0">
      <text>
        <t>Trace: =out_AccDil_Y1</t>
      </text>
    </comment>
    <comment ref="E8" authorId="0" shapeId="0">
      <text>
        <t>Trace: =out_AccDil_Y2</t>
      </text>
    </comment>
    <comment ref="H8" authorId="0" shapeId="0">
      <text>
        <t>Trace: =out_AccDil_Y5</t>
      </text>
    </comment>
    <comment ref="K8" authorId="0" shapeId="0">
      <text>
        <t>Trace: =out_PF_EPS_Y1</t>
      </text>
    </comment>
    <comment ref="B11" authorId="0" shapeId="0">
      <text>
        <t>Trace: =out_PF_EPS_Y2</t>
      </text>
    </comment>
    <comment ref="E11" authorId="0" shapeId="0">
      <text>
        <t>Trace: =out_PF_EPS_Y5</t>
      </text>
    </comment>
    <comment ref="H11" authorId="0" shapeId="0">
      <text>
        <t>Trace: =out_ND_EBITDA_Close</t>
      </text>
    </comment>
    <comment ref="K11" authorId="0" shapeId="0">
      <text>
        <t>Trace: =out_ND_EBITDA_Y1</t>
      </text>
    </comment>
    <comment ref="B14" authorId="0" shapeId="0">
      <text>
        <t>Trace: =out_ND_EBITDA_Y5</t>
      </text>
    </comment>
    <comment ref="E14" authorId="0" shapeId="0">
      <text>
        <t>Trace: =out_EV_EBITDA</t>
      </text>
    </comment>
    <comment ref="H14" authorId="0" shapeId="0">
      <text>
        <t>Trace: =out_EV_REV</t>
      </text>
    </comment>
    <comment ref="K14" authorId="0" shapeId="0">
      <text>
        <t>Trace: =out_SynergyRun</t>
      </text>
    </comment>
    <comment ref="B17" authorId="0" shapeId="0">
      <text>
        <t>Trace: =out_SynergyRamp_Y1</t>
      </text>
    </comment>
    <comment ref="E17" authorId="0" shapeId="0">
      <text>
        <t>Trace: =out_Goodwill</t>
      </text>
    </comment>
    <comment ref="H17" authorId="0" shapeId="0">
      <text>
        <t>Trace: =out_Intangibles</t>
      </text>
    </comment>
    <comment ref="K17" authorId="0" shapeId="0">
      <text>
        <t>Trace: =check_AllClear</t>
      </text>
    </comment>
  </commentList>
</comments>
</file>

<file path=xl/comments/comment2.xml><?xml version="1.0" encoding="utf-8"?>
<comments xmlns="http://schemas.openxmlformats.org/spreadsheetml/2006/main">
  <authors>
    <author>source</author>
  </authors>
  <commentList>
    <comment ref="B15" authorId="0" shapeId="0">
      <text>
        <t>Source: https://www.lime-technologies.com/en/</t>
      </text>
    </comment>
    <comment ref="B16" authorId="0" shapeId="0">
      <text>
        <t>Source: https://netcompany.com/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22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#00_DASHBOARD!A1" TargetMode="External" Id="rId1"/><Relationship Type="http://schemas.openxmlformats.org/officeDocument/2006/relationships/hyperlink" Target="#01_COVER!A1" TargetMode="External" Id="rId2"/><Relationship Type="http://schemas.openxmlformats.org/officeDocument/2006/relationships/hyperlink" Target="#02_TOC!A1" TargetMode="External" Id="rId3"/><Relationship Type="http://schemas.openxmlformats.org/officeDocument/2006/relationships/hyperlink" Target="#03_GLOBAL_PARAMS!A1" TargetMode="External" Id="rId4"/><Relationship Type="http://schemas.openxmlformats.org/officeDocument/2006/relationships/hyperlink" Target="#10_INPUTS_ACQUIRER!A1" TargetMode="External" Id="rId5"/><Relationship Type="http://schemas.openxmlformats.org/officeDocument/2006/relationships/hyperlink" Target="#11_INPUTS_TARGET!A1" TargetMode="External" Id="rId6"/><Relationship Type="http://schemas.openxmlformats.org/officeDocument/2006/relationships/hyperlink" Target="#12_INPUTS_DEAL_TERMS!A1" TargetMode="External" Id="rId7"/><Relationship Type="http://schemas.openxmlformats.org/officeDocument/2006/relationships/hyperlink" Target="#13_INPUTS_SYNERGIES!A1" TargetMode="External" Id="rId8"/><Relationship Type="http://schemas.openxmlformats.org/officeDocument/2006/relationships/hyperlink" Target="#14_INPUTS_FX_AND_ACCOUNTING!A1" TargetMode="External" Id="rId9"/><Relationship Type="http://schemas.openxmlformats.org/officeDocument/2006/relationships/hyperlink" Target="#20_CALCS_SOURCES_USES!A1" TargetMode="External" Id="rId10"/><Relationship Type="http://schemas.openxmlformats.org/officeDocument/2006/relationships/hyperlink" Target="#21_CALCS_FINANCING!A1" TargetMode="External" Id="rId11"/><Relationship Type="http://schemas.openxmlformats.org/officeDocument/2006/relationships/hyperlink" Target="#22_CALCS_PPA!A1" TargetMode="External" Id="rId12"/><Relationship Type="http://schemas.openxmlformats.org/officeDocument/2006/relationships/hyperlink" Target="#23_CALCS_PRO_FORMA_IS!A1" TargetMode="External" Id="rId13"/><Relationship Type="http://schemas.openxmlformats.org/officeDocument/2006/relationships/hyperlink" Target="#24_CALCS_PRO_FORMA_BS!A1" TargetMode="External" Id="rId14"/><Relationship Type="http://schemas.openxmlformats.org/officeDocument/2006/relationships/hyperlink" Target="#25_CALCS_PRO_FORMA_CF!A1" TargetMode="External" Id="rId15"/><Relationship Type="http://schemas.openxmlformats.org/officeDocument/2006/relationships/hyperlink" Target="#26_CALCS_SHARES_AND_EPS!A1" TargetMode="External" Id="rId16"/><Relationship Type="http://schemas.openxmlformats.org/officeDocument/2006/relationships/hyperlink" Target="#30_OUTPUT_SUMMARY!A1" TargetMode="External" Id="rId17"/><Relationship Type="http://schemas.openxmlformats.org/officeDocument/2006/relationships/hyperlink" Target="#31_OUTPUT_SENSITIVITIES!A1" TargetMode="External" Id="rId18"/><Relationship Type="http://schemas.openxmlformats.org/officeDocument/2006/relationships/hyperlink" Target="#90_CHECKS!A1" TargetMode="External" Id="rId19"/><Relationship Type="http://schemas.openxmlformats.org/officeDocument/2006/relationships/hyperlink" Target="#99_APPENDIX_DATA!A1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56"/>
  <sheetViews>
    <sheetView showGridLines="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34" customWidth="1" min="2" max="2"/>
    <col width="10" customWidth="1" min="3" max="3"/>
    <col width="40" customWidth="1" min="4" max="4"/>
    <col width="2.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0" customHeight="1">
      <c r="B1" s="1" t="inlineStr">
        <is>
          <t>00_DASHBOARD  IC view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15" customHeight="1"/>
    <row r="3" ht="15" customHeight="1"/>
    <row r="4" ht="15" customHeight="1"/>
    <row r="5" ht="16" customHeight="1">
      <c r="B5" s="2" t="inlineStr">
        <is>
          <t>LINE ITEM</t>
        </is>
      </c>
      <c r="C5" s="2" t="inlineStr">
        <is>
          <t>UNITS</t>
        </is>
      </c>
      <c r="D5" s="2" t="inlineStr">
        <is>
          <t>NOTES / SOURCES / FLAGS</t>
        </is>
      </c>
      <c r="E5" s="2" t="inlineStr"/>
      <c r="F5" s="3">
        <f>03_GLOBAL_PARAMS!F24</f>
        <v/>
      </c>
      <c r="G5" s="3">
        <f>03_GLOBAL_PARAMS!G24</f>
        <v/>
      </c>
      <c r="H5" s="3">
        <f>03_GLOBAL_PARAMS!H24</f>
        <v/>
      </c>
      <c r="I5" s="3">
        <f>03_GLOBAL_PARAMS!I24</f>
        <v/>
      </c>
      <c r="J5" s="3">
        <f>03_GLOBAL_PARAMS!J24</f>
        <v/>
      </c>
      <c r="K5" s="3">
        <f>03_GLOBAL_PARAMS!K24</f>
        <v/>
      </c>
    </row>
    <row r="6" ht="18" customHeight="1">
      <c r="B6" s="4" t="inlineStr">
        <is>
          <t>KEY TILES (LINKS ONLY)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 ht="15" customHeight="1">
      <c r="B7" s="5" t="inlineStr">
        <is>
          <t>EPS acc/dil %</t>
        </is>
      </c>
      <c r="C7" s="6" t="inlineStr">
        <is>
          <t>Year 1</t>
        </is>
      </c>
      <c r="D7" s="7" t="n"/>
      <c r="E7" s="5" t="inlineStr">
        <is>
          <t>EPS acc/dil %</t>
        </is>
      </c>
      <c r="F7" s="6" t="inlineStr">
        <is>
          <t>Year 2</t>
        </is>
      </c>
      <c r="G7" s="7" t="n"/>
      <c r="H7" s="5" t="inlineStr">
        <is>
          <t>EPS acc/dil %</t>
        </is>
      </c>
      <c r="I7" s="6" t="inlineStr">
        <is>
          <t>Year 5</t>
        </is>
      </c>
      <c r="J7" s="7" t="n"/>
      <c r="K7" s="5" t="inlineStr">
        <is>
          <t>Pro forma EPS</t>
        </is>
      </c>
      <c r="L7" s="6" t="inlineStr">
        <is>
          <t>Year 1</t>
        </is>
      </c>
      <c r="M7" s="7" t="n"/>
    </row>
    <row r="8" ht="15" customHeight="1">
      <c r="B8" s="52">
        <f>out_AccDil_Y1</f>
        <v/>
      </c>
      <c r="C8" s="7" t="n"/>
      <c r="D8" s="7" t="n"/>
      <c r="E8" s="52">
        <f>out_AccDil_Y2</f>
        <v/>
      </c>
      <c r="F8" s="7" t="n"/>
      <c r="G8" s="7" t="n"/>
      <c r="H8" s="52">
        <f>out_AccDil_Y5</f>
        <v/>
      </c>
      <c r="I8" s="7" t="n"/>
      <c r="J8" s="7" t="n"/>
      <c r="K8" s="53">
        <f>out_PF_EPS_Y1</f>
        <v/>
      </c>
      <c r="L8" s="7" t="n"/>
      <c r="M8" s="7" t="n"/>
    </row>
    <row r="9" ht="15" customHeight="1"/>
    <row r="10" ht="15" customHeight="1">
      <c r="B10" s="5" t="inlineStr">
        <is>
          <t>Pro forma EPS</t>
        </is>
      </c>
      <c r="C10" s="6" t="inlineStr">
        <is>
          <t>Year 2</t>
        </is>
      </c>
      <c r="D10" s="7" t="n"/>
      <c r="E10" s="5" t="inlineStr">
        <is>
          <t>Pro forma EPS</t>
        </is>
      </c>
      <c r="F10" s="6" t="inlineStr">
        <is>
          <t>Year 5</t>
        </is>
      </c>
      <c r="G10" s="7" t="n"/>
      <c r="H10" s="5" t="inlineStr">
        <is>
          <t>Net debt / EBITDA</t>
        </is>
      </c>
      <c r="I10" s="6" t="inlineStr">
        <is>
          <t>Close</t>
        </is>
      </c>
      <c r="J10" s="7" t="n"/>
      <c r="K10" s="5" t="inlineStr">
        <is>
          <t>Net debt / EBITDA</t>
        </is>
      </c>
      <c r="L10" s="6" t="inlineStr">
        <is>
          <t>Year 1</t>
        </is>
      </c>
      <c r="M10" s="7" t="n"/>
    </row>
    <row r="11" ht="15" customHeight="1">
      <c r="B11" s="53">
        <f>out_PF_EPS_Y2</f>
        <v/>
      </c>
      <c r="C11" s="7" t="n"/>
      <c r="D11" s="7" t="n"/>
      <c r="E11" s="53">
        <f>out_PF_EPS_Y5</f>
        <v/>
      </c>
      <c r="F11" s="7" t="n"/>
      <c r="G11" s="7" t="n"/>
      <c r="H11" s="54">
        <f>out_ND_EBITDA_Close</f>
        <v/>
      </c>
      <c r="I11" s="7" t="n"/>
      <c r="J11" s="7" t="n"/>
      <c r="K11" s="54">
        <f>out_ND_EBITDA_Y1</f>
        <v/>
      </c>
      <c r="L11" s="7" t="n"/>
      <c r="M11" s="7" t="n"/>
    </row>
    <row r="12" ht="15" customHeight="1"/>
    <row r="13" ht="15" customHeight="1">
      <c r="B13" s="5" t="inlineStr">
        <is>
          <t>Net debt / EBITDA</t>
        </is>
      </c>
      <c r="C13" s="6" t="inlineStr">
        <is>
          <t>Year 5</t>
        </is>
      </c>
      <c r="D13" s="7" t="n"/>
      <c r="E13" s="5" t="inlineStr">
        <is>
          <t>Purchase multiple EV/EBITDA</t>
        </is>
      </c>
      <c r="F13" s="6" t="inlineStr">
        <is>
          <t>Close</t>
        </is>
      </c>
      <c r="G13" s="7" t="n"/>
      <c r="H13" s="5" t="inlineStr">
        <is>
          <t>Purchase multiple EV/Revenue</t>
        </is>
      </c>
      <c r="I13" s="6" t="inlineStr">
        <is>
          <t>Close</t>
        </is>
      </c>
      <c r="J13" s="7" t="n"/>
      <c r="K13" s="5" t="inlineStr">
        <is>
          <t>Synergy run-rate</t>
        </is>
      </c>
      <c r="L13" s="6" t="inlineStr">
        <is>
          <t>DKKm</t>
        </is>
      </c>
      <c r="M13" s="7" t="n"/>
    </row>
    <row r="14" ht="15" customHeight="1">
      <c r="B14" s="54">
        <f>out_ND_EBITDA_Y5</f>
        <v/>
      </c>
      <c r="C14" s="7" t="n"/>
      <c r="D14" s="7" t="n"/>
      <c r="E14" s="54">
        <f>out_EV_EBITDA</f>
        <v/>
      </c>
      <c r="F14" s="7" t="n"/>
      <c r="G14" s="7" t="n"/>
      <c r="H14" s="54">
        <f>out_EV_REV</f>
        <v/>
      </c>
      <c r="I14" s="7" t="n"/>
      <c r="J14" s="7" t="n"/>
      <c r="K14" s="53">
        <f>out_SynergyRun</f>
        <v/>
      </c>
      <c r="L14" s="7" t="n"/>
      <c r="M14" s="7" t="n"/>
    </row>
    <row r="15" ht="15" customHeight="1"/>
    <row r="16" ht="15" customHeight="1">
      <c r="B16" s="5" t="inlineStr">
        <is>
          <t>Synergy ramp achieved</t>
        </is>
      </c>
      <c r="C16" s="6" t="inlineStr">
        <is>
          <t>Year 1</t>
        </is>
      </c>
      <c r="D16" s="7" t="n"/>
      <c r="E16" s="5" t="inlineStr">
        <is>
          <t>Goodwill created</t>
        </is>
      </c>
      <c r="F16" s="6" t="inlineStr">
        <is>
          <t>DKKm</t>
        </is>
      </c>
      <c r="G16" s="7" t="n"/>
      <c r="H16" s="5" t="inlineStr">
        <is>
          <t>Intangibles created</t>
        </is>
      </c>
      <c r="I16" s="6" t="inlineStr">
        <is>
          <t>DKKm</t>
        </is>
      </c>
      <c r="J16" s="7" t="n"/>
      <c r="K16" s="5" t="inlineStr">
        <is>
          <t>Checks status (1/0)</t>
        </is>
      </c>
      <c r="L16" s="6" t="inlineStr">
        <is>
          <t>All clear</t>
        </is>
      </c>
      <c r="M16" s="7" t="n"/>
    </row>
    <row r="17" ht="15" customHeight="1">
      <c r="B17" s="52">
        <f>out_SynergyRamp_Y1</f>
        <v/>
      </c>
      <c r="C17" s="7" t="n"/>
      <c r="D17" s="7" t="n"/>
      <c r="E17" s="53">
        <f>out_Goodwill</f>
        <v/>
      </c>
      <c r="F17" s="7" t="n"/>
      <c r="G17" s="7" t="n"/>
      <c r="H17" s="53">
        <f>out_Intangibles</f>
        <v/>
      </c>
      <c r="I17" s="7" t="n"/>
      <c r="J17" s="7" t="n"/>
      <c r="K17" s="11">
        <f>check_AllClear</f>
        <v/>
      </c>
      <c r="L17" s="7" t="n"/>
      <c r="M17" s="7" t="n"/>
    </row>
    <row r="18" ht="15" customHeight="1"/>
    <row r="19" ht="15" customHeight="1"/>
    <row r="20" ht="15" customHeight="1"/>
    <row r="21" ht="15" customHeight="1"/>
    <row r="22" ht="18" customHeight="1">
      <c r="B22" s="4" t="inlineStr">
        <is>
          <t>CHARTS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>
      <c r="B33" s="12" t="inlineStr">
        <is>
          <t>Heatmap: Acc/Dil % (Year 1)</t>
        </is>
      </c>
    </row>
    <row r="34" ht="15" customHeight="1">
      <c r="B34" s="13" t="inlineStr"/>
      <c r="C34" s="55">
        <f>31_OUTPUT_SENSITIVITIES!F9</f>
        <v/>
      </c>
      <c r="D34" s="55">
        <f>31_OUTPUT_SENSITIVITIES!G9</f>
        <v/>
      </c>
      <c r="E34" s="55">
        <f>31_OUTPUT_SENSITIVITIES!H9</f>
        <v/>
      </c>
      <c r="F34" s="55">
        <f>31_OUTPUT_SENSITIVITIES!I9</f>
        <v/>
      </c>
      <c r="G34" s="55">
        <f>31_OUTPUT_SENSITIVITIES!J9</f>
        <v/>
      </c>
    </row>
    <row r="35" ht="15" customHeight="1">
      <c r="B35" s="56">
        <f>31_OUTPUT_SENSITIVITIES!E10</f>
        <v/>
      </c>
      <c r="C35" s="57">
        <f>31_OUTPUT_SENSITIVITIES!F10</f>
        <v/>
      </c>
      <c r="D35" s="57">
        <f>31_OUTPUT_SENSITIVITIES!G10</f>
        <v/>
      </c>
      <c r="E35" s="57">
        <f>31_OUTPUT_SENSITIVITIES!H10</f>
        <v/>
      </c>
      <c r="F35" s="57">
        <f>31_OUTPUT_SENSITIVITIES!I10</f>
        <v/>
      </c>
      <c r="G35" s="57">
        <f>31_OUTPUT_SENSITIVITIES!J10</f>
        <v/>
      </c>
    </row>
    <row r="36" ht="15" customHeight="1">
      <c r="B36" s="56">
        <f>31_OUTPUT_SENSITIVITIES!E11</f>
        <v/>
      </c>
      <c r="C36" s="57">
        <f>31_OUTPUT_SENSITIVITIES!F11</f>
        <v/>
      </c>
      <c r="D36" s="57">
        <f>31_OUTPUT_SENSITIVITIES!G11</f>
        <v/>
      </c>
      <c r="E36" s="57">
        <f>31_OUTPUT_SENSITIVITIES!H11</f>
        <v/>
      </c>
      <c r="F36" s="57">
        <f>31_OUTPUT_SENSITIVITIES!I11</f>
        <v/>
      </c>
      <c r="G36" s="57">
        <f>31_OUTPUT_SENSITIVITIES!J11</f>
        <v/>
      </c>
    </row>
    <row r="37" ht="15" customHeight="1">
      <c r="B37" s="56">
        <f>31_OUTPUT_SENSITIVITIES!E12</f>
        <v/>
      </c>
      <c r="C37" s="57">
        <f>31_OUTPUT_SENSITIVITIES!F12</f>
        <v/>
      </c>
      <c r="D37" s="57">
        <f>31_OUTPUT_SENSITIVITIES!G12</f>
        <v/>
      </c>
      <c r="E37" s="57">
        <f>31_OUTPUT_SENSITIVITIES!H12</f>
        <v/>
      </c>
      <c r="F37" s="57">
        <f>31_OUTPUT_SENSITIVITIES!I12</f>
        <v/>
      </c>
      <c r="G37" s="57">
        <f>31_OUTPUT_SENSITIVITIES!J12</f>
        <v/>
      </c>
    </row>
    <row r="38" ht="15" customHeight="1">
      <c r="B38" s="56">
        <f>31_OUTPUT_SENSITIVITIES!E13</f>
        <v/>
      </c>
      <c r="C38" s="57">
        <f>31_OUTPUT_SENSITIVITIES!F13</f>
        <v/>
      </c>
      <c r="D38" s="57">
        <f>31_OUTPUT_SENSITIVITIES!G13</f>
        <v/>
      </c>
      <c r="E38" s="57">
        <f>31_OUTPUT_SENSITIVITIES!H13</f>
        <v/>
      </c>
      <c r="F38" s="57">
        <f>31_OUTPUT_SENSITIVITIES!I13</f>
        <v/>
      </c>
      <c r="G38" s="57">
        <f>31_OUTPUT_SENSITIVITIES!J13</f>
        <v/>
      </c>
    </row>
    <row r="39" ht="15" customHeight="1">
      <c r="B39" s="56">
        <f>31_OUTPUT_SENSITIVITIES!E14</f>
        <v/>
      </c>
      <c r="C39" s="57">
        <f>31_OUTPUT_SENSITIVITIES!F14</f>
        <v/>
      </c>
      <c r="D39" s="57">
        <f>31_OUTPUT_SENSITIVITIES!G14</f>
        <v/>
      </c>
      <c r="E39" s="57">
        <f>31_OUTPUT_SENSITIVITIES!H14</f>
        <v/>
      </c>
      <c r="F39" s="57">
        <f>31_OUTPUT_SENSITIVITIES!I14</f>
        <v/>
      </c>
      <c r="G39" s="57">
        <f>31_OUTPUT_SENSITIVITIES!J14</f>
        <v/>
      </c>
    </row>
    <row r="40" ht="15" customHeight="1"/>
    <row r="41" ht="18" customHeight="1">
      <c r="B41" s="4" t="inlineStr">
        <is>
          <t>WHAT THIS MEANS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</row>
    <row r="42" ht="15" customHeight="1">
      <c r="B42" s="17" t="inlineStr">
        <is>
          <t>- Bullet 1 (link narrative to outputs above)</t>
        </is>
      </c>
    </row>
    <row r="43" ht="15" customHeight="1">
      <c r="B43" s="17" t="inlineStr">
        <is>
          <t>- Bullet 2 (link narrative to outputs above)</t>
        </is>
      </c>
    </row>
    <row r="44" ht="15" customHeight="1">
      <c r="B44" s="17" t="inlineStr">
        <is>
          <t>- Bullet 3 (link narrative to outputs above)</t>
        </is>
      </c>
    </row>
    <row r="45" ht="15" customHeight="1">
      <c r="B45" s="17" t="inlineStr">
        <is>
          <t>- Bullet 4 (link narrative to outputs above)</t>
        </is>
      </c>
    </row>
    <row r="46" ht="15" customHeight="1">
      <c r="B46" s="17" t="inlineStr">
        <is>
          <t>- Bullet 5 (link narrative to outputs above)</t>
        </is>
      </c>
    </row>
    <row r="47" ht="15" customHeight="1"/>
    <row r="48" ht="18" customHeight="1">
      <c r="B48" s="4" t="inlineStr">
        <is>
          <t>TOP RISKS</t>
        </is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</row>
    <row r="49" ht="15" customHeight="1">
      <c r="B49" s="17" t="inlineStr">
        <is>
          <t>- Risk 1: map to a sensitivity in 31_OUTPUT_SENSITIVITIES</t>
        </is>
      </c>
    </row>
    <row r="50" ht="15" customHeight="1">
      <c r="B50" s="17" t="inlineStr">
        <is>
          <t>- Risk 2: map to a sensitivity in 31_OUTPUT_SENSITIVITIES</t>
        </is>
      </c>
    </row>
    <row r="51" ht="15" customHeight="1">
      <c r="B51" s="17" t="inlineStr">
        <is>
          <t>- Risk 3: map to a sensitivity in 31_OUTPUT_SENSITIVITIES</t>
        </is>
      </c>
    </row>
    <row r="52" ht="15" customHeight="1">
      <c r="B52" s="17" t="inlineStr">
        <is>
          <t>- Risk 4: map to a sensitivity in 31_OUTPUT_SENSITIVITIES</t>
        </is>
      </c>
    </row>
    <row r="53" ht="15" customHeight="1">
      <c r="B53" s="17" t="inlineStr">
        <is>
          <t>- Risk 5: map to a sensitivity in 31_OUTPUT_SENSITIVITIES</t>
        </is>
      </c>
    </row>
    <row r="54" ht="15" customHeight="1"/>
    <row r="55" ht="18" customHeight="1">
      <c r="B55" s="4" t="inlineStr">
        <is>
          <t>CHECKS STATUS</t>
        </is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</row>
    <row r="56" ht="15" customHeight="1">
      <c r="B56" s="12" t="inlineStr">
        <is>
          <t>All checks clear (1/0):</t>
        </is>
      </c>
      <c r="F56" s="18">
        <f>check_AllClear</f>
        <v/>
      </c>
    </row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</sheetData>
  <conditionalFormatting sqref="C35:G3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K23"/>
  <sheetViews>
    <sheetView showGridLines="0" workbookViewId="0">
      <pane xSplit="5" ySplit="5" topLeftCell="F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34" customWidth="1" min="2" max="2"/>
    <col width="10" customWidth="1" min="3" max="3"/>
    <col width="40" customWidth="1" min="4" max="4"/>
    <col width="2.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0" customHeight="1">
      <c r="B1" s="1" t="inlineStr">
        <is>
          <t>01_COVER  Print ready cover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15" customHeight="1"/>
    <row r="3" ht="15" customHeight="1"/>
    <row r="4" ht="15" customHeight="1"/>
    <row r="5" ht="16" customHeight="1">
      <c r="B5" s="2" t="inlineStr">
        <is>
          <t>LINE ITEM</t>
        </is>
      </c>
      <c r="C5" s="2" t="inlineStr">
        <is>
          <t>UNITS</t>
        </is>
      </c>
      <c r="D5" s="2" t="inlineStr">
        <is>
          <t>NOTES / SOURCES / FLAGS</t>
        </is>
      </c>
      <c r="E5" s="2" t="inlineStr"/>
      <c r="F5" s="3">
        <f>03_GLOBAL_PARAMS!F24</f>
        <v/>
      </c>
      <c r="G5" s="3">
        <f>03_GLOBAL_PARAMS!G24</f>
        <v/>
      </c>
      <c r="H5" s="3">
        <f>03_GLOBAL_PARAMS!H24</f>
        <v/>
      </c>
      <c r="I5" s="3">
        <f>03_GLOBAL_PARAMS!I24</f>
        <v/>
      </c>
      <c r="J5" s="3">
        <f>03_GLOBAL_PARAMS!J24</f>
        <v/>
      </c>
      <c r="K5" s="3">
        <f>03_GLOBAL_PARAMS!K24</f>
        <v/>
      </c>
    </row>
    <row r="6" ht="18" customHeight="1">
      <c r="B6" s="4" t="inlineStr">
        <is>
          <t>DEAL SUMMARY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 ht="15" customHeight="1">
      <c r="B7" s="19" t="inlineStr">
        <is>
          <t>Acquirer</t>
        </is>
      </c>
      <c r="C7" s="20" t="inlineStr">
        <is>
          <t>Text</t>
        </is>
      </c>
      <c r="F7" s="21" t="inlineStr">
        <is>
          <t>Netcompany A/S</t>
        </is>
      </c>
    </row>
    <row r="8" ht="15" customHeight="1">
      <c r="B8" s="19" t="inlineStr">
        <is>
          <t>Target</t>
        </is>
      </c>
      <c r="C8" s="20" t="inlineStr">
        <is>
          <t>Text</t>
        </is>
      </c>
      <c r="F8" s="21" t="inlineStr">
        <is>
          <t>Lime Technologies (Sweden)</t>
        </is>
      </c>
    </row>
    <row r="9" ht="15" customHeight="1">
      <c r="B9" s="19" t="inlineStr">
        <is>
          <t>Reporting currency</t>
        </is>
      </c>
      <c r="C9" s="20" t="inlineStr">
        <is>
          <t>Text</t>
        </is>
      </c>
      <c r="F9" s="21" t="inlineStr">
        <is>
          <t>DKK</t>
        </is>
      </c>
    </row>
    <row r="10" ht="15" customHeight="1">
      <c r="B10" s="19" t="inlineStr">
        <is>
          <t>Model version</t>
        </is>
      </c>
      <c r="C10" s="20" t="inlineStr">
        <is>
          <t>Text</t>
        </is>
      </c>
      <c r="F10" s="21" t="inlineStr">
        <is>
          <t>v0.1</t>
        </is>
      </c>
    </row>
    <row r="11" ht="15" customHeight="1">
      <c r="B11" s="19" t="inlineStr">
        <is>
          <t>Model date</t>
        </is>
      </c>
      <c r="C11" s="20" t="inlineStr">
        <is>
          <t>Date</t>
        </is>
      </c>
      <c r="F11" s="58" t="n">
        <v>46069</v>
      </c>
    </row>
    <row r="12" ht="15" customHeight="1">
      <c r="B12" s="19" t="inlineStr">
        <is>
          <t>Author</t>
        </is>
      </c>
      <c r="C12" s="20" t="inlineStr">
        <is>
          <t>Text</t>
        </is>
      </c>
      <c r="F12" s="21" t="inlineStr">
        <is>
          <t>Analyst</t>
        </is>
      </c>
    </row>
    <row r="13" ht="15" customHeight="1"/>
    <row r="14" ht="18" customHeight="1">
      <c r="B14" s="4" t="inlineStr">
        <is>
          <t>CASE LOCK BULLETS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 ht="15" customHeight="1">
      <c r="B15" s="23" t="inlineStr">
        <is>
          <t>1. Target locked: Lime Technologies (Sweden), Nordic CRM SaaS subscription model.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 ht="15" customHeight="1">
      <c r="B16" s="23" t="inlineStr">
        <is>
          <t>2. Fit hypothesis: accelerates Netcompany product/platform expansion with recurring software revenue exposure.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</row>
    <row r="17" ht="15" customHeight="1">
      <c r="B17" s="23" t="inlineStr">
        <is>
          <t>3. Cross-border: SEK functional economics converted to DKK reporting, explicit FX sensitivity (SEK/DKK).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 ht="15" customHeight="1">
      <c r="B18" s="23" t="inlineStr">
        <is>
          <t>4. Deal logic tested via: EPS bridge (synergies vs financing vs PPA amortisation vs share issuance).</t>
        </is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</row>
    <row r="19" ht="15" customHeight="1">
      <c r="B19" s="23" t="inlineStr">
        <is>
          <t>5. Training case only: illustrative assumptions where public data is unavailable.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 ht="15" customHeight="1"/>
    <row r="21" ht="15" customHeight="1"/>
    <row r="22" ht="18" customHeight="1">
      <c r="B22" s="4" t="inlineStr">
        <is>
          <t>DISCLAIMER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 ht="15" customHeight="1">
      <c r="B23" s="24" t="inlineStr">
        <is>
          <t>Training case only. Inputs are illustrative where public data is unavailable. Not investment advice.</t>
        </is>
      </c>
    </row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K27"/>
  <sheetViews>
    <sheetView showGridLines="0" workbookViewId="0">
      <pane xSplit="5" ySplit="5" topLeftCell="F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34" customWidth="1" min="2" max="2"/>
    <col width="10" customWidth="1" min="3" max="3"/>
    <col width="40" customWidth="1" min="4" max="4"/>
    <col width="2.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0" customHeight="1">
      <c r="B1" s="1" t="inlineStr">
        <is>
          <t>02_TOC  Clickable index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15" customHeight="1"/>
    <row r="3" ht="15" customHeight="1"/>
    <row r="4" ht="15" customHeight="1"/>
    <row r="5" ht="16" customHeight="1">
      <c r="B5" s="2" t="inlineStr">
        <is>
          <t>LINE ITEM</t>
        </is>
      </c>
      <c r="C5" s="2" t="inlineStr">
        <is>
          <t>UNITS</t>
        </is>
      </c>
      <c r="D5" s="2" t="inlineStr">
        <is>
          <t>NOTES / SOURCES / FLAGS</t>
        </is>
      </c>
      <c r="E5" s="2" t="inlineStr"/>
      <c r="F5" s="3">
        <f>03_GLOBAL_PARAMS!F24</f>
        <v/>
      </c>
      <c r="G5" s="3">
        <f>03_GLOBAL_PARAMS!G24</f>
        <v/>
      </c>
      <c r="H5" s="3">
        <f>03_GLOBAL_PARAMS!H24</f>
        <v/>
      </c>
      <c r="I5" s="3">
        <f>03_GLOBAL_PARAMS!I24</f>
        <v/>
      </c>
      <c r="J5" s="3">
        <f>03_GLOBAL_PARAMS!J24</f>
        <v/>
      </c>
      <c r="K5" s="3">
        <f>03_GLOBAL_PARAMS!K24</f>
        <v/>
      </c>
    </row>
    <row r="6" ht="18" customHeight="1">
      <c r="B6" s="4" t="inlineStr">
        <is>
          <t>TAB INDEX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 ht="15" customHeight="1">
      <c r="B7" s="25" t="inlineStr">
        <is>
          <t>Tab name</t>
        </is>
      </c>
      <c r="C7" s="25" t="inlineStr">
        <is>
          <t>Purpose</t>
        </is>
      </c>
      <c r="D7" s="25" t="inlineStr">
        <is>
          <t>Link</t>
        </is>
      </c>
      <c r="E7" s="26" t="n"/>
      <c r="F7" s="26" t="n"/>
      <c r="G7" s="26" t="n"/>
      <c r="H7" s="26" t="n"/>
      <c r="I7" s="26" t="n"/>
      <c r="J7" s="26" t="n"/>
      <c r="K7" s="26" t="n"/>
    </row>
    <row r="8" ht="15" customHeight="1">
      <c r="B8" s="7" t="inlineStr">
        <is>
          <t>00_DASHBOARD</t>
        </is>
      </c>
      <c r="C8" s="7" t="inlineStr">
        <is>
          <t>IC view: KPIs, charts, narrative, check status</t>
        </is>
      </c>
      <c r="D8" s="27" t="inlineStr">
        <is>
          <t>Go to 00_DASHBOARD</t>
        </is>
      </c>
    </row>
    <row r="9" ht="15" customHeight="1">
      <c r="B9" s="7" t="inlineStr">
        <is>
          <t>01_COVER</t>
        </is>
      </c>
      <c r="C9" s="7" t="inlineStr">
        <is>
          <t>Cover page and case lock bullets</t>
        </is>
      </c>
      <c r="D9" s="27" t="inlineStr">
        <is>
          <t>Go to 01_COVER</t>
        </is>
      </c>
    </row>
    <row r="10" ht="15" customHeight="1">
      <c r="B10" s="7" t="inlineStr">
        <is>
          <t>02_TOC</t>
        </is>
      </c>
      <c r="C10" s="7" t="inlineStr">
        <is>
          <t>Navigation</t>
        </is>
      </c>
      <c r="D10" s="27" t="inlineStr">
        <is>
          <t>Go to 02_TOC</t>
        </is>
      </c>
    </row>
    <row r="11" ht="15" customHeight="1">
      <c r="B11" s="7" t="inlineStr">
        <is>
          <t>03_GLOBAL_PARAMS</t>
        </is>
      </c>
      <c r="C11" s="7" t="inlineStr">
        <is>
          <t>Controls and timeline</t>
        </is>
      </c>
      <c r="D11" s="27" t="inlineStr">
        <is>
          <t>Go to 03_GLOBAL_PARAMS</t>
        </is>
      </c>
    </row>
    <row r="12" ht="15" customHeight="1">
      <c r="B12" s="7" t="inlineStr">
        <is>
          <t>10_INPUTS_ACQUIRER</t>
        </is>
      </c>
      <c r="C12" s="7" t="inlineStr">
        <is>
          <t>Acquirer base and drivers</t>
        </is>
      </c>
      <c r="D12" s="27" t="inlineStr">
        <is>
          <t>Go to 10_INPUTS_ACQUIRER</t>
        </is>
      </c>
    </row>
    <row r="13" ht="15" customHeight="1">
      <c r="B13" s="7" t="inlineStr">
        <is>
          <t>11_INPUTS_TARGET</t>
        </is>
      </c>
      <c r="C13" s="7" t="inlineStr">
        <is>
          <t>Target SaaS drivers and base</t>
        </is>
      </c>
      <c r="D13" s="27" t="inlineStr">
        <is>
          <t>Go to 11_INPUTS_TARGET</t>
        </is>
      </c>
    </row>
    <row r="14" ht="15" customHeight="1">
      <c r="B14" s="7" t="inlineStr">
        <is>
          <t>12_INPUTS_DEAL_TERMS</t>
        </is>
      </c>
      <c r="C14" s="7" t="inlineStr">
        <is>
          <t>Deal terms and financing inputs</t>
        </is>
      </c>
      <c r="D14" s="27" t="inlineStr">
        <is>
          <t>Go to 12_INPUTS_DEAL_TERMS</t>
        </is>
      </c>
    </row>
    <row r="15" ht="15" customHeight="1">
      <c r="B15" s="7" t="inlineStr">
        <is>
          <t>13_INPUTS_SYNERGIES</t>
        </is>
      </c>
      <c r="C15" s="7" t="inlineStr">
        <is>
          <t>Synergies and one-offs</t>
        </is>
      </c>
      <c r="D15" s="27" t="inlineStr">
        <is>
          <t>Go to 13_INPUTS_SYNERGIES</t>
        </is>
      </c>
    </row>
    <row r="16" ht="15" customHeight="1">
      <c r="B16" s="7" t="inlineStr">
        <is>
          <t>14_INPUTS_FX_AND_ACCOUNTING</t>
        </is>
      </c>
      <c r="C16" s="7" t="inlineStr">
        <is>
          <t>FX rates and PPA elections</t>
        </is>
      </c>
      <c r="D16" s="27" t="inlineStr">
        <is>
          <t>Go to 14_INPUTS_FX_AND_ACCOUNTING</t>
        </is>
      </c>
    </row>
    <row r="17" ht="15" customHeight="1">
      <c r="B17" s="7" t="inlineStr">
        <is>
          <t>20_CALCS_SOURCES_USES</t>
        </is>
      </c>
      <c r="C17" s="7" t="inlineStr">
        <is>
          <t>Sources &amp; Uses</t>
        </is>
      </c>
      <c r="D17" s="27" t="inlineStr">
        <is>
          <t>Go to 20_CALCS_SOURCES_USES</t>
        </is>
      </c>
    </row>
    <row r="18" ht="15" customHeight="1">
      <c r="B18" s="7" t="inlineStr">
        <is>
          <t>21_CALCS_FINANCING</t>
        </is>
      </c>
      <c r="C18" s="7" t="inlineStr">
        <is>
          <t>Debt schedules</t>
        </is>
      </c>
      <c r="D18" s="27" t="inlineStr">
        <is>
          <t>Go to 21_CALCS_FINANCING</t>
        </is>
      </c>
    </row>
    <row r="19" ht="15" customHeight="1">
      <c r="B19" s="7" t="inlineStr">
        <is>
          <t>22_CALCS_PPA</t>
        </is>
      </c>
      <c r="C19" s="7" t="inlineStr">
        <is>
          <t>Goodwill and amort</t>
        </is>
      </c>
      <c r="D19" s="27" t="inlineStr">
        <is>
          <t>Go to 22_CALCS_PPA</t>
        </is>
      </c>
    </row>
    <row r="20" ht="15" customHeight="1">
      <c r="B20" s="7" t="inlineStr">
        <is>
          <t>23_CALCS_PRO_FORMA_IS</t>
        </is>
      </c>
      <c r="C20" s="7" t="inlineStr">
        <is>
          <t>Pro forma IS</t>
        </is>
      </c>
      <c r="D20" s="27" t="inlineStr">
        <is>
          <t>Go to 23_CALCS_PRO_FORMA_IS</t>
        </is>
      </c>
    </row>
    <row r="21" ht="15" customHeight="1">
      <c r="B21" s="7" t="inlineStr">
        <is>
          <t>24_CALCS_PRO_FORMA_BS</t>
        </is>
      </c>
      <c r="C21" s="7" t="inlineStr">
        <is>
          <t>Pro forma BS</t>
        </is>
      </c>
      <c r="D21" s="27" t="inlineStr">
        <is>
          <t>Go to 24_CALCS_PRO_FORMA_BS</t>
        </is>
      </c>
    </row>
    <row r="22" ht="15" customHeight="1">
      <c r="B22" s="7" t="inlineStr">
        <is>
          <t>25_CALCS_PRO_FORMA_CF</t>
        </is>
      </c>
      <c r="C22" s="7" t="inlineStr">
        <is>
          <t>Pro forma CF</t>
        </is>
      </c>
      <c r="D22" s="27" t="inlineStr">
        <is>
          <t>Go to 25_CALCS_PRO_FORMA_CF</t>
        </is>
      </c>
    </row>
    <row r="23" ht="15" customHeight="1">
      <c r="B23" s="7" t="inlineStr">
        <is>
          <t>26_CALCS_SHARES_AND_EPS</t>
        </is>
      </c>
      <c r="C23" s="7" t="inlineStr">
        <is>
          <t>Shares &amp; EPS</t>
        </is>
      </c>
      <c r="D23" s="27" t="inlineStr">
        <is>
          <t>Go to 26_CALCS_SHARES_AND_EPS</t>
        </is>
      </c>
    </row>
    <row r="24" ht="15" customHeight="1">
      <c r="B24" s="7" t="inlineStr">
        <is>
          <t>30_OUTPUT_SUMMARY</t>
        </is>
      </c>
      <c r="C24" s="7" t="inlineStr">
        <is>
          <t>Dashboard source table</t>
        </is>
      </c>
      <c r="D24" s="27" t="inlineStr">
        <is>
          <t>Go to 30_OUTPUT_SUMMARY</t>
        </is>
      </c>
    </row>
    <row r="25" ht="15" customHeight="1">
      <c r="B25" s="7" t="inlineStr">
        <is>
          <t>31_OUTPUT_SENSITIVITIES</t>
        </is>
      </c>
      <c r="C25" s="7" t="inlineStr">
        <is>
          <t>Heatmaps and sensitivities</t>
        </is>
      </c>
      <c r="D25" s="27" t="inlineStr">
        <is>
          <t>Go to 31_OUTPUT_SENSITIVITIES</t>
        </is>
      </c>
    </row>
    <row r="26" ht="15" customHeight="1">
      <c r="B26" s="7" t="inlineStr">
        <is>
          <t>90_CHECKS</t>
        </is>
      </c>
      <c r="C26" s="7" t="inlineStr">
        <is>
          <t>Checks hub</t>
        </is>
      </c>
      <c r="D26" s="27" t="inlineStr">
        <is>
          <t>Go to 90_CHECKS</t>
        </is>
      </c>
    </row>
    <row r="27" ht="15" customHeight="1">
      <c r="B27" s="7" t="inlineStr">
        <is>
          <t>99_APPENDIX_DATA</t>
        </is>
      </c>
      <c r="C27" s="7" t="inlineStr">
        <is>
          <t>External data zone</t>
        </is>
      </c>
      <c r="D27" s="27" t="inlineStr">
        <is>
          <t>Go to 99_APPENDIX_DATA</t>
        </is>
      </c>
    </row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</sheetData>
  <hyperlinks>
    <hyperlink xmlns:r="http://schemas.openxmlformats.org/officeDocument/2006/relationships" ref="D8" r:id="rId1"/>
    <hyperlink xmlns:r="http://schemas.openxmlformats.org/officeDocument/2006/relationships" ref="D9" r:id="rId2"/>
    <hyperlink xmlns:r="http://schemas.openxmlformats.org/officeDocument/2006/relationships" ref="D10" r:id="rId3"/>
    <hyperlink xmlns:r="http://schemas.openxmlformats.org/officeDocument/2006/relationships" ref="D11" r:id="rId4"/>
    <hyperlink xmlns:r="http://schemas.openxmlformats.org/officeDocument/2006/relationships" ref="D12" r:id="rId5"/>
    <hyperlink xmlns:r="http://schemas.openxmlformats.org/officeDocument/2006/relationships" ref="D13" r:id="rId6"/>
    <hyperlink xmlns:r="http://schemas.openxmlformats.org/officeDocument/2006/relationships" ref="D14" r:id="rId7"/>
    <hyperlink xmlns:r="http://schemas.openxmlformats.org/officeDocument/2006/relationships" ref="D15" r:id="rId8"/>
    <hyperlink xmlns:r="http://schemas.openxmlformats.org/officeDocument/2006/relationships" ref="D16" r:id="rId9"/>
    <hyperlink xmlns:r="http://schemas.openxmlformats.org/officeDocument/2006/relationships" ref="D17" r:id="rId10"/>
    <hyperlink xmlns:r="http://schemas.openxmlformats.org/officeDocument/2006/relationships" ref="D18" r:id="rId11"/>
    <hyperlink xmlns:r="http://schemas.openxmlformats.org/officeDocument/2006/relationships" ref="D19" r:id="rId12"/>
    <hyperlink xmlns:r="http://schemas.openxmlformats.org/officeDocument/2006/relationships" ref="D20" r:id="rId13"/>
    <hyperlink xmlns:r="http://schemas.openxmlformats.org/officeDocument/2006/relationships" ref="D21" r:id="rId14"/>
    <hyperlink xmlns:r="http://schemas.openxmlformats.org/officeDocument/2006/relationships" ref="D22" r:id="rId15"/>
    <hyperlink xmlns:r="http://schemas.openxmlformats.org/officeDocument/2006/relationships" ref="D23" r:id="rId16"/>
    <hyperlink xmlns:r="http://schemas.openxmlformats.org/officeDocument/2006/relationships" ref="D24" r:id="rId17"/>
    <hyperlink xmlns:r="http://schemas.openxmlformats.org/officeDocument/2006/relationships" ref="D25" r:id="rId18"/>
    <hyperlink xmlns:r="http://schemas.openxmlformats.org/officeDocument/2006/relationships" ref="D26" r:id="rId19"/>
    <hyperlink xmlns:r="http://schemas.openxmlformats.org/officeDocument/2006/relationships" ref="D27" r:id="rId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K20"/>
  <sheetViews>
    <sheetView showGridLines="0" workbookViewId="0">
      <pane xSplit="5" ySplit="20" topLeftCell="F21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34" customWidth="1" min="2" max="2"/>
    <col width="10" customWidth="1" min="3" max="3"/>
    <col width="40" customWidth="1" min="4" max="4"/>
    <col width="2.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0" customHeight="1">
      <c r="B1" s="1" t="inlineStr">
        <is>
          <t>03_GLOBAL_PARAMS  Control panel and timeline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15" customHeight="1"/>
    <row r="3" ht="15" customHeight="1"/>
    <row r="4" ht="15" customHeight="1"/>
    <row r="5" ht="16" customHeight="1">
      <c r="B5" s="2" t="inlineStr">
        <is>
          <t>LINE ITEM</t>
        </is>
      </c>
      <c r="C5" s="2" t="inlineStr">
        <is>
          <t>UNITS</t>
        </is>
      </c>
      <c r="D5" s="2" t="inlineStr">
        <is>
          <t>NOTES / SOURCES / FLAGS</t>
        </is>
      </c>
      <c r="E5" s="2" t="inlineStr"/>
      <c r="F5" s="3">
        <f>03_GLOBAL_PARAMS!F24</f>
        <v/>
      </c>
      <c r="G5" s="3">
        <f>03_GLOBAL_PARAMS!G24</f>
        <v/>
      </c>
      <c r="H5" s="3">
        <f>03_GLOBAL_PARAMS!H24</f>
        <v/>
      </c>
      <c r="I5" s="3">
        <f>03_GLOBAL_PARAMS!I24</f>
        <v/>
      </c>
      <c r="J5" s="3">
        <f>03_GLOBAL_PARAMS!J24</f>
        <v/>
      </c>
      <c r="K5" s="3">
        <f>03_GLOBAL_PARAMS!K24</f>
        <v/>
      </c>
    </row>
    <row r="6" ht="18" customHeight="1">
      <c r="B6" s="4" t="inlineStr">
        <is>
          <t>MODEL CONTROLS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 ht="15" customHeight="1">
      <c r="B7" s="19" t="inlineStr">
        <is>
          <t>Model start year (Y0)</t>
        </is>
      </c>
      <c r="C7" s="20" t="inlineStr">
        <is>
          <t>Year</t>
        </is>
      </c>
      <c r="F7" s="28" t="n">
        <v>2026</v>
      </c>
    </row>
    <row r="8" ht="15" customHeight="1">
      <c r="B8" s="19" t="inlineStr">
        <is>
          <t>Deal close date</t>
        </is>
      </c>
      <c r="C8" s="20" t="inlineStr">
        <is>
          <t>Date</t>
        </is>
      </c>
      <c r="F8" s="58" t="n">
        <v>46203</v>
      </c>
    </row>
    <row r="9" ht="15" customHeight="1">
      <c r="B9" s="19" t="inlineStr">
        <is>
          <t>Scenario</t>
        </is>
      </c>
      <c r="C9" s="20" t="inlineStr">
        <is>
          <t>Text</t>
        </is>
      </c>
      <c r="F9" s="21" t="inlineStr">
        <is>
          <t>Base</t>
        </is>
      </c>
    </row>
    <row r="10" ht="15" customHeight="1">
      <c r="B10" s="19" t="inlineStr">
        <is>
          <t>Consideration</t>
        </is>
      </c>
      <c r="C10" s="20" t="inlineStr">
        <is>
          <t>Text</t>
        </is>
      </c>
      <c r="F10" s="21" t="inlineStr">
        <is>
          <t>Mixed</t>
        </is>
      </c>
    </row>
    <row r="11" ht="15" customHeight="1">
      <c r="B11" s="19" t="inlineStr">
        <is>
          <t>Group tax rate</t>
        </is>
      </c>
      <c r="C11" s="20" t="inlineStr">
        <is>
          <t>%</t>
        </is>
      </c>
      <c r="F11" s="59" t="n">
        <v>0.22</v>
      </c>
    </row>
    <row r="12" ht="15" customHeight="1">
      <c r="B12" s="19" t="inlineStr">
        <is>
          <t>Min cash balance</t>
        </is>
      </c>
      <c r="C12" s="20" t="inlineStr">
        <is>
          <t>DKKm</t>
        </is>
      </c>
      <c r="F12" s="60" t="n">
        <v>50</v>
      </c>
    </row>
    <row r="13" ht="15" customHeight="1">
      <c r="B13" s="19" t="inlineStr">
        <is>
          <t>Cash sweep on (1/0)</t>
        </is>
      </c>
      <c r="C13" s="20" t="inlineStr">
        <is>
          <t>Flag</t>
        </is>
      </c>
      <c r="F13" s="28" t="n">
        <v>1</v>
      </c>
    </row>
    <row r="14" ht="15" customHeight="1">
      <c r="B14" s="19" t="inlineStr">
        <is>
          <t>Manual: no circular refs checked (1/0)</t>
        </is>
      </c>
      <c r="C14" s="20" t="inlineStr">
        <is>
          <t>Flag</t>
        </is>
      </c>
      <c r="F14" s="28" t="n">
        <v>0</v>
      </c>
    </row>
    <row r="15" ht="15" customHeight="1">
      <c r="B15" s="19" t="inlineStr">
        <is>
          <t>Manual: no external links outside 99 tab (1/0)</t>
        </is>
      </c>
      <c r="C15" s="20" t="inlineStr">
        <is>
          <t>Flag</t>
        </is>
      </c>
      <c r="F15" s="28" t="n">
        <v>0</v>
      </c>
    </row>
    <row r="16" ht="15" customHeight="1"/>
    <row r="17" ht="15" customHeight="1"/>
    <row r="18" ht="18" customHeight="1">
      <c r="B18" s="4" t="inlineStr">
        <is>
          <t>TIMELINE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 ht="15" customHeight="1">
      <c r="B19" s="12" t="inlineStr">
        <is>
          <t>Calendar year</t>
        </is>
      </c>
      <c r="F19" s="31">
        <f>g_StartYear+0</f>
        <v/>
      </c>
      <c r="G19" s="31">
        <f>g_StartYear+1</f>
        <v/>
      </c>
      <c r="H19" s="31">
        <f>g_StartYear+2</f>
        <v/>
      </c>
      <c r="I19" s="31">
        <f>g_StartYear+3</f>
        <v/>
      </c>
      <c r="J19" s="31">
        <f>g_StartYear+4</f>
        <v/>
      </c>
      <c r="K19" s="31">
        <f>g_StartYear+5</f>
        <v/>
      </c>
    </row>
    <row r="20" ht="15" customHeight="1">
      <c r="B20" s="12" t="inlineStr">
        <is>
          <t>Model year label</t>
        </is>
      </c>
      <c r="F20" s="32">
        <f>"Year_0"</f>
        <v/>
      </c>
      <c r="G20" s="32">
        <f>"Year_1"</f>
        <v/>
      </c>
      <c r="H20" s="32">
        <f>"Year_2"</f>
        <v/>
      </c>
      <c r="I20" s="32">
        <f>"Year_3"</f>
        <v/>
      </c>
      <c r="J20" s="32">
        <f>"Year_4"</f>
        <v/>
      </c>
      <c r="K20" s="32">
        <f>"Year_5"</f>
        <v/>
      </c>
    </row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K34"/>
  <sheetViews>
    <sheetView showGridLines="0" workbookViewId="0">
      <pane xSplit="5" ySplit="5" topLeftCell="F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34" customWidth="1" min="2" max="2"/>
    <col width="10" customWidth="1" min="3" max="3"/>
    <col width="40" customWidth="1" min="4" max="4"/>
    <col width="2.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0" customHeight="1">
      <c r="B1" s="1" t="inlineStr">
        <is>
          <t>10_INPUTS_ACQUIRER  Acquirer inputs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15" customHeight="1"/>
    <row r="3" ht="15" customHeight="1"/>
    <row r="4" ht="15" customHeight="1"/>
    <row r="5" ht="16" customHeight="1">
      <c r="B5" s="2" t="inlineStr">
        <is>
          <t>LINE ITEM</t>
        </is>
      </c>
      <c r="C5" s="2" t="inlineStr">
        <is>
          <t>UNITS</t>
        </is>
      </c>
      <c r="D5" s="2" t="inlineStr">
        <is>
          <t>NOTES / SOURCES / FLAGS</t>
        </is>
      </c>
      <c r="E5" s="2" t="inlineStr"/>
      <c r="F5" s="3">
        <f>03_GLOBAL_PARAMS!F24</f>
        <v/>
      </c>
      <c r="G5" s="3">
        <f>03_GLOBAL_PARAMS!G24</f>
        <v/>
      </c>
      <c r="H5" s="3">
        <f>03_GLOBAL_PARAMS!H24</f>
        <v/>
      </c>
      <c r="I5" s="3">
        <f>03_GLOBAL_PARAMS!I24</f>
        <v/>
      </c>
      <c r="J5" s="3">
        <f>03_GLOBAL_PARAMS!J24</f>
        <v/>
      </c>
      <c r="K5" s="3">
        <f>03_GLOBAL_PARAMS!K24</f>
        <v/>
      </c>
    </row>
    <row r="6" ht="18" customHeight="1">
      <c r="B6" s="4" t="inlineStr">
        <is>
          <t>REPORTED BASE YEAR FINANCIALS (DKKM)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 ht="15" customHeight="1">
      <c r="B7" s="19" t="inlineStr">
        <is>
          <t>Revenue</t>
        </is>
      </c>
      <c r="C7" s="20" t="inlineStr">
        <is>
          <t>DKKm</t>
        </is>
      </c>
      <c r="F7" s="60" t="n">
        <v>15000</v>
      </c>
    </row>
    <row r="8" ht="15" customHeight="1">
      <c r="B8" s="19" t="inlineStr">
        <is>
          <t>EBITDA</t>
        </is>
      </c>
      <c r="C8" s="20" t="inlineStr">
        <is>
          <t>DKKm</t>
        </is>
      </c>
      <c r="F8" s="60" t="n">
        <v>3000</v>
      </c>
    </row>
    <row r="9" ht="15" customHeight="1">
      <c r="B9" s="19" t="inlineStr">
        <is>
          <t>D&amp;A</t>
        </is>
      </c>
      <c r="C9" s="20" t="inlineStr">
        <is>
          <t>DKKm</t>
        </is>
      </c>
      <c r="F9" s="60" t="n">
        <v>600</v>
      </c>
    </row>
    <row r="10" ht="15" customHeight="1">
      <c r="B10" s="19" t="inlineStr">
        <is>
          <t>Interest expense</t>
        </is>
      </c>
      <c r="C10" s="20" t="inlineStr">
        <is>
          <t>DKKm</t>
        </is>
      </c>
      <c r="F10" s="60" t="n">
        <v>-250</v>
      </c>
    </row>
    <row r="11" ht="15" customHeight="1">
      <c r="B11" s="19" t="inlineStr">
        <is>
          <t>Taxes</t>
        </is>
      </c>
      <c r="C11" s="20" t="inlineStr">
        <is>
          <t>DKKm</t>
        </is>
      </c>
      <c r="F11" s="60" t="n">
        <v>-600</v>
      </c>
    </row>
    <row r="12" ht="15" customHeight="1">
      <c r="B12" s="19" t="inlineStr">
        <is>
          <t>Net income</t>
        </is>
      </c>
      <c r="C12" s="20" t="inlineStr">
        <is>
          <t>DKKm</t>
        </is>
      </c>
      <c r="F12" s="60" t="n">
        <v>1550</v>
      </c>
    </row>
    <row r="13" ht="15" customHeight="1"/>
    <row r="14" ht="18" customHeight="1">
      <c r="B14" s="4" t="inlineStr">
        <is>
          <t>BALANCE SHEET AT CLOSE (DKKM)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 ht="15" customHeight="1">
      <c r="B15" s="19" t="inlineStr">
        <is>
          <t>Cash</t>
        </is>
      </c>
      <c r="C15" s="20" t="inlineStr">
        <is>
          <t>DKKm</t>
        </is>
      </c>
      <c r="F15" s="60" t="n">
        <v>800</v>
      </c>
    </row>
    <row r="16" ht="15" customHeight="1">
      <c r="B16" s="19" t="inlineStr">
        <is>
          <t>Debt</t>
        </is>
      </c>
      <c r="C16" s="20" t="inlineStr">
        <is>
          <t>DKKm</t>
        </is>
      </c>
      <c r="F16" s="60" t="n">
        <v>4000</v>
      </c>
    </row>
    <row r="17" ht="15" customHeight="1">
      <c r="B17" s="19" t="inlineStr">
        <is>
          <t>Net working capital</t>
        </is>
      </c>
      <c r="C17" s="20" t="inlineStr">
        <is>
          <t>DKKm</t>
        </is>
      </c>
      <c r="F17" s="60" t="n">
        <v>200</v>
      </c>
    </row>
    <row r="18" ht="15" customHeight="1">
      <c r="B18" s="19" t="inlineStr">
        <is>
          <t>PP&amp;E</t>
        </is>
      </c>
      <c r="C18" s="20" t="inlineStr">
        <is>
          <t>DKKm</t>
        </is>
      </c>
      <c r="F18" s="60" t="n">
        <v>1200</v>
      </c>
    </row>
    <row r="19" ht="15" customHeight="1">
      <c r="B19" s="19" t="inlineStr">
        <is>
          <t>Other assets</t>
        </is>
      </c>
      <c r="C19" s="20" t="inlineStr">
        <is>
          <t>DKKm</t>
        </is>
      </c>
      <c r="F19" s="60" t="n">
        <v>5000</v>
      </c>
    </row>
    <row r="20" ht="15" customHeight="1">
      <c r="B20" s="19" t="inlineStr">
        <is>
          <t>Other liabilities</t>
        </is>
      </c>
      <c r="C20" s="20" t="inlineStr">
        <is>
          <t>DKKm</t>
        </is>
      </c>
      <c r="F20" s="60" t="n">
        <v>2100</v>
      </c>
    </row>
    <row r="21" ht="15" customHeight="1">
      <c r="B21" s="19" t="inlineStr">
        <is>
          <t>Equity (book)</t>
        </is>
      </c>
      <c r="C21" s="20" t="inlineStr">
        <is>
          <t>DKKm</t>
        </is>
      </c>
      <c r="F21" s="60" t="n">
        <v>4900</v>
      </c>
    </row>
    <row r="22" ht="15" customHeight="1"/>
    <row r="23" ht="18" customHeight="1">
      <c r="B23" s="4" t="inlineStr">
        <is>
          <t>PROJECTION DRIVERS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 ht="15" customHeight="1">
      <c r="B24" s="19" t="inlineStr">
        <is>
          <t>Revenue growth %</t>
        </is>
      </c>
      <c r="C24" s="20" t="inlineStr">
        <is>
          <t>%</t>
        </is>
      </c>
      <c r="F24" s="59" t="n">
        <v>0</v>
      </c>
      <c r="G24" s="59" t="n">
        <v>0.06</v>
      </c>
      <c r="H24" s="59" t="n">
        <v>0.05</v>
      </c>
      <c r="I24" s="59" t="n">
        <v>0.04</v>
      </c>
      <c r="J24" s="59" t="n">
        <v>0.04</v>
      </c>
      <c r="K24" s="59" t="n">
        <v>0.03</v>
      </c>
    </row>
    <row r="25" ht="15" customHeight="1">
      <c r="B25" s="19" t="inlineStr">
        <is>
          <t>EBITDA margin %</t>
        </is>
      </c>
      <c r="C25" s="20" t="inlineStr">
        <is>
          <t>%</t>
        </is>
      </c>
      <c r="F25" s="59" t="n">
        <v>0.2</v>
      </c>
      <c r="G25" s="59" t="n">
        <v>0.21</v>
      </c>
      <c r="H25" s="59" t="n">
        <v>0.21</v>
      </c>
      <c r="I25" s="59" t="n">
        <v>0.22</v>
      </c>
      <c r="J25" s="59" t="n">
        <v>0.22</v>
      </c>
      <c r="K25" s="59" t="n">
        <v>0.22</v>
      </c>
    </row>
    <row r="26" ht="15" customHeight="1">
      <c r="B26" s="19" t="inlineStr">
        <is>
          <t>D&amp;A % of revenue</t>
        </is>
      </c>
      <c r="C26" s="20" t="inlineStr">
        <is>
          <t>%</t>
        </is>
      </c>
      <c r="F26" s="59" t="n">
        <v>0.04</v>
      </c>
      <c r="G26" s="59" t="n">
        <v>0.04</v>
      </c>
      <c r="H26" s="59" t="n">
        <v>0.04</v>
      </c>
      <c r="I26" s="59" t="n">
        <v>0.04</v>
      </c>
      <c r="J26" s="59" t="n">
        <v>0.04</v>
      </c>
      <c r="K26" s="59" t="n">
        <v>0.04</v>
      </c>
    </row>
    <row r="27" ht="15" customHeight="1">
      <c r="B27" s="19" t="inlineStr">
        <is>
          <t>Capex % of revenue</t>
        </is>
      </c>
      <c r="C27" s="20" t="inlineStr">
        <is>
          <t>%</t>
        </is>
      </c>
      <c r="F27" s="59" t="n">
        <v>0.03</v>
      </c>
      <c r="G27" s="59" t="n">
        <v>0.03</v>
      </c>
      <c r="H27" s="59" t="n">
        <v>0.03</v>
      </c>
      <c r="I27" s="59" t="n">
        <v>0.03</v>
      </c>
      <c r="J27" s="59" t="n">
        <v>0.03</v>
      </c>
      <c r="K27" s="59" t="n">
        <v>0.03</v>
      </c>
    </row>
    <row r="28" ht="15" customHeight="1">
      <c r="B28" s="19" t="inlineStr">
        <is>
          <t>NWC % of revenue</t>
        </is>
      </c>
      <c r="C28" s="20" t="inlineStr">
        <is>
          <t>%</t>
        </is>
      </c>
      <c r="F28" s="59" t="n">
        <v>0.02</v>
      </c>
      <c r="G28" s="59" t="n">
        <v>0.02</v>
      </c>
      <c r="H28" s="59" t="n">
        <v>0.02</v>
      </c>
      <c r="I28" s="59" t="n">
        <v>0.02</v>
      </c>
      <c r="J28" s="59" t="n">
        <v>0.02</v>
      </c>
      <c r="K28" s="59" t="n">
        <v>0.02</v>
      </c>
    </row>
    <row r="29" ht="15" customHeight="1">
      <c r="B29" s="19" t="inlineStr">
        <is>
          <t>Dividends (% of NI)</t>
        </is>
      </c>
      <c r="C29" s="20" t="inlineStr">
        <is>
          <t>%</t>
        </is>
      </c>
      <c r="F29" s="59" t="n">
        <v>0</v>
      </c>
      <c r="G29" s="59" t="n">
        <v>0</v>
      </c>
      <c r="H29" s="59" t="n">
        <v>0</v>
      </c>
      <c r="I29" s="59" t="n">
        <v>0</v>
      </c>
      <c r="J29" s="59" t="n">
        <v>0</v>
      </c>
      <c r="K29" s="59" t="n">
        <v>0</v>
      </c>
    </row>
    <row r="30" ht="15" customHeight="1"/>
    <row r="31" ht="18" customHeight="1">
      <c r="B31" s="4" t="inlineStr">
        <is>
          <t>SHARE DATA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 ht="15" customHeight="1">
      <c r="B32" s="19" t="inlineStr">
        <is>
          <t>Basic shares (mm)</t>
        </is>
      </c>
      <c r="C32" s="20" t="inlineStr">
        <is>
          <t>mm</t>
        </is>
      </c>
      <c r="F32" s="61" t="n">
        <v>450</v>
      </c>
    </row>
    <row r="33" ht="15" customHeight="1">
      <c r="B33" s="19" t="inlineStr">
        <is>
          <t>Diluted shares (mm)</t>
        </is>
      </c>
      <c r="C33" s="20" t="inlineStr">
        <is>
          <t>mm</t>
        </is>
      </c>
      <c r="F33" s="61" t="n">
        <v>460</v>
      </c>
    </row>
    <row r="34" ht="15" customHeight="1">
      <c r="B34" s="19" t="inlineStr">
        <is>
          <t>Share price (DKK)</t>
        </is>
      </c>
      <c r="C34" s="20" t="inlineStr">
        <is>
          <t>DKK</t>
        </is>
      </c>
      <c r="F34" s="60" t="n">
        <v>350</v>
      </c>
    </row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K36"/>
  <sheetViews>
    <sheetView showGridLines="0" workbookViewId="0">
      <pane xSplit="5" ySplit="5" topLeftCell="F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34" customWidth="1" min="2" max="2"/>
    <col width="10" customWidth="1" min="3" max="3"/>
    <col width="40" customWidth="1" min="4" max="4"/>
    <col width="2.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0" customHeight="1">
      <c r="B1" s="1" t="inlineStr">
        <is>
          <t>11_INPUTS_TARGET  Target inputs (SaaS module)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15" customHeight="1"/>
    <row r="3" ht="15" customHeight="1"/>
    <row r="4" ht="15" customHeight="1"/>
    <row r="5" ht="16" customHeight="1">
      <c r="B5" s="2" t="inlineStr">
        <is>
          <t>LINE ITEM</t>
        </is>
      </c>
      <c r="C5" s="2" t="inlineStr">
        <is>
          <t>UNITS</t>
        </is>
      </c>
      <c r="D5" s="2" t="inlineStr">
        <is>
          <t>NOTES / SOURCES / FLAGS</t>
        </is>
      </c>
      <c r="E5" s="2" t="inlineStr"/>
      <c r="F5" s="3">
        <f>03_GLOBAL_PARAMS!F24</f>
        <v/>
      </c>
      <c r="G5" s="3">
        <f>03_GLOBAL_PARAMS!G24</f>
        <v/>
      </c>
      <c r="H5" s="3">
        <f>03_GLOBAL_PARAMS!H24</f>
        <v/>
      </c>
      <c r="I5" s="3">
        <f>03_GLOBAL_PARAMS!I24</f>
        <v/>
      </c>
      <c r="J5" s="3">
        <f>03_GLOBAL_PARAMS!J24</f>
        <v/>
      </c>
      <c r="K5" s="3">
        <f>03_GLOBAL_PARAMS!K24</f>
        <v/>
      </c>
    </row>
    <row r="6" ht="18" customHeight="1">
      <c r="B6" s="4" t="inlineStr">
        <is>
          <t>HISTORICAL BASE (SEKM)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 ht="15" customHeight="1">
      <c r="B7" s="19" t="inlineStr">
        <is>
          <t>Revenue</t>
        </is>
      </c>
      <c r="C7" s="20" t="inlineStr">
        <is>
          <t>SEKm</t>
        </is>
      </c>
      <c r="F7" s="60" t="n">
        <v>1800</v>
      </c>
    </row>
    <row r="8" ht="15" customHeight="1">
      <c r="B8" s="19" t="inlineStr">
        <is>
          <t>EBITDA</t>
        </is>
      </c>
      <c r="C8" s="20" t="inlineStr">
        <is>
          <t>SEKm</t>
        </is>
      </c>
      <c r="F8" s="60" t="n">
        <v>250</v>
      </c>
    </row>
    <row r="9" ht="15" customHeight="1">
      <c r="B9" s="19" t="inlineStr">
        <is>
          <t>D&amp;A</t>
        </is>
      </c>
      <c r="C9" s="20" t="inlineStr">
        <is>
          <t>SEKm</t>
        </is>
      </c>
      <c r="F9" s="60" t="n">
        <v>70</v>
      </c>
    </row>
    <row r="10" ht="15" customHeight="1">
      <c r="B10" s="19" t="inlineStr">
        <is>
          <t>Net income</t>
        </is>
      </c>
      <c r="C10" s="20" t="inlineStr">
        <is>
          <t>SEKm</t>
        </is>
      </c>
      <c r="F10" s="60" t="n">
        <v>115</v>
      </c>
    </row>
    <row r="11" ht="15" customHeight="1">
      <c r="B11" s="19" t="inlineStr">
        <is>
          <t>ARR (end)</t>
        </is>
      </c>
      <c r="C11" s="20" t="inlineStr">
        <is>
          <t>SEKm</t>
        </is>
      </c>
      <c r="F11" s="60" t="n">
        <v>1900</v>
      </c>
    </row>
    <row r="12" ht="15" customHeight="1"/>
    <row r="13" ht="18" customHeight="1">
      <c r="B13" s="4" t="inlineStr">
        <is>
          <t>SAAS ARR BRIDGE (SEKM)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 ht="15" customHeight="1">
      <c r="B14" s="19" t="inlineStr">
        <is>
          <t>ARR to Revenue factor</t>
        </is>
      </c>
      <c r="C14" s="20" t="inlineStr">
        <is>
          <t>x</t>
        </is>
      </c>
      <c r="F14" s="62" t="n">
        <v>0.95</v>
      </c>
    </row>
    <row r="15" ht="15" customHeight="1">
      <c r="B15" s="19" t="inlineStr">
        <is>
          <t>Start ARR</t>
        </is>
      </c>
      <c r="C15" s="20" t="inlineStr">
        <is>
          <t>SEKm</t>
        </is>
      </c>
      <c r="F15" s="60" t="n">
        <v>1900</v>
      </c>
      <c r="G15" s="63">
        <f>F19</f>
        <v/>
      </c>
      <c r="H15" s="63">
        <f>G19</f>
        <v/>
      </c>
      <c r="I15" s="63">
        <f>H19</f>
        <v/>
      </c>
      <c r="J15" s="63">
        <f>I19</f>
        <v/>
      </c>
      <c r="K15" s="63">
        <f>J19</f>
        <v/>
      </c>
    </row>
    <row r="16" ht="15" customHeight="1">
      <c r="B16" s="19" t="inlineStr">
        <is>
          <t>New ARR</t>
        </is>
      </c>
      <c r="C16" s="20" t="inlineStr">
        <is>
          <t>SEKm</t>
        </is>
      </c>
      <c r="F16" s="60" t="n">
        <v>0</v>
      </c>
      <c r="G16" s="60" t="n">
        <v>250</v>
      </c>
      <c r="H16" s="60" t="n">
        <v>280</v>
      </c>
      <c r="I16" s="60" t="n">
        <v>300</v>
      </c>
      <c r="J16" s="60" t="n">
        <v>320</v>
      </c>
      <c r="K16" s="60" t="n">
        <v>330</v>
      </c>
    </row>
    <row r="17" ht="15" customHeight="1">
      <c r="B17" s="19" t="inlineStr">
        <is>
          <t>Churned ARR</t>
        </is>
      </c>
      <c r="C17" s="20" t="inlineStr">
        <is>
          <t>SEKm</t>
        </is>
      </c>
      <c r="F17" s="60" t="n">
        <v>0</v>
      </c>
      <c r="G17" s="60" t="n">
        <v>-120</v>
      </c>
      <c r="H17" s="60" t="n">
        <v>-130</v>
      </c>
      <c r="I17" s="60" t="n">
        <v>-140</v>
      </c>
      <c r="J17" s="60" t="n">
        <v>-150</v>
      </c>
      <c r="K17" s="60" t="n">
        <v>-155</v>
      </c>
    </row>
    <row r="18" ht="15" customHeight="1">
      <c r="B18" s="19" t="inlineStr">
        <is>
          <t>FX impact ARR</t>
        </is>
      </c>
      <c r="C18" s="20" t="inlineStr">
        <is>
          <t>SEKm</t>
        </is>
      </c>
      <c r="F18" s="60" t="n">
        <v>0</v>
      </c>
      <c r="G18" s="60" t="n">
        <v>0</v>
      </c>
      <c r="H18" s="60" t="n">
        <v>0</v>
      </c>
      <c r="I18" s="60" t="n">
        <v>0</v>
      </c>
      <c r="J18" s="60" t="n">
        <v>0</v>
      </c>
      <c r="K18" s="60" t="n">
        <v>0</v>
      </c>
    </row>
    <row r="19" ht="15" customHeight="1">
      <c r="B19" s="19" t="inlineStr">
        <is>
          <t>End ARR</t>
        </is>
      </c>
      <c r="C19" s="20" t="inlineStr">
        <is>
          <t>SEKm</t>
        </is>
      </c>
      <c r="F19" s="64">
        <f>F15+F16+F17+F18</f>
        <v/>
      </c>
      <c r="G19" s="64">
        <f>G15+G16+G17+G18</f>
        <v/>
      </c>
      <c r="H19" s="64">
        <f>H15+H16+H17+H18</f>
        <v/>
      </c>
      <c r="I19" s="64">
        <f>I15+I16+I17+I18</f>
        <v/>
      </c>
      <c r="J19" s="64">
        <f>J15+J16+J17+J18</f>
        <v/>
      </c>
      <c r="K19" s="64">
        <f>K15+K16+K17+K18</f>
        <v/>
      </c>
    </row>
    <row r="20" ht="15" customHeight="1">
      <c r="B20" s="19" t="inlineStr">
        <is>
          <t>Avg ARR</t>
        </is>
      </c>
      <c r="C20" s="20" t="inlineStr">
        <is>
          <t>SEKm</t>
        </is>
      </c>
      <c r="F20" s="64">
        <f>(F15+F19)/2</f>
        <v/>
      </c>
      <c r="G20" s="64">
        <f>(G15+G19)/2</f>
        <v/>
      </c>
      <c r="H20" s="64">
        <f>(H15+H19)/2</f>
        <v/>
      </c>
      <c r="I20" s="64">
        <f>(I15+I19)/2</f>
        <v/>
      </c>
      <c r="J20" s="64">
        <f>(J15+J19)/2</f>
        <v/>
      </c>
      <c r="K20" s="64">
        <f>(K15+K19)/2</f>
        <v/>
      </c>
    </row>
    <row r="21" ht="15" customHeight="1">
      <c r="B21" s="19" t="inlineStr">
        <is>
          <t>Revenue (from ARR)</t>
        </is>
      </c>
      <c r="C21" s="20" t="inlineStr">
        <is>
          <t>SEKm</t>
        </is>
      </c>
      <c r="F21" s="65">
        <f>F20*in_T_ARR_to_Rev</f>
        <v/>
      </c>
      <c r="G21" s="65">
        <f>G20*in_T_ARR_to_Rev</f>
        <v/>
      </c>
      <c r="H21" s="65">
        <f>H20*in_T_ARR_to_Rev</f>
        <v/>
      </c>
      <c r="I21" s="65">
        <f>I20*in_T_ARR_to_Rev</f>
        <v/>
      </c>
      <c r="J21" s="65">
        <f>J20*in_T_ARR_to_Rev</f>
        <v/>
      </c>
      <c r="K21" s="65">
        <f>K20*in_T_ARR_to_Rev</f>
        <v/>
      </c>
    </row>
    <row r="22" ht="15" customHeight="1"/>
    <row r="23" ht="18" customHeight="1">
      <c r="B23" s="4" t="inlineStr">
        <is>
          <t>TARGET OPERATING DRIVERS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 ht="15" customHeight="1">
      <c r="B24" s="19" t="inlineStr">
        <is>
          <t>EBITDA margin %</t>
        </is>
      </c>
      <c r="C24" s="20" t="inlineStr">
        <is>
          <t>%</t>
        </is>
      </c>
      <c r="F24" s="59" t="n">
        <v>0.14</v>
      </c>
      <c r="G24" s="59" t="n">
        <v>0.15</v>
      </c>
      <c r="H24" s="59" t="n">
        <v>0.16</v>
      </c>
      <c r="I24" s="59" t="n">
        <v>0.17</v>
      </c>
      <c r="J24" s="59" t="n">
        <v>0.17</v>
      </c>
      <c r="K24" s="59" t="n">
        <v>0.17</v>
      </c>
    </row>
    <row r="25" ht="15" customHeight="1">
      <c r="B25" s="19" t="inlineStr">
        <is>
          <t>D&amp;A % of revenue</t>
        </is>
      </c>
      <c r="C25" s="20" t="inlineStr">
        <is>
          <t>%</t>
        </is>
      </c>
      <c r="F25" s="59" t="n">
        <v>0.04</v>
      </c>
      <c r="G25" s="59" t="n">
        <v>0.04</v>
      </c>
      <c r="H25" s="59" t="n">
        <v>0.04</v>
      </c>
      <c r="I25" s="59" t="n">
        <v>0.04</v>
      </c>
      <c r="J25" s="59" t="n">
        <v>0.04</v>
      </c>
      <c r="K25" s="59" t="n">
        <v>0.04</v>
      </c>
    </row>
    <row r="26" ht="15" customHeight="1">
      <c r="B26" s="19" t="inlineStr">
        <is>
          <t>Capex % of revenue</t>
        </is>
      </c>
      <c r="C26" s="20" t="inlineStr">
        <is>
          <t>%</t>
        </is>
      </c>
      <c r="F26" s="59" t="n">
        <v>0.03</v>
      </c>
      <c r="G26" s="59" t="n">
        <v>0.03</v>
      </c>
      <c r="H26" s="59" t="n">
        <v>0.03</v>
      </c>
      <c r="I26" s="59" t="n">
        <v>0.03</v>
      </c>
      <c r="J26" s="59" t="n">
        <v>0.03</v>
      </c>
      <c r="K26" s="59" t="n">
        <v>0.03</v>
      </c>
    </row>
    <row r="27" ht="15" customHeight="1">
      <c r="B27" s="19" t="inlineStr">
        <is>
          <t>NWC % of revenue</t>
        </is>
      </c>
      <c r="C27" s="20" t="inlineStr">
        <is>
          <t>%</t>
        </is>
      </c>
      <c r="F27" s="59" t="n">
        <v>0.02</v>
      </c>
      <c r="G27" s="59" t="n">
        <v>0.02</v>
      </c>
      <c r="H27" s="59" t="n">
        <v>0.02</v>
      </c>
      <c r="I27" s="59" t="n">
        <v>0.02</v>
      </c>
      <c r="J27" s="59" t="n">
        <v>0.02</v>
      </c>
      <c r="K27" s="59" t="n">
        <v>0.02</v>
      </c>
    </row>
    <row r="28" ht="15" customHeight="1"/>
    <row r="29" ht="18" customHeight="1">
      <c r="B29" s="4" t="inlineStr">
        <is>
          <t>TARGET BALANCE SHEET AT CLOSE (SEKM)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 ht="15" customHeight="1">
      <c r="B30" s="19" t="inlineStr">
        <is>
          <t>Cash</t>
        </is>
      </c>
      <c r="C30" s="20" t="inlineStr">
        <is>
          <t>SEKm</t>
        </is>
      </c>
      <c r="F30" s="60" t="n">
        <v>250</v>
      </c>
    </row>
    <row r="31" ht="15" customHeight="1">
      <c r="B31" s="19" t="inlineStr">
        <is>
          <t>Debt</t>
        </is>
      </c>
      <c r="C31" s="20" t="inlineStr">
        <is>
          <t>SEKm</t>
        </is>
      </c>
      <c r="F31" s="60" t="n">
        <v>600</v>
      </c>
    </row>
    <row r="32" ht="15" customHeight="1">
      <c r="B32" s="19" t="inlineStr">
        <is>
          <t>Net working capital</t>
        </is>
      </c>
      <c r="C32" s="20" t="inlineStr">
        <is>
          <t>SEKm</t>
        </is>
      </c>
      <c r="F32" s="60" t="n">
        <v>50</v>
      </c>
    </row>
    <row r="33" ht="15" customHeight="1">
      <c r="B33" s="19" t="inlineStr">
        <is>
          <t>PP&amp;E</t>
        </is>
      </c>
      <c r="C33" s="20" t="inlineStr">
        <is>
          <t>SEKm</t>
        </is>
      </c>
      <c r="F33" s="60" t="n">
        <v>200</v>
      </c>
    </row>
    <row r="34" ht="15" customHeight="1">
      <c r="B34" s="19" t="inlineStr">
        <is>
          <t>Other assets</t>
        </is>
      </c>
      <c r="C34" s="20" t="inlineStr">
        <is>
          <t>SEKm</t>
        </is>
      </c>
      <c r="F34" s="60" t="n">
        <v>800</v>
      </c>
    </row>
    <row r="35" ht="15" customHeight="1">
      <c r="B35" s="19" t="inlineStr">
        <is>
          <t>Other liabilities</t>
        </is>
      </c>
      <c r="C35" s="20" t="inlineStr">
        <is>
          <t>SEKm</t>
        </is>
      </c>
      <c r="F35" s="60" t="n">
        <v>350</v>
      </c>
    </row>
    <row r="36" ht="15" customHeight="1">
      <c r="B36" s="19" t="inlineStr">
        <is>
          <t>Equity (book)</t>
        </is>
      </c>
      <c r="C36" s="20" t="inlineStr">
        <is>
          <t>SEKm</t>
        </is>
      </c>
      <c r="F36" s="60" t="n">
        <v>600</v>
      </c>
    </row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K24"/>
  <sheetViews>
    <sheetView showGridLines="0" workbookViewId="0">
      <pane xSplit="5" ySplit="5" topLeftCell="F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34" customWidth="1" min="2" max="2"/>
    <col width="10" customWidth="1" min="3" max="3"/>
    <col width="40" customWidth="1" min="4" max="4"/>
    <col width="2.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0" customHeight="1">
      <c r="B1" s="1" t="inlineStr">
        <is>
          <t>12_INPUTS_DEAL_TERMS  Transaction and financing inputs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15" customHeight="1"/>
    <row r="3" ht="15" customHeight="1"/>
    <row r="4" ht="15" customHeight="1"/>
    <row r="5" ht="16" customHeight="1">
      <c r="B5" s="2" t="inlineStr">
        <is>
          <t>LINE ITEM</t>
        </is>
      </c>
      <c r="C5" s="2" t="inlineStr">
        <is>
          <t>UNITS</t>
        </is>
      </c>
      <c r="D5" s="2" t="inlineStr">
        <is>
          <t>NOTES / SOURCES / FLAGS</t>
        </is>
      </c>
      <c r="E5" s="2" t="inlineStr"/>
      <c r="F5" s="3">
        <f>03_GLOBAL_PARAMS!F24</f>
        <v/>
      </c>
      <c r="G5" s="3">
        <f>03_GLOBAL_PARAMS!G24</f>
        <v/>
      </c>
      <c r="H5" s="3">
        <f>03_GLOBAL_PARAMS!H24</f>
        <v/>
      </c>
      <c r="I5" s="3">
        <f>03_GLOBAL_PARAMS!I24</f>
        <v/>
      </c>
      <c r="J5" s="3">
        <f>03_GLOBAL_PARAMS!J24</f>
        <v/>
      </c>
      <c r="K5" s="3">
        <f>03_GLOBAL_PARAMS!K24</f>
        <v/>
      </c>
    </row>
    <row r="6" ht="18" customHeight="1">
      <c r="B6" s="4" t="inlineStr">
        <is>
          <t>PURCHASE PRICE AND FEES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 ht="15" customHeight="1">
      <c r="B7" s="19" t="inlineStr">
        <is>
          <t>Equity value (SEKm)</t>
        </is>
      </c>
      <c r="C7" s="20" t="inlineStr">
        <is>
          <t>SEKm</t>
        </is>
      </c>
      <c r="F7" s="60" t="n">
        <v>3500</v>
      </c>
    </row>
    <row r="8" ht="15" customHeight="1">
      <c r="B8" s="19" t="inlineStr">
        <is>
          <t>Net debt assumed (SEKm)</t>
        </is>
      </c>
      <c r="C8" s="20" t="inlineStr">
        <is>
          <t>SEKm</t>
        </is>
      </c>
      <c r="F8" s="60" t="n">
        <v>350</v>
      </c>
    </row>
    <row r="9" ht="15" customHeight="1">
      <c r="B9" s="19" t="inlineStr">
        <is>
          <t>Debt repaid at close (SEKm)</t>
        </is>
      </c>
      <c r="C9" s="20" t="inlineStr">
        <is>
          <t>SEKm</t>
        </is>
      </c>
      <c r="F9" s="60" t="n">
        <v>0</v>
      </c>
    </row>
    <row r="10" ht="15" customHeight="1">
      <c r="B10" s="19" t="inlineStr">
        <is>
          <t>Transaction fees expensed (DKKm)</t>
        </is>
      </c>
      <c r="C10" s="20" t="inlineStr">
        <is>
          <t>DKKm</t>
        </is>
      </c>
      <c r="F10" s="60" t="n">
        <v>30</v>
      </c>
    </row>
    <row r="11" ht="15" customHeight="1"/>
    <row r="12" ht="18" customHeight="1">
      <c r="B12" s="4" t="inlineStr">
        <is>
          <t>CONSIDERATION MIX (EQUITY VALUE)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 ht="15" customHeight="1">
      <c r="B13" s="19" t="inlineStr">
        <is>
          <t>Cash %</t>
        </is>
      </c>
      <c r="C13" s="20" t="inlineStr">
        <is>
          <t>%</t>
        </is>
      </c>
      <c r="F13" s="59" t="n">
        <v>0.2</v>
      </c>
    </row>
    <row r="14" ht="15" customHeight="1">
      <c r="B14" s="19" t="inlineStr">
        <is>
          <t>Debt %</t>
        </is>
      </c>
      <c r="C14" s="20" t="inlineStr">
        <is>
          <t>%</t>
        </is>
      </c>
      <c r="F14" s="59" t="n">
        <v>0.5</v>
      </c>
    </row>
    <row r="15" ht="15" customHeight="1">
      <c r="B15" s="19" t="inlineStr">
        <is>
          <t>Stock %</t>
        </is>
      </c>
      <c r="C15" s="20" t="inlineStr">
        <is>
          <t>%</t>
        </is>
      </c>
      <c r="F15" s="59" t="n">
        <v>0.3</v>
      </c>
    </row>
    <row r="16" ht="15" customHeight="1">
      <c r="B16" s="38" t="inlineStr">
        <is>
          <t>Mix sum</t>
        </is>
      </c>
      <c r="C16" s="20" t="inlineStr">
        <is>
          <t>%</t>
        </is>
      </c>
      <c r="D16" s="17" t="inlineStr">
        <is>
          <t>Must equal 100%</t>
        </is>
      </c>
      <c r="F16" s="66">
        <f>in_CashPct+in_DebtPct+in_StockPct</f>
        <v/>
      </c>
    </row>
    <row r="17" ht="15" customHeight="1"/>
    <row r="18" ht="18" customHeight="1">
      <c r="B18" s="4" t="inlineStr">
        <is>
          <t>FINANCING TERMS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 ht="15" customHeight="1">
      <c r="B19" s="19" t="inlineStr">
        <is>
          <t>Base rate %</t>
        </is>
      </c>
      <c r="C19" s="20" t="inlineStr">
        <is>
          <t>%</t>
        </is>
      </c>
      <c r="F19" s="59" t="n">
        <v>0.03</v>
      </c>
    </row>
    <row r="20" ht="15" customHeight="1">
      <c r="B20" s="19" t="inlineStr">
        <is>
          <t>Tranche 1 margin %</t>
        </is>
      </c>
      <c r="C20" s="20" t="inlineStr">
        <is>
          <t>%</t>
        </is>
      </c>
      <c r="F20" s="59" t="n">
        <v>0.03</v>
      </c>
    </row>
    <row r="21" ht="15" customHeight="1">
      <c r="B21" s="19" t="inlineStr">
        <is>
          <t>Tranche 1 mandatory amort %</t>
        </is>
      </c>
      <c r="C21" s="20" t="inlineStr">
        <is>
          <t>%</t>
        </is>
      </c>
      <c r="F21" s="59" t="n">
        <v>0.05</v>
      </c>
    </row>
    <row r="22" ht="15" customHeight="1">
      <c r="B22" s="19" t="inlineStr">
        <is>
          <t>Tranche 2 margin %</t>
        </is>
      </c>
      <c r="C22" s="20" t="inlineStr">
        <is>
          <t>%</t>
        </is>
      </c>
      <c r="F22" s="59" t="n">
        <v>0.04</v>
      </c>
    </row>
    <row r="23" ht="15" customHeight="1">
      <c r="B23" s="19" t="inlineStr">
        <is>
          <t>Tranche 2 mandatory amort %</t>
        </is>
      </c>
      <c r="C23" s="20" t="inlineStr">
        <is>
          <t>%</t>
        </is>
      </c>
      <c r="F23" s="59" t="n">
        <v>0</v>
      </c>
    </row>
    <row r="24" ht="15" customHeight="1">
      <c r="B24" s="19" t="inlineStr">
        <is>
          <t>Tranche 1 share of new debt %</t>
        </is>
      </c>
      <c r="C24" s="20" t="inlineStr">
        <is>
          <t>%</t>
        </is>
      </c>
      <c r="F24" s="59" t="n">
        <v>0.7</v>
      </c>
    </row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K14"/>
  <sheetViews>
    <sheetView showGridLines="0" workbookViewId="0">
      <pane xSplit="5" ySplit="5" topLeftCell="F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34" customWidth="1" min="2" max="2"/>
    <col width="10" customWidth="1" min="3" max="3"/>
    <col width="40" customWidth="1" min="4" max="4"/>
    <col width="2.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0" customHeight="1">
      <c r="B1" s="1" t="inlineStr">
        <is>
          <t>13_INPUTS_SYNERGIES  Synergies and integration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15" customHeight="1"/>
    <row r="3" ht="15" customHeight="1"/>
    <row r="4" ht="15" customHeight="1"/>
    <row r="5" ht="16" customHeight="1">
      <c r="B5" s="2" t="inlineStr">
        <is>
          <t>LINE ITEM</t>
        </is>
      </c>
      <c r="C5" s="2" t="inlineStr">
        <is>
          <t>UNITS</t>
        </is>
      </c>
      <c r="D5" s="2" t="inlineStr">
        <is>
          <t>NOTES / SOURCES / FLAGS</t>
        </is>
      </c>
      <c r="E5" s="2" t="inlineStr"/>
      <c r="F5" s="3">
        <f>03_GLOBAL_PARAMS!F24</f>
        <v/>
      </c>
      <c r="G5" s="3">
        <f>03_GLOBAL_PARAMS!G24</f>
        <v/>
      </c>
      <c r="H5" s="3">
        <f>03_GLOBAL_PARAMS!H24</f>
        <v/>
      </c>
      <c r="I5" s="3">
        <f>03_GLOBAL_PARAMS!I24</f>
        <v/>
      </c>
      <c r="J5" s="3">
        <f>03_GLOBAL_PARAMS!J24</f>
        <v/>
      </c>
      <c r="K5" s="3">
        <f>03_GLOBAL_PARAMS!K24</f>
        <v/>
      </c>
    </row>
    <row r="6" ht="18" customHeight="1">
      <c r="B6" s="4" t="inlineStr">
        <is>
          <t>SYNERGY INPUTS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 ht="15" customHeight="1">
      <c r="B7" s="19" t="inlineStr">
        <is>
          <t>Cost synergy run rate</t>
        </is>
      </c>
      <c r="C7" s="20" t="inlineStr">
        <is>
          <t>DKKm</t>
        </is>
      </c>
      <c r="F7" s="60" t="n">
        <v>120</v>
      </c>
    </row>
    <row r="8" ht="15" customHeight="1">
      <c r="B8" s="19" t="inlineStr">
        <is>
          <t>Revenue synergy run rate (optional)</t>
        </is>
      </c>
      <c r="C8" s="20" t="inlineStr">
        <is>
          <t>DKKm</t>
        </is>
      </c>
      <c r="F8" s="60" t="n">
        <v>0</v>
      </c>
    </row>
    <row r="9" ht="15" customHeight="1"/>
    <row r="10" ht="18" customHeight="1">
      <c r="B10" s="4" t="inlineStr">
        <is>
          <t>RAMP CURVE BY YEAR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 ht="15" customHeight="1">
      <c r="B11" s="19" t="inlineStr">
        <is>
          <t>Ramp % achieved</t>
        </is>
      </c>
      <c r="C11" s="20" t="inlineStr">
        <is>
          <t>%</t>
        </is>
      </c>
      <c r="F11" s="59" t="n">
        <v>0</v>
      </c>
      <c r="G11" s="59" t="n">
        <v>0.4</v>
      </c>
      <c r="H11" s="59" t="n">
        <v>0.7</v>
      </c>
      <c r="I11" s="59" t="n">
        <v>0.9</v>
      </c>
      <c r="J11" s="59" t="n">
        <v>1</v>
      </c>
      <c r="K11" s="59" t="n">
        <v>1</v>
      </c>
    </row>
    <row r="12" ht="15" customHeight="1"/>
    <row r="13" ht="18" customHeight="1">
      <c r="B13" s="4" t="inlineStr">
        <is>
          <t>ONE OFF INTEGRATION COSTS BY YEAR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 ht="15" customHeight="1">
      <c r="B14" s="19" t="inlineStr">
        <is>
          <t>Integration costs</t>
        </is>
      </c>
      <c r="C14" s="20" t="inlineStr">
        <is>
          <t>DKKm</t>
        </is>
      </c>
      <c r="F14" s="60" t="n">
        <v>0</v>
      </c>
      <c r="G14" s="60" t="n">
        <v>-60</v>
      </c>
      <c r="H14" s="60" t="n">
        <v>-30</v>
      </c>
      <c r="I14" s="60" t="n">
        <v>-10</v>
      </c>
      <c r="J14" s="60" t="n">
        <v>0</v>
      </c>
      <c r="K14" s="60" t="n">
        <v>0</v>
      </c>
    </row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K22"/>
  <sheetViews>
    <sheetView showGridLines="0" workbookViewId="0">
      <pane xSplit="5" ySplit="5" topLeftCell="F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34" customWidth="1" min="2" max="2"/>
    <col width="10" customWidth="1" min="3" max="3"/>
    <col width="40" customWidth="1" min="4" max="4"/>
    <col width="2.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0" customHeight="1">
      <c r="B1" s="1" t="inlineStr">
        <is>
          <t>14_INPUTS_FX_AND_ACCOUNTING  FX and accounting elections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15" customHeight="1"/>
    <row r="3" ht="15" customHeight="1"/>
    <row r="4" ht="15" customHeight="1"/>
    <row r="5" ht="16" customHeight="1">
      <c r="B5" s="2" t="inlineStr">
        <is>
          <t>LINE ITEM</t>
        </is>
      </c>
      <c r="C5" s="2" t="inlineStr">
        <is>
          <t>UNITS</t>
        </is>
      </c>
      <c r="D5" s="2" t="inlineStr">
        <is>
          <t>NOTES / SOURCES / FLAGS</t>
        </is>
      </c>
      <c r="E5" s="2" t="inlineStr"/>
      <c r="F5" s="3">
        <f>03_GLOBAL_PARAMS!F24</f>
        <v/>
      </c>
      <c r="G5" s="3">
        <f>03_GLOBAL_PARAMS!G24</f>
        <v/>
      </c>
      <c r="H5" s="3">
        <f>03_GLOBAL_PARAMS!H24</f>
        <v/>
      </c>
      <c r="I5" s="3">
        <f>03_GLOBAL_PARAMS!I24</f>
        <v/>
      </c>
      <c r="J5" s="3">
        <f>03_GLOBAL_PARAMS!J24</f>
        <v/>
      </c>
      <c r="K5" s="3">
        <f>03_GLOBAL_PARAMS!K24</f>
        <v/>
      </c>
    </row>
    <row r="6" ht="18" customHeight="1">
      <c r="B6" s="4" t="inlineStr">
        <is>
          <t>FX RATES (DKK PER SEK)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 ht="15" customHeight="1">
      <c r="B7" s="19" t="inlineStr">
        <is>
          <t>Spot at close (DKK/SEK)</t>
        </is>
      </c>
      <c r="C7" s="20" t="inlineStr">
        <is>
          <t>DKK/SEK</t>
        </is>
      </c>
      <c r="F7" s="67" t="n">
        <v>0.65</v>
      </c>
    </row>
    <row r="8" ht="15" customHeight="1">
      <c r="B8" s="19" t="inlineStr">
        <is>
          <t>Average by year (DKK/SEK)</t>
        </is>
      </c>
      <c r="C8" s="20" t="inlineStr">
        <is>
          <t>DKK/SEK</t>
        </is>
      </c>
      <c r="F8" s="67" t="n">
        <v>0.65</v>
      </c>
      <c r="G8" s="67" t="n">
        <v>0.65</v>
      </c>
      <c r="H8" s="67" t="n">
        <v>0.66</v>
      </c>
      <c r="I8" s="67" t="n">
        <v>0.66</v>
      </c>
      <c r="J8" s="67" t="n">
        <v>0.67</v>
      </c>
      <c r="K8" s="67" t="n">
        <v>0.67</v>
      </c>
    </row>
    <row r="9" ht="15" customHeight="1">
      <c r="B9" s="19" t="inlineStr">
        <is>
          <t>FX avg used (after shock)</t>
        </is>
      </c>
      <c r="C9" s="20" t="inlineStr">
        <is>
          <t>DKK/SEK</t>
        </is>
      </c>
      <c r="F9" s="68">
        <f>IF(in_FX_Sens_On=1,INDEX(in_FX_Avg_Row,1,COLUMN()-5)*(1+in_FX_Shock),INDEX(in_FX_Avg_Row,1,COLUMN()-5))</f>
        <v/>
      </c>
      <c r="G9" s="68">
        <f>IF(in_FX_Sens_On=1,INDEX(in_FX_Avg_Row,1,COLUMN()-5)*(1+in_FX_Shock),INDEX(in_FX_Avg_Row,1,COLUMN()-5))</f>
        <v/>
      </c>
      <c r="H9" s="68">
        <f>IF(in_FX_Sens_On=1,INDEX(in_FX_Avg_Row,1,COLUMN()-5)*(1+in_FX_Shock),INDEX(in_FX_Avg_Row,1,COLUMN()-5))</f>
        <v/>
      </c>
      <c r="I9" s="68">
        <f>IF(in_FX_Sens_On=1,INDEX(in_FX_Avg_Row,1,COLUMN()-5)*(1+in_FX_Shock),INDEX(in_FX_Avg_Row,1,COLUMN()-5))</f>
        <v/>
      </c>
      <c r="J9" s="68">
        <f>IF(in_FX_Sens_On=1,INDEX(in_FX_Avg_Row,1,COLUMN()-5)*(1+in_FX_Shock),INDEX(in_FX_Avg_Row,1,COLUMN()-5))</f>
        <v/>
      </c>
      <c r="K9" s="68">
        <f>IF(in_FX_Sens_On=1,INDEX(in_FX_Avg_Row,1,COLUMN()-5)*(1+in_FX_Shock),INDEX(in_FX_Avg_Row,1,COLUMN()-5))</f>
        <v/>
      </c>
    </row>
    <row r="10" ht="15" customHeight="1"/>
    <row r="11" ht="18" customHeight="1">
      <c r="B11" s="4" t="inlineStr">
        <is>
          <t>FX SENSITIVITY CONTROLS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 ht="15" customHeight="1">
      <c r="B12" s="19" t="inlineStr">
        <is>
          <t>FX shock %</t>
        </is>
      </c>
      <c r="C12" s="20" t="inlineStr">
        <is>
          <t>%</t>
        </is>
      </c>
      <c r="F12" s="59" t="n">
        <v>0</v>
      </c>
    </row>
    <row r="13" ht="15" customHeight="1">
      <c r="B13" s="19" t="inlineStr">
        <is>
          <t>FX sensitivity on (1/0)</t>
        </is>
      </c>
      <c r="C13" s="20" t="inlineStr">
        <is>
          <t>Flag</t>
        </is>
      </c>
      <c r="F13" s="28" t="n">
        <v>0</v>
      </c>
    </row>
    <row r="14" ht="15" customHeight="1"/>
    <row r="15" ht="18" customHeight="1">
      <c r="B15" s="4" t="inlineStr">
        <is>
          <t>PPA INTANGIBLES (FAIR VALUE) AND LIVES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 ht="15" customHeight="1">
      <c r="B16" s="19" t="inlineStr">
        <is>
          <t>Customer relationships FV</t>
        </is>
      </c>
      <c r="C16" s="20" t="inlineStr">
        <is>
          <t>DKKm</t>
        </is>
      </c>
      <c r="F16" s="60" t="n">
        <v>600</v>
      </c>
    </row>
    <row r="17" ht="15" customHeight="1">
      <c r="B17" s="19" t="inlineStr">
        <is>
          <t>Customer relationships life (years)</t>
        </is>
      </c>
      <c r="C17" s="20" t="inlineStr">
        <is>
          <t>Years</t>
        </is>
      </c>
      <c r="F17" s="28" t="n">
        <v>8</v>
      </c>
    </row>
    <row r="18" ht="15" customHeight="1">
      <c r="B18" s="19" t="inlineStr">
        <is>
          <t>Developed technology FV</t>
        </is>
      </c>
      <c r="C18" s="20" t="inlineStr">
        <is>
          <t>DKKm</t>
        </is>
      </c>
      <c r="F18" s="60" t="n">
        <v>500</v>
      </c>
    </row>
    <row r="19" ht="15" customHeight="1">
      <c r="B19" s="19" t="inlineStr">
        <is>
          <t>Developed technology life (years)</t>
        </is>
      </c>
      <c r="C19" s="20" t="inlineStr">
        <is>
          <t>Years</t>
        </is>
      </c>
      <c r="F19" s="28" t="n">
        <v>5</v>
      </c>
    </row>
    <row r="20" ht="15" customHeight="1">
      <c r="B20" s="19" t="inlineStr">
        <is>
          <t>Brand / trade name FV</t>
        </is>
      </c>
      <c r="C20" s="20" t="inlineStr">
        <is>
          <t>DKKm</t>
        </is>
      </c>
      <c r="F20" s="60" t="n">
        <v>200</v>
      </c>
    </row>
    <row r="21" ht="15" customHeight="1">
      <c r="B21" s="19" t="inlineStr">
        <is>
          <t>Brand / trade name life (years)</t>
        </is>
      </c>
      <c r="C21" s="20" t="inlineStr">
        <is>
          <t>Years</t>
        </is>
      </c>
      <c r="F21" s="28" t="n">
        <v>10</v>
      </c>
    </row>
    <row r="22" ht="15" customHeight="1">
      <c r="B22" s="19" t="inlineStr">
        <is>
          <t>Deferred tax on intangibles on (1/0)</t>
        </is>
      </c>
      <c r="C22" s="20" t="inlineStr">
        <is>
          <t>Flag</t>
        </is>
      </c>
      <c r="F22" s="28" t="n">
        <v>1</v>
      </c>
    </row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K28"/>
  <sheetViews>
    <sheetView showGridLines="0" workbookViewId="0">
      <pane xSplit="5" ySplit="5" topLeftCell="F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34" customWidth="1" min="2" max="2"/>
    <col width="10" customWidth="1" min="3" max="3"/>
    <col width="40" customWidth="1" min="4" max="4"/>
    <col width="2.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0" customHeight="1">
      <c r="B1" s="1" t="inlineStr">
        <is>
          <t>20_CALCS_SOURCES_USES  Sources and uses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15" customHeight="1"/>
    <row r="3" ht="15" customHeight="1"/>
    <row r="4" ht="15" customHeight="1"/>
    <row r="5" ht="16" customHeight="1">
      <c r="B5" s="2" t="inlineStr">
        <is>
          <t>LINE ITEM</t>
        </is>
      </c>
      <c r="C5" s="2" t="inlineStr">
        <is>
          <t>UNITS</t>
        </is>
      </c>
      <c r="D5" s="2" t="inlineStr">
        <is>
          <t>NOTES / SOURCES / FLAGS</t>
        </is>
      </c>
      <c r="E5" s="2" t="inlineStr"/>
      <c r="F5" s="3">
        <f>03_GLOBAL_PARAMS!F24</f>
        <v/>
      </c>
      <c r="G5" s="3">
        <f>03_GLOBAL_PARAMS!G24</f>
        <v/>
      </c>
      <c r="H5" s="3">
        <f>03_GLOBAL_PARAMS!H24</f>
        <v/>
      </c>
      <c r="I5" s="3">
        <f>03_GLOBAL_PARAMS!I24</f>
        <v/>
      </c>
      <c r="J5" s="3">
        <f>03_GLOBAL_PARAMS!J24</f>
        <v/>
      </c>
      <c r="K5" s="3">
        <f>03_GLOBAL_PARAMS!K24</f>
        <v/>
      </c>
    </row>
    <row r="6" ht="18" customHeight="1">
      <c r="B6" s="4" t="inlineStr">
        <is>
          <t>FX USED (DKK PER SEK)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 ht="15" customHeight="1">
      <c r="B7" s="19" t="inlineStr">
        <is>
          <t>FX spot used (DKK/SEK)</t>
        </is>
      </c>
      <c r="C7" s="20" t="inlineStr">
        <is>
          <t>DKK/SEK</t>
        </is>
      </c>
      <c r="F7" s="68">
        <f>IF(in_FX_Sens_On=1,in_FX_Spot*(1+in_FX_Shock),in_FX_Spot)</f>
        <v/>
      </c>
    </row>
    <row r="8" ht="15" customHeight="1"/>
    <row r="9" ht="18" customHeight="1">
      <c r="B9" s="4" t="inlineStr">
        <is>
          <t>PURCHASE PRICE (DKKM)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 ht="15" customHeight="1">
      <c r="B10" s="19" t="inlineStr">
        <is>
          <t>Equity value</t>
        </is>
      </c>
      <c r="C10" s="20" t="inlineStr">
        <is>
          <t>DKKm</t>
        </is>
      </c>
      <c r="F10" s="65">
        <f>in_EquityValue_SEK*calc_FX_Spot_Used</f>
        <v/>
      </c>
    </row>
    <row r="11" ht="15" customHeight="1">
      <c r="B11" s="19" t="inlineStr">
        <is>
          <t>Net debt assumed</t>
        </is>
      </c>
      <c r="C11" s="20" t="inlineStr">
        <is>
          <t>DKKm</t>
        </is>
      </c>
      <c r="F11" s="65">
        <f>in_NetDebt_SEK*calc_FX_Spot_Used</f>
        <v/>
      </c>
    </row>
    <row r="12" ht="15" customHeight="1">
      <c r="B12" s="19" t="inlineStr">
        <is>
          <t>Enterprise value</t>
        </is>
      </c>
      <c r="C12" s="20" t="inlineStr">
        <is>
          <t>DKKm</t>
        </is>
      </c>
      <c r="F12" s="65">
        <f>calc_EquityValue_DKK+calc_NetDebt_DKK</f>
        <v/>
      </c>
    </row>
    <row r="13" ht="15" customHeight="1">
      <c r="B13" s="19" t="inlineStr">
        <is>
          <t>Debt repaid at close</t>
        </is>
      </c>
      <c r="C13" s="20" t="inlineStr">
        <is>
          <t>DKKm</t>
        </is>
      </c>
      <c r="F13" s="65">
        <f>in_DebtRepaid_SEK*calc_FX_Spot_Used</f>
        <v/>
      </c>
    </row>
    <row r="14" ht="15" customHeight="1">
      <c r="B14" s="19" t="inlineStr">
        <is>
          <t>Txn fees expensed</t>
        </is>
      </c>
      <c r="C14" s="20" t="inlineStr">
        <is>
          <t>DKKm</t>
        </is>
      </c>
      <c r="F14" s="65">
        <f>in_TxnFees_DKK</f>
        <v/>
      </c>
    </row>
    <row r="15" ht="15" customHeight="1"/>
    <row r="16" ht="18" customHeight="1">
      <c r="B16" s="4" t="inlineStr">
        <is>
          <t>USES (DKKM)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 ht="15" customHeight="1">
      <c r="B17" s="19" t="inlineStr">
        <is>
          <t>Equity purchase price</t>
        </is>
      </c>
      <c r="C17" s="20" t="inlineStr">
        <is>
          <t>DKKm</t>
        </is>
      </c>
      <c r="F17" s="65">
        <f>calc_EquityValue_DKK</f>
        <v/>
      </c>
    </row>
    <row r="18" ht="15" customHeight="1">
      <c r="B18" s="19" t="inlineStr">
        <is>
          <t>Debt repaid at close</t>
        </is>
      </c>
      <c r="C18" s="20" t="inlineStr">
        <is>
          <t>DKKm</t>
        </is>
      </c>
      <c r="F18" s="65">
        <f>calc_DebtRepaid_DKK</f>
        <v/>
      </c>
    </row>
    <row r="19" ht="15" customHeight="1">
      <c r="B19" s="19" t="inlineStr">
        <is>
          <t>Transaction fees expensed</t>
        </is>
      </c>
      <c r="C19" s="20" t="inlineStr">
        <is>
          <t>DKKm</t>
        </is>
      </c>
      <c r="F19" s="65">
        <f>calc_TxnFees_DKK</f>
        <v/>
      </c>
    </row>
    <row r="20" ht="15" customHeight="1">
      <c r="B20" s="38" t="inlineStr">
        <is>
          <t>Total uses</t>
        </is>
      </c>
      <c r="C20" s="20" t="inlineStr">
        <is>
          <t>DKKm</t>
        </is>
      </c>
      <c r="F20" s="69">
        <f>SUM(F17:F19)</f>
        <v/>
      </c>
    </row>
    <row r="21" ht="15" customHeight="1"/>
    <row r="22" ht="18" customHeight="1">
      <c r="B22" s="4" t="inlineStr">
        <is>
          <t>SOURCES (DKKM)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 ht="15" customHeight="1">
      <c r="B23" s="19" t="inlineStr">
        <is>
          <t>Cash on hand used</t>
        </is>
      </c>
      <c r="C23" s="20" t="inlineStr">
        <is>
          <t>DKKm</t>
        </is>
      </c>
      <c r="F23" s="65">
        <f>in_CashPct*calc_EquityValue_DKK+calc_TxnFees_DKK</f>
        <v/>
      </c>
    </row>
    <row r="24" ht="15" customHeight="1">
      <c r="B24" s="19" t="inlineStr">
        <is>
          <t>New debt raised</t>
        </is>
      </c>
      <c r="C24" s="20" t="inlineStr">
        <is>
          <t>DKKm</t>
        </is>
      </c>
      <c r="F24" s="65">
        <f>in_DebtPct*calc_EquityValue_DKK+calc_DebtRepaid_DKK</f>
        <v/>
      </c>
    </row>
    <row r="25" ht="15" customHeight="1">
      <c r="B25" s="19" t="inlineStr">
        <is>
          <t>Stock issued value</t>
        </is>
      </c>
      <c r="C25" s="20" t="inlineStr">
        <is>
          <t>DKKm</t>
        </is>
      </c>
      <c r="F25" s="65">
        <f>in_StockPct*calc_EquityValue_DKK</f>
        <v/>
      </c>
    </row>
    <row r="26" ht="15" customHeight="1">
      <c r="B26" s="38" t="inlineStr">
        <is>
          <t>Total sources</t>
        </is>
      </c>
      <c r="C26" s="20" t="inlineStr">
        <is>
          <t>DKKm</t>
        </is>
      </c>
      <c r="F26" s="69">
        <f>SUM(F23:F25)</f>
        <v/>
      </c>
    </row>
    <row r="27" ht="15" customHeight="1"/>
    <row r="28" ht="15" customHeight="1">
      <c r="B28" s="38" t="inlineStr">
        <is>
          <t>Sources - Uses check</t>
        </is>
      </c>
      <c r="C28" s="20" t="inlineStr">
        <is>
          <t>DKKm</t>
        </is>
      </c>
      <c r="F28" s="69">
        <f>F26-F20</f>
        <v/>
      </c>
    </row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K34"/>
  <sheetViews>
    <sheetView showGridLines="0" workbookViewId="0">
      <pane xSplit="5" ySplit="5" topLeftCell="F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34" customWidth="1" min="2" max="2"/>
    <col width="10" customWidth="1" min="3" max="3"/>
    <col width="40" customWidth="1" min="4" max="4"/>
    <col width="2.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0" customHeight="1">
      <c r="B1" s="1" t="inlineStr">
        <is>
          <t>21_CALCS_FINANCING  Debt schedules and interest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15" customHeight="1"/>
    <row r="3" ht="15" customHeight="1"/>
    <row r="4" ht="15" customHeight="1"/>
    <row r="5" ht="16" customHeight="1">
      <c r="B5" s="2" t="inlineStr">
        <is>
          <t>LINE ITEM</t>
        </is>
      </c>
      <c r="C5" s="2" t="inlineStr">
        <is>
          <t>UNITS</t>
        </is>
      </c>
      <c r="D5" s="2" t="inlineStr">
        <is>
          <t>NOTES / SOURCES / FLAGS</t>
        </is>
      </c>
      <c r="E5" s="2" t="inlineStr"/>
      <c r="F5" s="3">
        <f>03_GLOBAL_PARAMS!F24</f>
        <v/>
      </c>
      <c r="G5" s="3">
        <f>03_GLOBAL_PARAMS!G24</f>
        <v/>
      </c>
      <c r="H5" s="3">
        <f>03_GLOBAL_PARAMS!H24</f>
        <v/>
      </c>
      <c r="I5" s="3">
        <f>03_GLOBAL_PARAMS!I24</f>
        <v/>
      </c>
      <c r="J5" s="3">
        <f>03_GLOBAL_PARAMS!J24</f>
        <v/>
      </c>
      <c r="K5" s="3">
        <f>03_GLOBAL_PARAMS!K24</f>
        <v/>
      </c>
    </row>
    <row r="6" ht="18" customHeight="1">
      <c r="B6" s="4" t="inlineStr">
        <is>
          <t>NEW DEBT ALLOCATION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 ht="15" customHeight="1">
      <c r="B7" s="19" t="inlineStr">
        <is>
          <t>Total new debt</t>
        </is>
      </c>
      <c r="C7" s="20" t="inlineStr">
        <is>
          <t>DKKm</t>
        </is>
      </c>
      <c r="F7" s="65">
        <f>calc_NewDebt_DKK</f>
        <v/>
      </c>
    </row>
    <row r="8" ht="15" customHeight="1">
      <c r="B8" s="19" t="inlineStr">
        <is>
          <t>Tranche 1 amount</t>
        </is>
      </c>
      <c r="C8" s="20" t="inlineStr">
        <is>
          <t>DKKm</t>
        </is>
      </c>
      <c r="F8" s="65">
        <f>calc_NewDebtTotal*in_T1_Share</f>
        <v/>
      </c>
    </row>
    <row r="9" ht="15" customHeight="1">
      <c r="B9" s="19" t="inlineStr">
        <is>
          <t>Tranche 2 amount</t>
        </is>
      </c>
      <c r="C9" s="20" t="inlineStr">
        <is>
          <t>DKKm</t>
        </is>
      </c>
      <c r="F9" s="65">
        <f>calc_NewDebtTotal-calc_T1_Amount</f>
        <v/>
      </c>
    </row>
    <row r="10" ht="15" customHeight="1"/>
    <row r="11" ht="18" customHeight="1">
      <c r="B11" s="4" t="inlineStr">
        <is>
          <t>TRANCHE 1 SCHEDULE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 ht="15" customHeight="1">
      <c r="B12" s="19" t="inlineStr">
        <is>
          <t>Beginning balance</t>
        </is>
      </c>
      <c r="C12" s="20" t="inlineStr">
        <is>
          <t>DKKm</t>
        </is>
      </c>
      <c r="F12" s="65">
        <f>calc_T1_Amount</f>
        <v/>
      </c>
      <c r="G12" s="65">
        <f>F15</f>
        <v/>
      </c>
      <c r="H12" s="65">
        <f>G15</f>
        <v/>
      </c>
      <c r="I12" s="65">
        <f>H15</f>
        <v/>
      </c>
      <c r="J12" s="65">
        <f>I15</f>
        <v/>
      </c>
      <c r="K12" s="65">
        <f>J15</f>
        <v/>
      </c>
    </row>
    <row r="13" ht="15" customHeight="1">
      <c r="B13" s="19" t="inlineStr">
        <is>
          <t>Mandatory amortisation</t>
        </is>
      </c>
      <c r="C13" s="20" t="inlineStr">
        <is>
          <t>DKKm</t>
        </is>
      </c>
      <c r="F13" s="64" t="n">
        <v>0</v>
      </c>
      <c r="G13" s="64">
        <f>-G12*in_T1_Amort</f>
        <v/>
      </c>
      <c r="H13" s="64">
        <f>-H12*in_T1_Amort</f>
        <v/>
      </c>
      <c r="I13" s="64">
        <f>-I12*in_T1_Amort</f>
        <v/>
      </c>
      <c r="J13" s="64">
        <f>-J12*in_T1_Amort</f>
        <v/>
      </c>
      <c r="K13" s="64">
        <f>-K12*in_T1_Amort</f>
        <v/>
      </c>
    </row>
    <row r="14" ht="15" customHeight="1">
      <c r="B14" s="19" t="inlineStr">
        <is>
          <t>Cash sweep repayment</t>
        </is>
      </c>
      <c r="C14" s="20" t="inlineStr">
        <is>
          <t>DKKm</t>
        </is>
      </c>
      <c r="F14" s="64" t="n">
        <v>0</v>
      </c>
      <c r="G14" s="64">
        <f>-MIN(25_CALCS_PRO_FORMA_CF!G8, MAX(0,G12+G13))</f>
        <v/>
      </c>
      <c r="H14" s="64">
        <f>-MIN(25_CALCS_PRO_FORMA_CF!H8, MAX(0,H12+H13))</f>
        <v/>
      </c>
      <c r="I14" s="64">
        <f>-MIN(25_CALCS_PRO_FORMA_CF!I8, MAX(0,I12+I13))</f>
        <v/>
      </c>
      <c r="J14" s="64">
        <f>-MIN(25_CALCS_PRO_FORMA_CF!J8, MAX(0,J12+J13))</f>
        <v/>
      </c>
      <c r="K14" s="64">
        <f>-MIN(25_CALCS_PRO_FORMA_CF!K8, MAX(0,K12+K13))</f>
        <v/>
      </c>
    </row>
    <row r="15" ht="15" customHeight="1">
      <c r="B15" s="19" t="inlineStr">
        <is>
          <t>Ending balance</t>
        </is>
      </c>
      <c r="C15" s="20" t="inlineStr">
        <is>
          <t>DKKm</t>
        </is>
      </c>
      <c r="F15" s="64">
        <f>F12+F13+F14</f>
        <v/>
      </c>
      <c r="G15" s="64">
        <f>G12+G13+G14</f>
        <v/>
      </c>
      <c r="H15" s="64">
        <f>H12+H13+H14</f>
        <v/>
      </c>
      <c r="I15" s="64">
        <f>I12+I13+I14</f>
        <v/>
      </c>
      <c r="J15" s="64">
        <f>J12+J13+J14</f>
        <v/>
      </c>
      <c r="K15" s="64">
        <f>K12+K13+K14</f>
        <v/>
      </c>
    </row>
    <row r="16" ht="15" customHeight="1">
      <c r="B16" s="19" t="inlineStr">
        <is>
          <t>Interest rate</t>
        </is>
      </c>
      <c r="C16" s="20" t="inlineStr">
        <is>
          <t>%</t>
        </is>
      </c>
      <c r="F16" s="70">
        <f>in_BaseRate+in_T1_Margin</f>
        <v/>
      </c>
      <c r="G16" s="70">
        <f>in_BaseRate+in_T1_Margin</f>
        <v/>
      </c>
      <c r="H16" s="70">
        <f>in_BaseRate+in_T1_Margin</f>
        <v/>
      </c>
      <c r="I16" s="70">
        <f>in_BaseRate+in_T1_Margin</f>
        <v/>
      </c>
      <c r="J16" s="70">
        <f>in_BaseRate+in_T1_Margin</f>
        <v/>
      </c>
      <c r="K16" s="70">
        <f>in_BaseRate+in_T1_Margin</f>
        <v/>
      </c>
    </row>
    <row r="17" ht="15" customHeight="1">
      <c r="B17" s="19" t="inlineStr">
        <is>
          <t>Interest expense</t>
        </is>
      </c>
      <c r="C17" s="20" t="inlineStr">
        <is>
          <t>DKKm</t>
        </is>
      </c>
      <c r="F17" s="64" t="n">
        <v>0</v>
      </c>
      <c r="G17" s="64">
        <f>-((G12+G15)/2)*G16</f>
        <v/>
      </c>
      <c r="H17" s="64">
        <f>-((H12+H15)/2)*H16</f>
        <v/>
      </c>
      <c r="I17" s="64">
        <f>-((I12+I15)/2)*I16</f>
        <v/>
      </c>
      <c r="J17" s="64">
        <f>-((J12+J15)/2)*J16</f>
        <v/>
      </c>
      <c r="K17" s="64">
        <f>-((K12+K15)/2)*K16</f>
        <v/>
      </c>
    </row>
    <row r="18" ht="15" customHeight="1"/>
    <row r="19" ht="15" customHeight="1"/>
    <row r="20" ht="18" customHeight="1">
      <c r="B20" s="4" t="inlineStr">
        <is>
          <t>TRANCHE 2 SCHEDULE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 ht="15" customHeight="1">
      <c r="B21" s="19" t="inlineStr">
        <is>
          <t>Beginning balance</t>
        </is>
      </c>
      <c r="C21" s="20" t="inlineStr">
        <is>
          <t>DKKm</t>
        </is>
      </c>
      <c r="F21" s="65">
        <f>calc_T2_Amount</f>
        <v/>
      </c>
      <c r="G21" s="65">
        <f>F24</f>
        <v/>
      </c>
      <c r="H21" s="65">
        <f>G24</f>
        <v/>
      </c>
      <c r="I21" s="65">
        <f>H24</f>
        <v/>
      </c>
      <c r="J21" s="65">
        <f>I24</f>
        <v/>
      </c>
      <c r="K21" s="65">
        <f>J24</f>
        <v/>
      </c>
    </row>
    <row r="22" ht="15" customHeight="1">
      <c r="B22" s="19" t="inlineStr">
        <is>
          <t>Mandatory amortisation</t>
        </is>
      </c>
      <c r="C22" s="20" t="inlineStr">
        <is>
          <t>DKKm</t>
        </is>
      </c>
      <c r="F22" s="64" t="n">
        <v>0</v>
      </c>
      <c r="G22" s="64">
        <f>-G21*in_T2_Amort</f>
        <v/>
      </c>
      <c r="H22" s="64">
        <f>-H21*in_T2_Amort</f>
        <v/>
      </c>
      <c r="I22" s="64">
        <f>-I21*in_T2_Amort</f>
        <v/>
      </c>
      <c r="J22" s="64">
        <f>-J21*in_T2_Amort</f>
        <v/>
      </c>
      <c r="K22" s="64">
        <f>-K21*in_T2_Amort</f>
        <v/>
      </c>
    </row>
    <row r="23" ht="15" customHeight="1">
      <c r="B23" s="19" t="inlineStr">
        <is>
          <t>Cash sweep repayment</t>
        </is>
      </c>
      <c r="C23" s="20" t="inlineStr">
        <is>
          <t>DKKm</t>
        </is>
      </c>
      <c r="F23" s="64" t="n">
        <v>0</v>
      </c>
      <c r="G23" s="64">
        <f>-MIN(MAX(0,25_CALCS_PRO_FORMA_CF!G8 + G14), MAX(0,G21+G22))</f>
        <v/>
      </c>
      <c r="H23" s="64">
        <f>-MIN(MAX(0,25_CALCS_PRO_FORMA_CF!H8 + H14), MAX(0,H21+H22))</f>
        <v/>
      </c>
      <c r="I23" s="64">
        <f>-MIN(MAX(0,25_CALCS_PRO_FORMA_CF!I8 + I14), MAX(0,I21+I22))</f>
        <v/>
      </c>
      <c r="J23" s="64">
        <f>-MIN(MAX(0,25_CALCS_PRO_FORMA_CF!J8 + J14), MAX(0,J21+J22))</f>
        <v/>
      </c>
      <c r="K23" s="64">
        <f>-MIN(MAX(0,25_CALCS_PRO_FORMA_CF!K8 + K14), MAX(0,K21+K22))</f>
        <v/>
      </c>
    </row>
    <row r="24" ht="15" customHeight="1">
      <c r="B24" s="19" t="inlineStr">
        <is>
          <t>Ending balance</t>
        </is>
      </c>
      <c r="C24" s="20" t="inlineStr">
        <is>
          <t>DKKm</t>
        </is>
      </c>
      <c r="F24" s="64">
        <f>F21+F22+F23</f>
        <v/>
      </c>
      <c r="G24" s="64">
        <f>G21+G22+G23</f>
        <v/>
      </c>
      <c r="H24" s="64">
        <f>H21+H22+H23</f>
        <v/>
      </c>
      <c r="I24" s="64">
        <f>I21+I22+I23</f>
        <v/>
      </c>
      <c r="J24" s="64">
        <f>J21+J22+J23</f>
        <v/>
      </c>
      <c r="K24" s="64">
        <f>K21+K22+K23</f>
        <v/>
      </c>
    </row>
    <row r="25" ht="15" customHeight="1">
      <c r="B25" s="19" t="inlineStr">
        <is>
          <t>Interest rate</t>
        </is>
      </c>
      <c r="C25" s="20" t="inlineStr">
        <is>
          <t>%</t>
        </is>
      </c>
      <c r="F25" s="70">
        <f>in_BaseRate+in_T2_Margin</f>
        <v/>
      </c>
      <c r="G25" s="70">
        <f>in_BaseRate+in_T2_Margin</f>
        <v/>
      </c>
      <c r="H25" s="70">
        <f>in_BaseRate+in_T2_Margin</f>
        <v/>
      </c>
      <c r="I25" s="70">
        <f>in_BaseRate+in_T2_Margin</f>
        <v/>
      </c>
      <c r="J25" s="70">
        <f>in_BaseRate+in_T2_Margin</f>
        <v/>
      </c>
      <c r="K25" s="70">
        <f>in_BaseRate+in_T2_Margin</f>
        <v/>
      </c>
    </row>
    <row r="26" ht="15" customHeight="1">
      <c r="B26" s="19" t="inlineStr">
        <is>
          <t>Interest expense</t>
        </is>
      </c>
      <c r="C26" s="20" t="inlineStr">
        <is>
          <t>DKKm</t>
        </is>
      </c>
      <c r="F26" s="64" t="n">
        <v>0</v>
      </c>
      <c r="G26" s="64">
        <f>-((G21+G24)/2)*G25</f>
        <v/>
      </c>
      <c r="H26" s="64">
        <f>-((H21+H24)/2)*H25</f>
        <v/>
      </c>
      <c r="I26" s="64">
        <f>-((I21+I24)/2)*I25</f>
        <v/>
      </c>
      <c r="J26" s="64">
        <f>-((J21+J24)/2)*J25</f>
        <v/>
      </c>
      <c r="K26" s="64">
        <f>-((K21+K24)/2)*K25</f>
        <v/>
      </c>
    </row>
    <row r="27" ht="15" customHeight="1"/>
    <row r="28" ht="15" customHeight="1"/>
    <row r="29" ht="18" customHeight="1">
      <c r="B29" s="4" t="inlineStr">
        <is>
          <t>TOTALS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 ht="15" customHeight="1">
      <c r="B30" s="19" t="inlineStr">
        <is>
          <t>Ending balance total new debt</t>
        </is>
      </c>
      <c r="C30" s="20" t="inlineStr">
        <is>
          <t>DKKm</t>
        </is>
      </c>
      <c r="F30" s="65">
        <f>F15+F24</f>
        <v/>
      </c>
      <c r="G30" s="65">
        <f>G15+G24</f>
        <v/>
      </c>
      <c r="H30" s="65">
        <f>H15+H24</f>
        <v/>
      </c>
      <c r="I30" s="65">
        <f>I15+I24</f>
        <v/>
      </c>
      <c r="J30" s="65">
        <f>J15+J24</f>
        <v/>
      </c>
      <c r="K30" s="65">
        <f>K15+K24</f>
        <v/>
      </c>
    </row>
    <row r="31" ht="15" customHeight="1">
      <c r="B31" s="19" t="inlineStr">
        <is>
          <t>Interest expense total new debt</t>
        </is>
      </c>
      <c r="C31" s="20" t="inlineStr">
        <is>
          <t>DKKm</t>
        </is>
      </c>
      <c r="F31" s="65">
        <f>F17+F26</f>
        <v/>
      </c>
      <c r="G31" s="65">
        <f>G17+G26</f>
        <v/>
      </c>
      <c r="H31" s="65">
        <f>H17+H26</f>
        <v/>
      </c>
      <c r="I31" s="65">
        <f>I17+I26</f>
        <v/>
      </c>
      <c r="J31" s="65">
        <f>J17+J26</f>
        <v/>
      </c>
      <c r="K31" s="65">
        <f>K17+K26</f>
        <v/>
      </c>
    </row>
    <row r="32" ht="15" customHeight="1"/>
    <row r="33" ht="15" customHeight="1">
      <c r="B33" s="19" t="inlineStr">
        <is>
          <t>Debt roll check T1</t>
        </is>
      </c>
      <c r="C33" s="20" t="inlineStr">
        <is>
          <t>DKKm</t>
        </is>
      </c>
      <c r="F33" s="64">
        <f>F12+F13+F14-F15</f>
        <v/>
      </c>
      <c r="G33" s="64">
        <f>G12+G13+G14-G15</f>
        <v/>
      </c>
      <c r="H33" s="64">
        <f>H12+H13+H14-H15</f>
        <v/>
      </c>
      <c r="I33" s="64">
        <f>I12+I13+I14-I15</f>
        <v/>
      </c>
      <c r="J33" s="64">
        <f>J12+J13+J14-J15</f>
        <v/>
      </c>
      <c r="K33" s="64">
        <f>K12+K13+K14-K15</f>
        <v/>
      </c>
    </row>
    <row r="34" ht="15" customHeight="1">
      <c r="B34" s="19" t="inlineStr">
        <is>
          <t>Debt roll check T2</t>
        </is>
      </c>
      <c r="C34" s="20" t="inlineStr">
        <is>
          <t>DKKm</t>
        </is>
      </c>
      <c r="F34" s="64">
        <f>F21+F22+F23-F24</f>
        <v/>
      </c>
      <c r="G34" s="64">
        <f>G21+G22+G23-G24</f>
        <v/>
      </c>
      <c r="H34" s="64">
        <f>H21+H22+H23-H24</f>
        <v/>
      </c>
      <c r="I34" s="64">
        <f>I21+I22+I23-I24</f>
        <v/>
      </c>
      <c r="J34" s="64">
        <f>J21+J22+J23-J24</f>
        <v/>
      </c>
      <c r="K34" s="64">
        <f>K21+K22+K23-K24</f>
        <v/>
      </c>
    </row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K17"/>
  <sheetViews>
    <sheetView showGridLines="0" workbookViewId="0">
      <pane xSplit="5" ySplit="5" topLeftCell="F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34" customWidth="1" min="2" max="2"/>
    <col width="10" customWidth="1" min="3" max="3"/>
    <col width="40" customWidth="1" min="4" max="4"/>
    <col width="2.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0" customHeight="1">
      <c r="B1" s="1" t="inlineStr">
        <is>
          <t>22_CALCS_PPA  Purchase price allocation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15" customHeight="1"/>
    <row r="3" ht="15" customHeight="1"/>
    <row r="4" ht="15" customHeight="1"/>
    <row r="5" ht="16" customHeight="1">
      <c r="B5" s="2" t="inlineStr">
        <is>
          <t>LINE ITEM</t>
        </is>
      </c>
      <c r="C5" s="2" t="inlineStr">
        <is>
          <t>UNITS</t>
        </is>
      </c>
      <c r="D5" s="2" t="inlineStr">
        <is>
          <t>NOTES / SOURCES / FLAGS</t>
        </is>
      </c>
      <c r="E5" s="2" t="inlineStr"/>
      <c r="F5" s="3">
        <f>03_GLOBAL_PARAMS!F24</f>
        <v/>
      </c>
      <c r="G5" s="3">
        <f>03_GLOBAL_PARAMS!G24</f>
        <v/>
      </c>
      <c r="H5" s="3">
        <f>03_GLOBAL_PARAMS!H24</f>
        <v/>
      </c>
      <c r="I5" s="3">
        <f>03_GLOBAL_PARAMS!I24</f>
        <v/>
      </c>
      <c r="J5" s="3">
        <f>03_GLOBAL_PARAMS!J24</f>
        <v/>
      </c>
      <c r="K5" s="3">
        <f>03_GLOBAL_PARAMS!K24</f>
        <v/>
      </c>
    </row>
    <row r="6" ht="18" customHeight="1">
      <c r="B6" s="4" t="inlineStr">
        <is>
          <t>BRIDGE (DKKM)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 ht="15" customHeight="1">
      <c r="B7" s="19" t="inlineStr">
        <is>
          <t>Enterprise value</t>
        </is>
      </c>
      <c r="C7" s="20" t="inlineStr">
        <is>
          <t>DKKm</t>
        </is>
      </c>
      <c r="F7" s="65">
        <f>calc_EV_DKK</f>
        <v/>
      </c>
    </row>
    <row r="8" ht="15" customHeight="1">
      <c r="B8" s="19" t="inlineStr">
        <is>
          <t>Target book net assets</t>
        </is>
      </c>
      <c r="C8" s="20" t="inlineStr">
        <is>
          <t>DKKm</t>
        </is>
      </c>
      <c r="F8" s="65">
        <f>in_T_BS_Equity*calc_FX_Spot_Used</f>
        <v/>
      </c>
    </row>
    <row r="9" ht="15" customHeight="1">
      <c r="B9" s="19" t="inlineStr">
        <is>
          <t>Identifiable intangibles FV</t>
        </is>
      </c>
      <c r="C9" s="20" t="inlineStr">
        <is>
          <t>DKKm</t>
        </is>
      </c>
      <c r="F9" s="65">
        <f>in_PPA_Cust_FV+in_PPA_Tech_FV+in_PPA_Brand_FV</f>
        <v/>
      </c>
    </row>
    <row r="10" ht="15" customHeight="1">
      <c r="B10" s="19" t="inlineStr">
        <is>
          <t>Deferred tax liability</t>
        </is>
      </c>
      <c r="C10" s="20" t="inlineStr">
        <is>
          <t>DKKm</t>
        </is>
      </c>
      <c r="F10" s="65">
        <f>IF(in_PPA_DTL_On=1,calc_Intangibles_FV*g_TaxRate,0)</f>
        <v/>
      </c>
    </row>
    <row r="11" ht="15" customHeight="1">
      <c r="B11" s="19" t="inlineStr">
        <is>
          <t>Goodwill</t>
        </is>
      </c>
      <c r="C11" s="20" t="inlineStr">
        <is>
          <t>DKKm</t>
        </is>
      </c>
      <c r="F11" s="65">
        <f>calc_EV_DKK-(calc_TargetNetAssets_DKK+calc_Intangibles_FV-calc_PPA_DTL)</f>
        <v/>
      </c>
    </row>
    <row r="12" ht="15" customHeight="1"/>
    <row r="13" ht="18" customHeight="1">
      <c r="B13" s="4" t="inlineStr">
        <is>
          <t>AMORTISATION SCHEDULE (DKKM, NEGATIVE EXPENSE)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 ht="15" customHeight="1">
      <c r="B14" s="19" t="inlineStr">
        <is>
          <t>Customer relationships amort</t>
        </is>
      </c>
      <c r="C14" s="20" t="inlineStr">
        <is>
          <t>DKKm</t>
        </is>
      </c>
      <c r="F14" s="64" t="n">
        <v>0</v>
      </c>
      <c r="G14" s="64">
        <f>IFERROR(-in_PPA_Cust_FV/in_PPA_Cust_Life,0)</f>
        <v/>
      </c>
      <c r="H14" s="64">
        <f>IFERROR(-in_PPA_Cust_FV/in_PPA_Cust_Life,0)</f>
        <v/>
      </c>
      <c r="I14" s="64">
        <f>IFERROR(-in_PPA_Cust_FV/in_PPA_Cust_Life,0)</f>
        <v/>
      </c>
      <c r="J14" s="64">
        <f>IFERROR(-in_PPA_Cust_FV/in_PPA_Cust_Life,0)</f>
        <v/>
      </c>
      <c r="K14" s="64">
        <f>IFERROR(-in_PPA_Cust_FV/in_PPA_Cust_Life,0)</f>
        <v/>
      </c>
    </row>
    <row r="15" ht="15" customHeight="1">
      <c r="B15" s="19" t="inlineStr">
        <is>
          <t>Developed technology amort</t>
        </is>
      </c>
      <c r="C15" s="20" t="inlineStr">
        <is>
          <t>DKKm</t>
        </is>
      </c>
      <c r="F15" s="64" t="n">
        <v>0</v>
      </c>
      <c r="G15" s="64">
        <f>IFERROR(-in_PPA_Tech_FV/in_PPA_Tech_Life,0)</f>
        <v/>
      </c>
      <c r="H15" s="64">
        <f>IFERROR(-in_PPA_Tech_FV/in_PPA_Tech_Life,0)</f>
        <v/>
      </c>
      <c r="I15" s="64">
        <f>IFERROR(-in_PPA_Tech_FV/in_PPA_Tech_Life,0)</f>
        <v/>
      </c>
      <c r="J15" s="64">
        <f>IFERROR(-in_PPA_Tech_FV/in_PPA_Tech_Life,0)</f>
        <v/>
      </c>
      <c r="K15" s="64">
        <f>IFERROR(-in_PPA_Tech_FV/in_PPA_Tech_Life,0)</f>
        <v/>
      </c>
    </row>
    <row r="16" ht="15" customHeight="1">
      <c r="B16" s="19" t="inlineStr">
        <is>
          <t>Brand amort</t>
        </is>
      </c>
      <c r="C16" s="20" t="inlineStr">
        <is>
          <t>DKKm</t>
        </is>
      </c>
      <c r="F16" s="64" t="n">
        <v>0</v>
      </c>
      <c r="G16" s="64">
        <f>IFERROR(-in_PPA_Brand_FV/in_PPA_Brand_Life,0)</f>
        <v/>
      </c>
      <c r="H16" s="64">
        <f>IFERROR(-in_PPA_Brand_FV/in_PPA_Brand_Life,0)</f>
        <v/>
      </c>
      <c r="I16" s="64">
        <f>IFERROR(-in_PPA_Brand_FV/in_PPA_Brand_Life,0)</f>
        <v/>
      </c>
      <c r="J16" s="64">
        <f>IFERROR(-in_PPA_Brand_FV/in_PPA_Brand_Life,0)</f>
        <v/>
      </c>
      <c r="K16" s="64">
        <f>IFERROR(-in_PPA_Brand_FV/in_PPA_Brand_Life,0)</f>
        <v/>
      </c>
    </row>
    <row r="17" ht="15" customHeight="1">
      <c r="B17" s="19" t="inlineStr">
        <is>
          <t>Total PPA amort</t>
        </is>
      </c>
      <c r="C17" s="20" t="inlineStr">
        <is>
          <t>DKKm</t>
        </is>
      </c>
      <c r="F17" s="64" t="n">
        <v>0</v>
      </c>
      <c r="G17" s="64">
        <f>SUM(G14:G16)</f>
        <v/>
      </c>
      <c r="H17" s="64">
        <f>SUM(H14:H16)</f>
        <v/>
      </c>
      <c r="I17" s="64">
        <f>SUM(I14:I16)</f>
        <v/>
      </c>
      <c r="J17" s="64">
        <f>SUM(J14:J16)</f>
        <v/>
      </c>
      <c r="K17" s="64">
        <f>SUM(K14:K16)</f>
        <v/>
      </c>
    </row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K35"/>
  <sheetViews>
    <sheetView showGridLines="0" workbookViewId="0">
      <pane xSplit="5" ySplit="5" topLeftCell="F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34" customWidth="1" min="2" max="2"/>
    <col width="10" customWidth="1" min="3" max="3"/>
    <col width="40" customWidth="1" min="4" max="4"/>
    <col width="2.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0" customHeight="1">
      <c r="B1" s="1" t="inlineStr">
        <is>
          <t>23_CALCS_PRO_FORMA_IS  Pro forma income statement (DKKm)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15" customHeight="1"/>
    <row r="3" ht="15" customHeight="1"/>
    <row r="4" ht="15" customHeight="1"/>
    <row r="5" ht="16" customHeight="1">
      <c r="B5" s="2" t="inlineStr">
        <is>
          <t>LINE ITEM</t>
        </is>
      </c>
      <c r="C5" s="2" t="inlineStr">
        <is>
          <t>UNITS</t>
        </is>
      </c>
      <c r="D5" s="2" t="inlineStr">
        <is>
          <t>NOTES / SOURCES / FLAGS</t>
        </is>
      </c>
      <c r="E5" s="2" t="inlineStr"/>
      <c r="F5" s="3">
        <f>03_GLOBAL_PARAMS!F24</f>
        <v/>
      </c>
      <c r="G5" s="3">
        <f>03_GLOBAL_PARAMS!G24</f>
        <v/>
      </c>
      <c r="H5" s="3">
        <f>03_GLOBAL_PARAMS!H24</f>
        <v/>
      </c>
      <c r="I5" s="3">
        <f>03_GLOBAL_PARAMS!I24</f>
        <v/>
      </c>
      <c r="J5" s="3">
        <f>03_GLOBAL_PARAMS!J24</f>
        <v/>
      </c>
      <c r="K5" s="3">
        <f>03_GLOBAL_PARAMS!K24</f>
        <v/>
      </c>
    </row>
    <row r="6" ht="18" customHeight="1">
      <c r="B6" s="4" t="inlineStr">
        <is>
          <t>ACQUIRER STANDALONE (DKKM)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 ht="15" customHeight="1">
      <c r="B7" s="19" t="inlineStr">
        <is>
          <t>Acquirer Revenue</t>
        </is>
      </c>
      <c r="C7" s="20" t="inlineStr">
        <is>
          <t>DKKm</t>
        </is>
      </c>
      <c r="F7" s="65">
        <f>in_A_Revenue_Y0</f>
        <v/>
      </c>
      <c r="G7" s="64">
        <f>F7*(1+INDEX(in_A_Growth_Row,1,COLUMN()-5))</f>
        <v/>
      </c>
      <c r="H7" s="64">
        <f>G7*(1+INDEX(in_A_Growth_Row,1,COLUMN()-5))</f>
        <v/>
      </c>
      <c r="I7" s="64">
        <f>H7*(1+INDEX(in_A_Growth_Row,1,COLUMN()-5))</f>
        <v/>
      </c>
      <c r="J7" s="64">
        <f>I7*(1+INDEX(in_A_Growth_Row,1,COLUMN()-5))</f>
        <v/>
      </c>
      <c r="K7" s="64">
        <f>J7*(1+INDEX(in_A_Growth_Row,1,COLUMN()-5))</f>
        <v/>
      </c>
    </row>
    <row r="8" ht="15" customHeight="1">
      <c r="B8" s="19" t="inlineStr">
        <is>
          <t>Acquirer EBITDA</t>
        </is>
      </c>
      <c r="C8" s="20" t="inlineStr">
        <is>
          <t>DKKm</t>
        </is>
      </c>
      <c r="F8" s="64">
        <f>F7*INDEX(in_A_EBITDA_Margin_Row,1,COLUMN()-5)</f>
        <v/>
      </c>
      <c r="G8" s="64">
        <f>G7*INDEX(in_A_EBITDA_Margin_Row,1,COLUMN()-5)</f>
        <v/>
      </c>
      <c r="H8" s="64">
        <f>H7*INDEX(in_A_EBITDA_Margin_Row,1,COLUMN()-5)</f>
        <v/>
      </c>
      <c r="I8" s="64">
        <f>I7*INDEX(in_A_EBITDA_Margin_Row,1,COLUMN()-5)</f>
        <v/>
      </c>
      <c r="J8" s="64">
        <f>J7*INDEX(in_A_EBITDA_Margin_Row,1,COLUMN()-5)</f>
        <v/>
      </c>
      <c r="K8" s="64">
        <f>K7*INDEX(in_A_EBITDA_Margin_Row,1,COLUMN()-5)</f>
        <v/>
      </c>
    </row>
    <row r="9" ht="15" customHeight="1">
      <c r="B9" s="19" t="inlineStr">
        <is>
          <t>Acquirer D&amp;A</t>
        </is>
      </c>
      <c r="C9" s="20" t="inlineStr">
        <is>
          <t>DKKm</t>
        </is>
      </c>
      <c r="F9" s="64">
        <f>-F7*INDEX(in_A_DA_Pct_Row,1,COLUMN()-5)</f>
        <v/>
      </c>
      <c r="G9" s="64">
        <f>-G7*INDEX(in_A_DA_Pct_Row,1,COLUMN()-5)</f>
        <v/>
      </c>
      <c r="H9" s="64">
        <f>-H7*INDEX(in_A_DA_Pct_Row,1,COLUMN()-5)</f>
        <v/>
      </c>
      <c r="I9" s="64">
        <f>-I7*INDEX(in_A_DA_Pct_Row,1,COLUMN()-5)</f>
        <v/>
      </c>
      <c r="J9" s="64">
        <f>-J7*INDEX(in_A_DA_Pct_Row,1,COLUMN()-5)</f>
        <v/>
      </c>
      <c r="K9" s="64">
        <f>-K7*INDEX(in_A_DA_Pct_Row,1,COLUMN()-5)</f>
        <v/>
      </c>
    </row>
    <row r="10" ht="15" customHeight="1">
      <c r="B10" s="19" t="inlineStr">
        <is>
          <t>Acquirer EBIT</t>
        </is>
      </c>
      <c r="C10" s="20" t="inlineStr">
        <is>
          <t>DKKm</t>
        </is>
      </c>
      <c r="F10" s="64">
        <f>F8+F9</f>
        <v/>
      </c>
      <c r="G10" s="64">
        <f>G8+G9</f>
        <v/>
      </c>
      <c r="H10" s="64">
        <f>H8+H9</f>
        <v/>
      </c>
      <c r="I10" s="64">
        <f>I8+I9</f>
        <v/>
      </c>
      <c r="J10" s="64">
        <f>J8+J9</f>
        <v/>
      </c>
      <c r="K10" s="64">
        <f>K8+K9</f>
        <v/>
      </c>
    </row>
    <row r="11" ht="15" customHeight="1">
      <c r="B11" s="19" t="inlineStr">
        <is>
          <t>Acquirer Interest</t>
        </is>
      </c>
      <c r="C11" s="20" t="inlineStr">
        <is>
          <t>DKKm</t>
        </is>
      </c>
      <c r="F11" s="64">
        <f>in_A_Interest_Y0</f>
        <v/>
      </c>
      <c r="G11" s="64">
        <f>in_A_Interest_Y0</f>
        <v/>
      </c>
      <c r="H11" s="64">
        <f>in_A_Interest_Y0</f>
        <v/>
      </c>
      <c r="I11" s="64">
        <f>in_A_Interest_Y0</f>
        <v/>
      </c>
      <c r="J11" s="64">
        <f>in_A_Interest_Y0</f>
        <v/>
      </c>
      <c r="K11" s="64">
        <f>in_A_Interest_Y0</f>
        <v/>
      </c>
    </row>
    <row r="12" ht="15" customHeight="1">
      <c r="B12" s="19" t="inlineStr">
        <is>
          <t>Acquirer Taxes</t>
        </is>
      </c>
      <c r="C12" s="20" t="inlineStr">
        <is>
          <t>DKKm</t>
        </is>
      </c>
      <c r="F12" s="64">
        <f>-MAX(0,(F10+F11))*g_TaxRate</f>
        <v/>
      </c>
      <c r="G12" s="64">
        <f>-MAX(0,(G10+G11))*g_TaxRate</f>
        <v/>
      </c>
      <c r="H12" s="64">
        <f>-MAX(0,(H10+H11))*g_TaxRate</f>
        <v/>
      </c>
      <c r="I12" s="64">
        <f>-MAX(0,(I10+I11))*g_TaxRate</f>
        <v/>
      </c>
      <c r="J12" s="64">
        <f>-MAX(0,(J10+J11))*g_TaxRate</f>
        <v/>
      </c>
      <c r="K12" s="64">
        <f>-MAX(0,(K10+K11))*g_TaxRate</f>
        <v/>
      </c>
    </row>
    <row r="13" ht="15" customHeight="1">
      <c r="B13" s="19" t="inlineStr">
        <is>
          <t>Acquirer Net income</t>
        </is>
      </c>
      <c r="C13" s="20" t="inlineStr">
        <is>
          <t>DKKm</t>
        </is>
      </c>
      <c r="F13" s="64">
        <f>F10+F11+F12</f>
        <v/>
      </c>
      <c r="G13" s="64">
        <f>G10+G11+G12</f>
        <v/>
      </c>
      <c r="H13" s="64">
        <f>H10+H11+H12</f>
        <v/>
      </c>
      <c r="I13" s="64">
        <f>I10+I11+I12</f>
        <v/>
      </c>
      <c r="J13" s="64">
        <f>J10+J11+J12</f>
        <v/>
      </c>
      <c r="K13" s="64">
        <f>K10+K11+K12</f>
        <v/>
      </c>
    </row>
    <row r="14" ht="15" customHeight="1"/>
    <row r="15" ht="18" customHeight="1">
      <c r="B15" s="4" t="inlineStr">
        <is>
          <t>TARGET STANDALONE TRANSLATED (DKKM)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 ht="15" customHeight="1">
      <c r="B16" s="19" t="inlineStr">
        <is>
          <t>Target Revenue (SEKm)</t>
        </is>
      </c>
      <c r="C16" s="20" t="inlineStr">
        <is>
          <t>SEKm</t>
        </is>
      </c>
      <c r="F16" s="65">
        <f>in_T_Revenue_Y0</f>
        <v/>
      </c>
      <c r="G16" s="64">
        <f>INDEX(calc_T_RevenueFromARR_Row,1,COLUMN()-5)</f>
        <v/>
      </c>
      <c r="H16" s="64">
        <f>INDEX(calc_T_RevenueFromARR_Row,1,COLUMN()-5)</f>
        <v/>
      </c>
      <c r="I16" s="64">
        <f>INDEX(calc_T_RevenueFromARR_Row,1,COLUMN()-5)</f>
        <v/>
      </c>
      <c r="J16" s="64">
        <f>INDEX(calc_T_RevenueFromARR_Row,1,COLUMN()-5)</f>
        <v/>
      </c>
      <c r="K16" s="64">
        <f>INDEX(calc_T_RevenueFromARR_Row,1,COLUMN()-5)</f>
        <v/>
      </c>
    </row>
    <row r="17" ht="15" customHeight="1">
      <c r="B17" s="19" t="inlineStr">
        <is>
          <t>Target Revenue (DKKm)</t>
        </is>
      </c>
      <c r="C17" s="20" t="inlineStr">
        <is>
          <t>DKKm</t>
        </is>
      </c>
      <c r="F17" s="64">
        <f>F16*INDEX(calc_FX_Avg_Used_Row,1,COLUMN()-5)</f>
        <v/>
      </c>
      <c r="G17" s="64">
        <f>G16*INDEX(calc_FX_Avg_Used_Row,1,COLUMN()-5)</f>
        <v/>
      </c>
      <c r="H17" s="64">
        <f>H16*INDEX(calc_FX_Avg_Used_Row,1,COLUMN()-5)</f>
        <v/>
      </c>
      <c r="I17" s="64">
        <f>I16*INDEX(calc_FX_Avg_Used_Row,1,COLUMN()-5)</f>
        <v/>
      </c>
      <c r="J17" s="64">
        <f>J16*INDEX(calc_FX_Avg_Used_Row,1,COLUMN()-5)</f>
        <v/>
      </c>
      <c r="K17" s="64">
        <f>K16*INDEX(calc_FX_Avg_Used_Row,1,COLUMN()-5)</f>
        <v/>
      </c>
    </row>
    <row r="18" ht="15" customHeight="1">
      <c r="B18" s="19" t="inlineStr">
        <is>
          <t>Target EBITDA (DKKm)</t>
        </is>
      </c>
      <c r="C18" s="20" t="inlineStr">
        <is>
          <t>DKKm</t>
        </is>
      </c>
      <c r="F18" s="64">
        <f>F17*INDEX(in_T_EBITDA_Margin_Row,1,COLUMN()-5)</f>
        <v/>
      </c>
      <c r="G18" s="64">
        <f>G17*INDEX(in_T_EBITDA_Margin_Row,1,COLUMN()-5)</f>
        <v/>
      </c>
      <c r="H18" s="64">
        <f>H17*INDEX(in_T_EBITDA_Margin_Row,1,COLUMN()-5)</f>
        <v/>
      </c>
      <c r="I18" s="64">
        <f>I17*INDEX(in_T_EBITDA_Margin_Row,1,COLUMN()-5)</f>
        <v/>
      </c>
      <c r="J18" s="64">
        <f>J17*INDEX(in_T_EBITDA_Margin_Row,1,COLUMN()-5)</f>
        <v/>
      </c>
      <c r="K18" s="64">
        <f>K17*INDEX(in_T_EBITDA_Margin_Row,1,COLUMN()-5)</f>
        <v/>
      </c>
    </row>
    <row r="19" ht="15" customHeight="1">
      <c r="B19" s="19" t="inlineStr">
        <is>
          <t>Target D&amp;A (DKKm)</t>
        </is>
      </c>
      <c r="C19" s="20" t="inlineStr">
        <is>
          <t>DKKm</t>
        </is>
      </c>
      <c r="F19" s="64">
        <f>-F17*INDEX(in_T_DA_Pct_Row,1,COLUMN()-5)</f>
        <v/>
      </c>
      <c r="G19" s="64">
        <f>-G17*INDEX(in_T_DA_Pct_Row,1,COLUMN()-5)</f>
        <v/>
      </c>
      <c r="H19" s="64">
        <f>-H17*INDEX(in_T_DA_Pct_Row,1,COLUMN()-5)</f>
        <v/>
      </c>
      <c r="I19" s="64">
        <f>-I17*INDEX(in_T_DA_Pct_Row,1,COLUMN()-5)</f>
        <v/>
      </c>
      <c r="J19" s="64">
        <f>-J17*INDEX(in_T_DA_Pct_Row,1,COLUMN()-5)</f>
        <v/>
      </c>
      <c r="K19" s="64">
        <f>-K17*INDEX(in_T_DA_Pct_Row,1,COLUMN()-5)</f>
        <v/>
      </c>
    </row>
    <row r="20" ht="15" customHeight="1">
      <c r="B20" s="19" t="inlineStr">
        <is>
          <t>Target EBIT (DKKm)</t>
        </is>
      </c>
      <c r="C20" s="20" t="inlineStr">
        <is>
          <t>DKKm</t>
        </is>
      </c>
      <c r="F20" s="64">
        <f>F18+F19</f>
        <v/>
      </c>
      <c r="G20" s="64">
        <f>G18+G19</f>
        <v/>
      </c>
      <c r="H20" s="64">
        <f>H18+H19</f>
        <v/>
      </c>
      <c r="I20" s="64">
        <f>I18+I19</f>
        <v/>
      </c>
      <c r="J20" s="64">
        <f>J18+J19</f>
        <v/>
      </c>
      <c r="K20" s="64">
        <f>K18+K19</f>
        <v/>
      </c>
    </row>
    <row r="21" ht="15" customHeight="1">
      <c r="B21" s="19" t="inlineStr">
        <is>
          <t>Target Net income (DKKm)</t>
        </is>
      </c>
      <c r="C21" s="20" t="inlineStr">
        <is>
          <t>DKKm</t>
        </is>
      </c>
      <c r="F21" s="64">
        <f>F20 - MAX(0,F20)*g_TaxRate</f>
        <v/>
      </c>
      <c r="G21" s="64">
        <f>G20 - MAX(0,G20)*g_TaxRate</f>
        <v/>
      </c>
      <c r="H21" s="64">
        <f>H20 - MAX(0,H20)*g_TaxRate</f>
        <v/>
      </c>
      <c r="I21" s="64">
        <f>I20 - MAX(0,I20)*g_TaxRate</f>
        <v/>
      </c>
      <c r="J21" s="64">
        <f>J20 - MAX(0,J20)*g_TaxRate</f>
        <v/>
      </c>
      <c r="K21" s="64">
        <f>K20 - MAX(0,K20)*g_TaxRate</f>
        <v/>
      </c>
    </row>
    <row r="22" ht="15" customHeight="1"/>
    <row r="23" ht="18" customHeight="1">
      <c r="B23" s="4" t="inlineStr">
        <is>
          <t>DEAL EFFECTS (DKKM)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 ht="15" customHeight="1">
      <c r="B24" s="19" t="inlineStr">
        <is>
          <t>Synergies (DKKm)</t>
        </is>
      </c>
      <c r="C24" s="20" t="inlineStr">
        <is>
          <t>DKKm</t>
        </is>
      </c>
      <c r="F24" s="64">
        <f>in_SynergyRunRate*INDEX(in_SynergyRamp_Row,1,COLUMN()-5)</f>
        <v/>
      </c>
      <c r="G24" s="64">
        <f>in_SynergyRunRate*INDEX(in_SynergyRamp_Row,1,COLUMN()-5)</f>
        <v/>
      </c>
      <c r="H24" s="64">
        <f>in_SynergyRunRate*INDEX(in_SynergyRamp_Row,1,COLUMN()-5)</f>
        <v/>
      </c>
      <c r="I24" s="64">
        <f>in_SynergyRunRate*INDEX(in_SynergyRamp_Row,1,COLUMN()-5)</f>
        <v/>
      </c>
      <c r="J24" s="64">
        <f>in_SynergyRunRate*INDEX(in_SynergyRamp_Row,1,COLUMN()-5)</f>
        <v/>
      </c>
      <c r="K24" s="64">
        <f>in_SynergyRunRate*INDEX(in_SynergyRamp_Row,1,COLUMN()-5)</f>
        <v/>
      </c>
    </row>
    <row r="25" ht="15" customHeight="1">
      <c r="B25" s="19" t="inlineStr">
        <is>
          <t>Integration costs (DKKm)</t>
        </is>
      </c>
      <c r="C25" s="20" t="inlineStr">
        <is>
          <t>DKKm</t>
        </is>
      </c>
      <c r="F25" s="64">
        <f>INDEX(in_Integration_Row,1,COLUMN()-5)</f>
        <v/>
      </c>
      <c r="G25" s="64">
        <f>INDEX(in_Integration_Row,1,COLUMN()-5)</f>
        <v/>
      </c>
      <c r="H25" s="64">
        <f>INDEX(in_Integration_Row,1,COLUMN()-5)</f>
        <v/>
      </c>
      <c r="I25" s="64">
        <f>INDEX(in_Integration_Row,1,COLUMN()-5)</f>
        <v/>
      </c>
      <c r="J25" s="64">
        <f>INDEX(in_Integration_Row,1,COLUMN()-5)</f>
        <v/>
      </c>
      <c r="K25" s="64">
        <f>INDEX(in_Integration_Row,1,COLUMN()-5)</f>
        <v/>
      </c>
    </row>
    <row r="26" ht="15" customHeight="1">
      <c r="B26" s="19" t="inlineStr">
        <is>
          <t>PPA amort (DKKm)</t>
        </is>
      </c>
      <c r="C26" s="20" t="inlineStr">
        <is>
          <t>DKKm</t>
        </is>
      </c>
      <c r="F26" s="64">
        <f>INDEX(calc_PPA_Amort_Row,1,COLUMN()-5)</f>
        <v/>
      </c>
      <c r="G26" s="64">
        <f>INDEX(calc_PPA_Amort_Row,1,COLUMN()-5)</f>
        <v/>
      </c>
      <c r="H26" s="64">
        <f>INDEX(calc_PPA_Amort_Row,1,COLUMN()-5)</f>
        <v/>
      </c>
      <c r="I26" s="64">
        <f>INDEX(calc_PPA_Amort_Row,1,COLUMN()-5)</f>
        <v/>
      </c>
      <c r="J26" s="64">
        <f>INDEX(calc_PPA_Amort_Row,1,COLUMN()-5)</f>
        <v/>
      </c>
      <c r="K26" s="64">
        <f>INDEX(calc_PPA_Amort_Row,1,COLUMN()-5)</f>
        <v/>
      </c>
    </row>
    <row r="27" ht="15" customHeight="1">
      <c r="B27" s="19" t="inlineStr">
        <is>
          <t>New debt interest (DKKm)</t>
        </is>
      </c>
      <c r="C27" s="20" t="inlineStr">
        <is>
          <t>DKKm</t>
        </is>
      </c>
      <c r="F27" s="64">
        <f>INDEX(calc_NewDebt_Interest_Row,1,COLUMN()-5)</f>
        <v/>
      </c>
      <c r="G27" s="64">
        <f>INDEX(calc_NewDebt_Interest_Row,1,COLUMN()-5)</f>
        <v/>
      </c>
      <c r="H27" s="64">
        <f>INDEX(calc_NewDebt_Interest_Row,1,COLUMN()-5)</f>
        <v/>
      </c>
      <c r="I27" s="64">
        <f>INDEX(calc_NewDebt_Interest_Row,1,COLUMN()-5)</f>
        <v/>
      </c>
      <c r="J27" s="64">
        <f>INDEX(calc_NewDebt_Interest_Row,1,COLUMN()-5)</f>
        <v/>
      </c>
      <c r="K27" s="64">
        <f>INDEX(calc_NewDebt_Interest_Row,1,COLUMN()-5)</f>
        <v/>
      </c>
    </row>
    <row r="28" ht="15" customHeight="1"/>
    <row r="29" ht="18" customHeight="1">
      <c r="B29" s="4" t="inlineStr">
        <is>
          <t>PRO FORMA TOTALS (DKKM)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 ht="15" customHeight="1">
      <c r="B30" s="19" t="inlineStr">
        <is>
          <t>Pro forma Revenue</t>
        </is>
      </c>
      <c r="C30" s="20" t="inlineStr">
        <is>
          <t>DKKm</t>
        </is>
      </c>
      <c r="F30" s="64">
        <f>F7+F17</f>
        <v/>
      </c>
      <c r="G30" s="64">
        <f>G7+G17</f>
        <v/>
      </c>
      <c r="H30" s="64">
        <f>H7+H17</f>
        <v/>
      </c>
      <c r="I30" s="64">
        <f>I7+I17</f>
        <v/>
      </c>
      <c r="J30" s="64">
        <f>J7+J17</f>
        <v/>
      </c>
      <c r="K30" s="64">
        <f>K7+K17</f>
        <v/>
      </c>
    </row>
    <row r="31" ht="15" customHeight="1">
      <c r="B31" s="19" t="inlineStr">
        <is>
          <t>Pro forma EBITDA</t>
        </is>
      </c>
      <c r="C31" s="20" t="inlineStr">
        <is>
          <t>DKKm</t>
        </is>
      </c>
      <c r="F31" s="64">
        <f>F8+F18+F24+F25</f>
        <v/>
      </c>
      <c r="G31" s="64">
        <f>G8+G18+G24+G25</f>
        <v/>
      </c>
      <c r="H31" s="64">
        <f>H8+H18+H24+H25</f>
        <v/>
      </c>
      <c r="I31" s="64">
        <f>I8+I18+I24+I25</f>
        <v/>
      </c>
      <c r="J31" s="64">
        <f>J8+J18+J24+J25</f>
        <v/>
      </c>
      <c r="K31" s="64">
        <f>K8+K18+K24+K25</f>
        <v/>
      </c>
    </row>
    <row r="32" ht="15" customHeight="1">
      <c r="B32" s="19" t="inlineStr">
        <is>
          <t>Pro forma EBIT</t>
        </is>
      </c>
      <c r="C32" s="20" t="inlineStr">
        <is>
          <t>DKKm</t>
        </is>
      </c>
      <c r="F32" s="64">
        <f>F31+F9+F19+F26</f>
        <v/>
      </c>
      <c r="G32" s="64">
        <f>G31+G9+G19+G26</f>
        <v/>
      </c>
      <c r="H32" s="64">
        <f>H31+H9+H19+H26</f>
        <v/>
      </c>
      <c r="I32" s="64">
        <f>I31+I9+I19+I26</f>
        <v/>
      </c>
      <c r="J32" s="64">
        <f>J31+J9+J19+J26</f>
        <v/>
      </c>
      <c r="K32" s="64">
        <f>K31+K9+K19+K26</f>
        <v/>
      </c>
    </row>
    <row r="33" ht="15" customHeight="1">
      <c r="B33" s="19" t="inlineStr">
        <is>
          <t>Pro forma PBT</t>
        </is>
      </c>
      <c r="C33" s="20" t="inlineStr">
        <is>
          <t>DKKm</t>
        </is>
      </c>
      <c r="F33" s="64">
        <f>F32+F11+F27</f>
        <v/>
      </c>
      <c r="G33" s="64">
        <f>G32+G11+G27</f>
        <v/>
      </c>
      <c r="H33" s="64">
        <f>H32+H11+H27</f>
        <v/>
      </c>
      <c r="I33" s="64">
        <f>I32+I11+I27</f>
        <v/>
      </c>
      <c r="J33" s="64">
        <f>J32+J11+J27</f>
        <v/>
      </c>
      <c r="K33" s="64">
        <f>K32+K11+K27</f>
        <v/>
      </c>
    </row>
    <row r="34" ht="15" customHeight="1">
      <c r="B34" s="19" t="inlineStr">
        <is>
          <t>Pro forma Taxes</t>
        </is>
      </c>
      <c r="C34" s="20" t="inlineStr">
        <is>
          <t>DKKm</t>
        </is>
      </c>
      <c r="F34" s="64">
        <f>-MAX(0,F33)*g_TaxRate</f>
        <v/>
      </c>
      <c r="G34" s="64">
        <f>-MAX(0,G33)*g_TaxRate</f>
        <v/>
      </c>
      <c r="H34" s="64">
        <f>-MAX(0,H33)*g_TaxRate</f>
        <v/>
      </c>
      <c r="I34" s="64">
        <f>-MAX(0,I33)*g_TaxRate</f>
        <v/>
      </c>
      <c r="J34" s="64">
        <f>-MAX(0,J33)*g_TaxRate</f>
        <v/>
      </c>
      <c r="K34" s="64">
        <f>-MAX(0,K33)*g_TaxRate</f>
        <v/>
      </c>
    </row>
    <row r="35" ht="15" customHeight="1">
      <c r="B35" s="19" t="inlineStr">
        <is>
          <t>Pro forma Net income</t>
        </is>
      </c>
      <c r="C35" s="20" t="inlineStr">
        <is>
          <t>DKKm</t>
        </is>
      </c>
      <c r="F35" s="64">
        <f>F33+F34</f>
        <v/>
      </c>
      <c r="G35" s="64">
        <f>G33+G34</f>
        <v/>
      </c>
      <c r="H35" s="64">
        <f>H33+H34</f>
        <v/>
      </c>
      <c r="I35" s="64">
        <f>I33+I34</f>
        <v/>
      </c>
      <c r="J35" s="64">
        <f>J33+J34</f>
        <v/>
      </c>
      <c r="K35" s="64">
        <f>K33+K34</f>
        <v/>
      </c>
    </row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K19"/>
  <sheetViews>
    <sheetView showGridLines="0" workbookViewId="0">
      <pane xSplit="5" ySplit="5" topLeftCell="F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34" customWidth="1" min="2" max="2"/>
    <col width="10" customWidth="1" min="3" max="3"/>
    <col width="40" customWidth="1" min="4" max="4"/>
    <col width="2.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0" customHeight="1">
      <c r="B1" s="1" t="inlineStr">
        <is>
          <t>24_CALCS_PRO_FORMA_BS  Balance sheet (DKKm) and balance check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15" customHeight="1"/>
    <row r="3" ht="15" customHeight="1"/>
    <row r="4" ht="15" customHeight="1"/>
    <row r="5" ht="16" customHeight="1">
      <c r="B5" s="2" t="inlineStr">
        <is>
          <t>LINE ITEM</t>
        </is>
      </c>
      <c r="C5" s="2" t="inlineStr">
        <is>
          <t>UNITS</t>
        </is>
      </c>
      <c r="D5" s="2" t="inlineStr">
        <is>
          <t>NOTES / SOURCES / FLAGS</t>
        </is>
      </c>
      <c r="E5" s="2" t="inlineStr"/>
      <c r="F5" s="3">
        <f>03_GLOBAL_PARAMS!F24</f>
        <v/>
      </c>
      <c r="G5" s="3">
        <f>03_GLOBAL_PARAMS!G24</f>
        <v/>
      </c>
      <c r="H5" s="3">
        <f>03_GLOBAL_PARAMS!H24</f>
        <v/>
      </c>
      <c r="I5" s="3">
        <f>03_GLOBAL_PARAMS!I24</f>
        <v/>
      </c>
      <c r="J5" s="3">
        <f>03_GLOBAL_PARAMS!J24</f>
        <v/>
      </c>
      <c r="K5" s="3">
        <f>03_GLOBAL_PARAMS!K24</f>
        <v/>
      </c>
    </row>
    <row r="6" ht="18" customHeight="1">
      <c r="B6" s="4" t="inlineStr">
        <is>
          <t>PRO FORMA BALANCE SHEET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 ht="15" customHeight="1">
      <c r="B7" s="19" t="inlineStr">
        <is>
          <t>Cash</t>
        </is>
      </c>
      <c r="C7" s="20" t="inlineStr">
        <is>
          <t>DKKm</t>
        </is>
      </c>
      <c r="F7" s="65">
        <f>INDEX(25_CALCS_PRO_FORMA_CF!$F$30:$K$30,1,COLUMN()-5)</f>
        <v/>
      </c>
      <c r="G7" s="65">
        <f>INDEX(25_CALCS_PRO_FORMA_CF!$F$30:$K$30,1,COLUMN()-5)</f>
        <v/>
      </c>
      <c r="H7" s="65">
        <f>INDEX(25_CALCS_PRO_FORMA_CF!$F$30:$K$30,1,COLUMN()-5)</f>
        <v/>
      </c>
      <c r="I7" s="65">
        <f>INDEX(25_CALCS_PRO_FORMA_CF!$F$30:$K$30,1,COLUMN()-5)</f>
        <v/>
      </c>
      <c r="J7" s="65">
        <f>INDEX(25_CALCS_PRO_FORMA_CF!$F$30:$K$30,1,COLUMN()-5)</f>
        <v/>
      </c>
      <c r="K7" s="65">
        <f>INDEX(25_CALCS_PRO_FORMA_CF!$F$30:$K$30,1,COLUMN()-5)</f>
        <v/>
      </c>
    </row>
    <row r="8" ht="15" customHeight="1">
      <c r="B8" s="19" t="inlineStr">
        <is>
          <t>Net working capital</t>
        </is>
      </c>
      <c r="C8" s="20" t="inlineStr">
        <is>
          <t>DKKm</t>
        </is>
      </c>
      <c r="F8" s="64">
        <f>INDEX(23_CALCS_PRO_FORMA_IS!$F$30:$K$30,1,COLUMN()-5)*0.02</f>
        <v/>
      </c>
      <c r="G8" s="64">
        <f>INDEX(23_CALCS_PRO_FORMA_IS!$F$30:$K$30,1,COLUMN()-5)*0.02</f>
        <v/>
      </c>
      <c r="H8" s="64">
        <f>INDEX(23_CALCS_PRO_FORMA_IS!$F$30:$K$30,1,COLUMN()-5)*0.02</f>
        <v/>
      </c>
      <c r="I8" s="64">
        <f>INDEX(23_CALCS_PRO_FORMA_IS!$F$30:$K$30,1,COLUMN()-5)*0.02</f>
        <v/>
      </c>
      <c r="J8" s="64">
        <f>INDEX(23_CALCS_PRO_FORMA_IS!$F$30:$K$30,1,COLUMN()-5)*0.02</f>
        <v/>
      </c>
      <c r="K8" s="64">
        <f>INDEX(23_CALCS_PRO_FORMA_IS!$F$30:$K$30,1,COLUMN()-5)*0.02</f>
        <v/>
      </c>
    </row>
    <row r="9" ht="15" customHeight="1">
      <c r="B9" s="19" t="inlineStr">
        <is>
          <t>PP&amp;E</t>
        </is>
      </c>
      <c r="C9" s="20" t="inlineStr">
        <is>
          <t>DKKm</t>
        </is>
      </c>
      <c r="F9" s="64">
        <f>in_A_BS_PPE + in_T_BS_PPE*calc_FX_Spot_Used</f>
        <v/>
      </c>
      <c r="G9" s="64">
        <f>F9 + INDEX(25_CALCS_PRO_FORMA_CF!$F$18:$K$18,1,COLUMN()-5) + (INDEX(23_CALCS_PRO_FORMA_IS!$F$9:$K$9,1,COLUMN()-5)+INDEX(23_CALCS_PRO_FORMA_IS!$F$19:$K$19,1,COLUMN()-5))</f>
        <v/>
      </c>
      <c r="H9" s="64">
        <f>G9 + INDEX(25_CALCS_PRO_FORMA_CF!$F$18:$K$18,1,COLUMN()-5) + (INDEX(23_CALCS_PRO_FORMA_IS!$F$9:$K$9,1,COLUMN()-5)+INDEX(23_CALCS_PRO_FORMA_IS!$F$19:$K$19,1,COLUMN()-5))</f>
        <v/>
      </c>
      <c r="I9" s="64">
        <f>H9 + INDEX(25_CALCS_PRO_FORMA_CF!$F$18:$K$18,1,COLUMN()-5) + (INDEX(23_CALCS_PRO_FORMA_IS!$F$9:$K$9,1,COLUMN()-5)+INDEX(23_CALCS_PRO_FORMA_IS!$F$19:$K$19,1,COLUMN()-5))</f>
        <v/>
      </c>
      <c r="J9" s="64">
        <f>I9 + INDEX(25_CALCS_PRO_FORMA_CF!$F$18:$K$18,1,COLUMN()-5) + (INDEX(23_CALCS_PRO_FORMA_IS!$F$9:$K$9,1,COLUMN()-5)+INDEX(23_CALCS_PRO_FORMA_IS!$F$19:$K$19,1,COLUMN()-5))</f>
        <v/>
      </c>
      <c r="K9" s="64">
        <f>J9 + INDEX(25_CALCS_PRO_FORMA_CF!$F$18:$K$18,1,COLUMN()-5) + (INDEX(23_CALCS_PRO_FORMA_IS!$F$9:$K$9,1,COLUMN()-5)+INDEX(23_CALCS_PRO_FORMA_IS!$F$19:$K$19,1,COLUMN()-5))</f>
        <v/>
      </c>
    </row>
    <row r="10" ht="15" customHeight="1">
      <c r="B10" s="19" t="inlineStr">
        <is>
          <t>Other assets</t>
        </is>
      </c>
      <c r="C10" s="20" t="inlineStr">
        <is>
          <t>DKKm</t>
        </is>
      </c>
      <c r="F10" s="64">
        <f>in_A_BS_OtherAssets + in_T_BS_OtherAssets*calc_FX_Spot_Used</f>
        <v/>
      </c>
      <c r="G10" s="64">
        <f>in_A_BS_OtherAssets + in_T_BS_OtherAssets*calc_FX_Spot_Used</f>
        <v/>
      </c>
      <c r="H10" s="64">
        <f>in_A_BS_OtherAssets + in_T_BS_OtherAssets*calc_FX_Spot_Used</f>
        <v/>
      </c>
      <c r="I10" s="64">
        <f>in_A_BS_OtherAssets + in_T_BS_OtherAssets*calc_FX_Spot_Used</f>
        <v/>
      </c>
      <c r="J10" s="64">
        <f>in_A_BS_OtherAssets + in_T_BS_OtherAssets*calc_FX_Spot_Used</f>
        <v/>
      </c>
      <c r="K10" s="64">
        <f>in_A_BS_OtherAssets + in_T_BS_OtherAssets*calc_FX_Spot_Used</f>
        <v/>
      </c>
    </row>
    <row r="11" ht="15" customHeight="1">
      <c r="B11" s="19" t="inlineStr">
        <is>
          <t>Identifiable intangibles (net)</t>
        </is>
      </c>
      <c r="C11" s="20" t="inlineStr">
        <is>
          <t>DKKm</t>
        </is>
      </c>
      <c r="F11" s="64">
        <f>calc_Intangibles_FV</f>
        <v/>
      </c>
      <c r="G11" s="64">
        <f>MAX(0,F11 + INDEX(22_CALCS_PPA!$F$17:$K$17,1,COLUMN()-5))</f>
        <v/>
      </c>
      <c r="H11" s="64">
        <f>MAX(0,G11 + INDEX(22_CALCS_PPA!$F$17:$K$17,1,COLUMN()-5))</f>
        <v/>
      </c>
      <c r="I11" s="64">
        <f>MAX(0,H11 + INDEX(22_CALCS_PPA!$F$17:$K$17,1,COLUMN()-5))</f>
        <v/>
      </c>
      <c r="J11" s="64">
        <f>MAX(0,I11 + INDEX(22_CALCS_PPA!$F$17:$K$17,1,COLUMN()-5))</f>
        <v/>
      </c>
      <c r="K11" s="64">
        <f>MAX(0,J11 + INDEX(22_CALCS_PPA!$F$17:$K$17,1,COLUMN()-5))</f>
        <v/>
      </c>
    </row>
    <row r="12" ht="15" customHeight="1">
      <c r="B12" s="19" t="inlineStr">
        <is>
          <t>Goodwill</t>
        </is>
      </c>
      <c r="C12" s="20" t="inlineStr">
        <is>
          <t>DKKm</t>
        </is>
      </c>
      <c r="F12" s="65">
        <f>calc_Goodwill</f>
        <v/>
      </c>
      <c r="G12" s="65">
        <f>calc_Goodwill</f>
        <v/>
      </c>
      <c r="H12" s="65">
        <f>calc_Goodwill</f>
        <v/>
      </c>
      <c r="I12" s="65">
        <f>calc_Goodwill</f>
        <v/>
      </c>
      <c r="J12" s="65">
        <f>calc_Goodwill</f>
        <v/>
      </c>
      <c r="K12" s="65">
        <f>calc_Goodwill</f>
        <v/>
      </c>
    </row>
    <row r="13" ht="15" customHeight="1">
      <c r="B13" s="38" t="inlineStr">
        <is>
          <t>Total assets</t>
        </is>
      </c>
      <c r="C13" s="20" t="inlineStr">
        <is>
          <t>DKKm</t>
        </is>
      </c>
      <c r="F13" s="69">
        <f>SUM(F7:F12)</f>
        <v/>
      </c>
      <c r="G13" s="69">
        <f>SUM(G7:G12)</f>
        <v/>
      </c>
      <c r="H13" s="69">
        <f>SUM(H7:H12)</f>
        <v/>
      </c>
      <c r="I13" s="69">
        <f>SUM(I7:I12)</f>
        <v/>
      </c>
      <c r="J13" s="69">
        <f>SUM(J7:J12)</f>
        <v/>
      </c>
      <c r="K13" s="69">
        <f>SUM(K7:K12)</f>
        <v/>
      </c>
    </row>
    <row r="14" ht="15" customHeight="1">
      <c r="B14" s="19" t="inlineStr">
        <is>
          <t>Debt (existing + new, net of repay)</t>
        </is>
      </c>
      <c r="C14" s="20" t="inlineStr">
        <is>
          <t>DKKm</t>
        </is>
      </c>
      <c r="F14" s="64">
        <f>in_A_BS_Debt + in_T_BS_Debt*calc_FX_Spot_Used + INDEX(calc_NewDebt_End_Row,1,1) - calc_DebtRepaid_DKK</f>
        <v/>
      </c>
      <c r="G14" s="64">
        <f>in_A_BS_Debt + in_T_BS_Debt*calc_FX_Spot_Used + INDEX(calc_NewDebt_End_Row,1,COLUMN()-5) - calc_DebtRepaid_DKK</f>
        <v/>
      </c>
      <c r="H14" s="64">
        <f>in_A_BS_Debt + in_T_BS_Debt*calc_FX_Spot_Used + INDEX(calc_NewDebt_End_Row,1,COLUMN()-5) - calc_DebtRepaid_DKK</f>
        <v/>
      </c>
      <c r="I14" s="64">
        <f>in_A_BS_Debt + in_T_BS_Debt*calc_FX_Spot_Used + INDEX(calc_NewDebt_End_Row,1,COLUMN()-5) - calc_DebtRepaid_DKK</f>
        <v/>
      </c>
      <c r="J14" s="64">
        <f>in_A_BS_Debt + in_T_BS_Debt*calc_FX_Spot_Used + INDEX(calc_NewDebt_End_Row,1,COLUMN()-5) - calc_DebtRepaid_DKK</f>
        <v/>
      </c>
      <c r="K14" s="64">
        <f>in_A_BS_Debt + in_T_BS_Debt*calc_FX_Spot_Used + INDEX(calc_NewDebt_End_Row,1,COLUMN()-5) - calc_DebtRepaid_DKK</f>
        <v/>
      </c>
    </row>
    <row r="15" ht="15" customHeight="1">
      <c r="B15" s="19" t="inlineStr">
        <is>
          <t>Other liabilities</t>
        </is>
      </c>
      <c r="C15" s="20" t="inlineStr">
        <is>
          <t>DKKm</t>
        </is>
      </c>
      <c r="F15" s="64">
        <f>in_A_BS_OtherLiab + in_T_BS_OtherLiab*calc_FX_Spot_Used</f>
        <v/>
      </c>
      <c r="G15" s="64">
        <f>in_A_BS_OtherLiab + in_T_BS_OtherLiab*calc_FX_Spot_Used</f>
        <v/>
      </c>
      <c r="H15" s="64">
        <f>in_A_BS_OtherLiab + in_T_BS_OtherLiab*calc_FX_Spot_Used</f>
        <v/>
      </c>
      <c r="I15" s="64">
        <f>in_A_BS_OtherLiab + in_T_BS_OtherLiab*calc_FX_Spot_Used</f>
        <v/>
      </c>
      <c r="J15" s="64">
        <f>in_A_BS_OtherLiab + in_T_BS_OtherLiab*calc_FX_Spot_Used</f>
        <v/>
      </c>
      <c r="K15" s="64">
        <f>in_A_BS_OtherLiab + in_T_BS_OtherLiab*calc_FX_Spot_Used</f>
        <v/>
      </c>
    </row>
    <row r="16" ht="15" customHeight="1">
      <c r="B16" s="38" t="inlineStr">
        <is>
          <t>Total liabilities</t>
        </is>
      </c>
      <c r="C16" s="20" t="inlineStr">
        <is>
          <t>DKKm</t>
        </is>
      </c>
      <c r="F16" s="69">
        <f>SUM(F14:F15)</f>
        <v/>
      </c>
      <c r="G16" s="69">
        <f>SUM(G14:G15)</f>
        <v/>
      </c>
      <c r="H16" s="69">
        <f>SUM(H14:H15)</f>
        <v/>
      </c>
      <c r="I16" s="69">
        <f>SUM(I14:I15)</f>
        <v/>
      </c>
      <c r="J16" s="69">
        <f>SUM(J14:J15)</f>
        <v/>
      </c>
      <c r="K16" s="69">
        <f>SUM(K14:K15)</f>
        <v/>
      </c>
    </row>
    <row r="17" ht="15" customHeight="1">
      <c r="B17" s="19" t="inlineStr">
        <is>
          <t>Equity</t>
        </is>
      </c>
      <c r="C17" s="20" t="inlineStr">
        <is>
          <t>DKKm</t>
        </is>
      </c>
      <c r="F17" s="64">
        <f>F13-F16</f>
        <v/>
      </c>
      <c r="G17" s="64">
        <f>F17 + INDEX(calc_PF_NI_Row,1,COLUMN()-5)</f>
        <v/>
      </c>
      <c r="H17" s="64">
        <f>G17 + INDEX(calc_PF_NI_Row,1,COLUMN()-5)</f>
        <v/>
      </c>
      <c r="I17" s="64">
        <f>H17 + INDEX(calc_PF_NI_Row,1,COLUMN()-5)</f>
        <v/>
      </c>
      <c r="J17" s="64">
        <f>I17 + INDEX(calc_PF_NI_Row,1,COLUMN()-5)</f>
        <v/>
      </c>
      <c r="K17" s="64">
        <f>J17 + INDEX(calc_PF_NI_Row,1,COLUMN()-5)</f>
        <v/>
      </c>
    </row>
    <row r="18" ht="15" customHeight="1">
      <c r="B18" s="38" t="inlineStr">
        <is>
          <t>Total liabilities + equity</t>
        </is>
      </c>
      <c r="C18" s="20" t="inlineStr">
        <is>
          <t>DKKm</t>
        </is>
      </c>
      <c r="F18" s="69">
        <f>F16+F17</f>
        <v/>
      </c>
      <c r="G18" s="69">
        <f>G16+G17</f>
        <v/>
      </c>
      <c r="H18" s="69">
        <f>H16+H17</f>
        <v/>
      </c>
      <c r="I18" s="69">
        <f>I16+I17</f>
        <v/>
      </c>
      <c r="J18" s="69">
        <f>J16+J17</f>
        <v/>
      </c>
      <c r="K18" s="69">
        <f>K16+K17</f>
        <v/>
      </c>
    </row>
    <row r="19" ht="15" customHeight="1">
      <c r="B19" s="38" t="inlineStr">
        <is>
          <t>Balance check (Assets - L-E)</t>
        </is>
      </c>
      <c r="C19" s="20" t="inlineStr">
        <is>
          <t>DKKm</t>
        </is>
      </c>
      <c r="F19" s="69">
        <f>F13-F18</f>
        <v/>
      </c>
      <c r="G19" s="69">
        <f>G13-G18</f>
        <v/>
      </c>
      <c r="H19" s="69">
        <f>H13-H18</f>
        <v/>
      </c>
      <c r="I19" s="69">
        <f>I13-I18</f>
        <v/>
      </c>
      <c r="J19" s="69">
        <f>J13-J18</f>
        <v/>
      </c>
      <c r="K19" s="69">
        <f>K13-K18</f>
        <v/>
      </c>
    </row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K30"/>
  <sheetViews>
    <sheetView showGridLines="0" workbookViewId="0">
      <pane xSplit="5" ySplit="5" topLeftCell="F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34" customWidth="1" min="2" max="2"/>
    <col width="10" customWidth="1" min="3" max="3"/>
    <col width="40" customWidth="1" min="4" max="4"/>
    <col width="2.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0" customHeight="1">
      <c r="B1" s="1" t="inlineStr">
        <is>
          <t>25_CALCS_PRO_FORMA_CF  Cash flow (DKKm) and cash roll forward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15" customHeight="1"/>
    <row r="3" ht="15" customHeight="1"/>
    <row r="4" ht="15" customHeight="1"/>
    <row r="5" ht="16" customHeight="1">
      <c r="B5" s="2" t="inlineStr">
        <is>
          <t>LINE ITEM</t>
        </is>
      </c>
      <c r="C5" s="2" t="inlineStr">
        <is>
          <t>UNITS</t>
        </is>
      </c>
      <c r="D5" s="2" t="inlineStr">
        <is>
          <t>NOTES / SOURCES / FLAGS</t>
        </is>
      </c>
      <c r="E5" s="2" t="inlineStr"/>
      <c r="F5" s="3">
        <f>03_GLOBAL_PARAMS!F24</f>
        <v/>
      </c>
      <c r="G5" s="3">
        <f>03_GLOBAL_PARAMS!G24</f>
        <v/>
      </c>
      <c r="H5" s="3">
        <f>03_GLOBAL_PARAMS!H24</f>
        <v/>
      </c>
      <c r="I5" s="3">
        <f>03_GLOBAL_PARAMS!I24</f>
        <v/>
      </c>
      <c r="J5" s="3">
        <f>03_GLOBAL_PARAMS!J24</f>
        <v/>
      </c>
      <c r="K5" s="3">
        <f>03_GLOBAL_PARAMS!K24</f>
        <v/>
      </c>
    </row>
    <row r="6" ht="18" customHeight="1">
      <c r="B6" s="4" t="inlineStr">
        <is>
          <t>CASH ROLL FORWARD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 ht="15" customHeight="1">
      <c r="B7" s="19" t="inlineStr">
        <is>
          <t>Beginning cash</t>
        </is>
      </c>
      <c r="C7" s="20" t="inlineStr">
        <is>
          <t>DKKm</t>
        </is>
      </c>
      <c r="F7" s="64">
        <f>in_A_BS_Cash + in_T_BS_Cash*calc_FX_Spot_Used - calc_CashUsed_DKK</f>
        <v/>
      </c>
      <c r="G7" s="64">
        <f>F30</f>
        <v/>
      </c>
      <c r="H7" s="64">
        <f>G30</f>
        <v/>
      </c>
      <c r="I7" s="64">
        <f>H30</f>
        <v/>
      </c>
      <c r="J7" s="64">
        <f>I30</f>
        <v/>
      </c>
      <c r="K7" s="64">
        <f>J30</f>
        <v/>
      </c>
    </row>
    <row r="8" ht="15" customHeight="1">
      <c r="B8" s="19" t="inlineStr">
        <is>
          <t>Cash available for sweep</t>
        </is>
      </c>
      <c r="C8" s="20" t="inlineStr">
        <is>
          <t>DKKm</t>
        </is>
      </c>
      <c r="F8" s="64">
        <f>MAX(0,F7-g_MinCash)</f>
        <v/>
      </c>
      <c r="G8" s="64">
        <f>MAX(0,G7-g_MinCash)</f>
        <v/>
      </c>
      <c r="H8" s="64">
        <f>MAX(0,H7-g_MinCash)</f>
        <v/>
      </c>
      <c r="I8" s="64">
        <f>MAX(0,I7-g_MinCash)</f>
        <v/>
      </c>
      <c r="J8" s="64">
        <f>MAX(0,J7-g_MinCash)</f>
        <v/>
      </c>
      <c r="K8" s="64">
        <f>MAX(0,K7-g_MinCash)</f>
        <v/>
      </c>
    </row>
    <row r="9" ht="15" customHeight="1"/>
    <row r="10" ht="18" customHeight="1">
      <c r="B10" s="4" t="inlineStr">
        <is>
          <t>OPERATING CASH FLOW (SIMPLIFIED)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 ht="15" customHeight="1">
      <c r="B11" s="19" t="inlineStr">
        <is>
          <t>EBITDA</t>
        </is>
      </c>
      <c r="C11" s="20" t="inlineStr">
        <is>
          <t>DKKm</t>
        </is>
      </c>
      <c r="F11" s="65">
        <f>INDEX(23_CALCS_PRO_FORMA_IS!$F$31:$K$31,1,COLUMN()-5)</f>
        <v/>
      </c>
      <c r="G11" s="65">
        <f>INDEX(23_CALCS_PRO_FORMA_IS!$F$31:$K$31,1,COLUMN()-5)</f>
        <v/>
      </c>
      <c r="H11" s="65">
        <f>INDEX(23_CALCS_PRO_FORMA_IS!$F$31:$K$31,1,COLUMN()-5)</f>
        <v/>
      </c>
      <c r="I11" s="65">
        <f>INDEX(23_CALCS_PRO_FORMA_IS!$F$31:$K$31,1,COLUMN()-5)</f>
        <v/>
      </c>
      <c r="J11" s="65">
        <f>INDEX(23_CALCS_PRO_FORMA_IS!$F$31:$K$31,1,COLUMN()-5)</f>
        <v/>
      </c>
      <c r="K11" s="65">
        <f>INDEX(23_CALCS_PRO_FORMA_IS!$F$31:$K$31,1,COLUMN()-5)</f>
        <v/>
      </c>
    </row>
    <row r="12" ht="15" customHeight="1">
      <c r="B12" s="19" t="inlineStr">
        <is>
          <t>Cash taxes</t>
        </is>
      </c>
      <c r="C12" s="20" t="inlineStr">
        <is>
          <t>DKKm</t>
        </is>
      </c>
      <c r="F12" s="65">
        <f>INDEX(23_CALCS_PRO_FORMA_IS!$F$34:$K$34,1,COLUMN()-5)</f>
        <v/>
      </c>
      <c r="G12" s="65">
        <f>INDEX(23_CALCS_PRO_FORMA_IS!$F$34:$K$34,1,COLUMN()-5)</f>
        <v/>
      </c>
      <c r="H12" s="65">
        <f>INDEX(23_CALCS_PRO_FORMA_IS!$F$34:$K$34,1,COLUMN()-5)</f>
        <v/>
      </c>
      <c r="I12" s="65">
        <f>INDEX(23_CALCS_PRO_FORMA_IS!$F$34:$K$34,1,COLUMN()-5)</f>
        <v/>
      </c>
      <c r="J12" s="65">
        <f>INDEX(23_CALCS_PRO_FORMA_IS!$F$34:$K$34,1,COLUMN()-5)</f>
        <v/>
      </c>
      <c r="K12" s="65">
        <f>INDEX(23_CALCS_PRO_FORMA_IS!$F$34:$K$34,1,COLUMN()-5)</f>
        <v/>
      </c>
    </row>
    <row r="13" ht="15" customHeight="1">
      <c r="B13" s="19" t="inlineStr">
        <is>
          <t>Change in NWC</t>
        </is>
      </c>
      <c r="C13" s="20" t="inlineStr">
        <is>
          <t>DKKm</t>
        </is>
      </c>
      <c r="F13" s="64" t="n">
        <v>0</v>
      </c>
      <c r="G13" s="64">
        <f>-(G8-F8)</f>
        <v/>
      </c>
      <c r="H13" s="64">
        <f>-(H8-G8)</f>
        <v/>
      </c>
      <c r="I13" s="64">
        <f>-(I8-H8)</f>
        <v/>
      </c>
      <c r="J13" s="64">
        <f>-(J8-I8)</f>
        <v/>
      </c>
      <c r="K13" s="64">
        <f>-(K8-J8)</f>
        <v/>
      </c>
    </row>
    <row r="14" ht="15" customHeight="1">
      <c r="B14" s="19" t="inlineStr">
        <is>
          <t>Net interest</t>
        </is>
      </c>
      <c r="C14" s="20" t="inlineStr">
        <is>
          <t>DKKm</t>
        </is>
      </c>
      <c r="F14" s="65">
        <f>INDEX(23_CALCS_PRO_FORMA_IS!$F$11:$K$11,1,COLUMN()-5)+INDEX(23_CALCS_PRO_FORMA_IS!$F$27:$K$27,1,COLUMN()-5)</f>
        <v/>
      </c>
      <c r="G14" s="65">
        <f>INDEX(23_CALCS_PRO_FORMA_IS!$F$11:$K$11,1,COLUMN()-5)+INDEX(23_CALCS_PRO_FORMA_IS!$F$27:$K$27,1,COLUMN()-5)</f>
        <v/>
      </c>
      <c r="H14" s="65">
        <f>INDEX(23_CALCS_PRO_FORMA_IS!$F$11:$K$11,1,COLUMN()-5)+INDEX(23_CALCS_PRO_FORMA_IS!$F$27:$K$27,1,COLUMN()-5)</f>
        <v/>
      </c>
      <c r="I14" s="65">
        <f>INDEX(23_CALCS_PRO_FORMA_IS!$F$11:$K$11,1,COLUMN()-5)+INDEX(23_CALCS_PRO_FORMA_IS!$F$27:$K$27,1,COLUMN()-5)</f>
        <v/>
      </c>
      <c r="J14" s="65">
        <f>INDEX(23_CALCS_PRO_FORMA_IS!$F$11:$K$11,1,COLUMN()-5)+INDEX(23_CALCS_PRO_FORMA_IS!$F$27:$K$27,1,COLUMN()-5)</f>
        <v/>
      </c>
      <c r="K14" s="65">
        <f>INDEX(23_CALCS_PRO_FORMA_IS!$F$11:$K$11,1,COLUMN()-5)+INDEX(23_CALCS_PRO_FORMA_IS!$F$27:$K$27,1,COLUMN()-5)</f>
        <v/>
      </c>
    </row>
    <row r="15" ht="15" customHeight="1">
      <c r="B15" s="19" t="inlineStr">
        <is>
          <t>CFO</t>
        </is>
      </c>
      <c r="C15" s="20" t="inlineStr">
        <is>
          <t>DKKm</t>
        </is>
      </c>
      <c r="F15" s="64">
        <f>SUM(F11:F14)</f>
        <v/>
      </c>
      <c r="G15" s="64">
        <f>SUM(G11:G14)</f>
        <v/>
      </c>
      <c r="H15" s="64">
        <f>SUM(H11:H14)</f>
        <v/>
      </c>
      <c r="I15" s="64">
        <f>SUM(I11:I14)</f>
        <v/>
      </c>
      <c r="J15" s="64">
        <f>SUM(J11:J14)</f>
        <v/>
      </c>
      <c r="K15" s="64">
        <f>SUM(K11:K14)</f>
        <v/>
      </c>
    </row>
    <row r="16" ht="15" customHeight="1"/>
    <row r="17" ht="18" customHeight="1">
      <c r="B17" s="4" t="inlineStr">
        <is>
          <t>INVESTING CASH FLOW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 ht="15" customHeight="1">
      <c r="B18" s="19" t="inlineStr">
        <is>
          <t>Capex</t>
        </is>
      </c>
      <c r="C18" s="20" t="inlineStr">
        <is>
          <t>DKKm</t>
        </is>
      </c>
      <c r="F18" s="64">
        <f>-INDEX(23_CALCS_PRO_FORMA_IS!$F$30:$K$30,1,COLUMN()-5)*0.03</f>
        <v/>
      </c>
      <c r="G18" s="64">
        <f>-INDEX(23_CALCS_PRO_FORMA_IS!$F$30:$K$30,1,COLUMN()-5)*0.03</f>
        <v/>
      </c>
      <c r="H18" s="64">
        <f>-INDEX(23_CALCS_PRO_FORMA_IS!$F$30:$K$30,1,COLUMN()-5)*0.03</f>
        <v/>
      </c>
      <c r="I18" s="64">
        <f>-INDEX(23_CALCS_PRO_FORMA_IS!$F$30:$K$30,1,COLUMN()-5)*0.03</f>
        <v/>
      </c>
      <c r="J18" s="64">
        <f>-INDEX(23_CALCS_PRO_FORMA_IS!$F$30:$K$30,1,COLUMN()-5)*0.03</f>
        <v/>
      </c>
      <c r="K18" s="64">
        <f>-INDEX(23_CALCS_PRO_FORMA_IS!$F$30:$K$30,1,COLUMN()-5)*0.03</f>
        <v/>
      </c>
    </row>
    <row r="19" ht="15" customHeight="1">
      <c r="B19" s="19" t="inlineStr">
        <is>
          <t>CFI</t>
        </is>
      </c>
      <c r="C19" s="20" t="inlineStr">
        <is>
          <t>DKKm</t>
        </is>
      </c>
      <c r="F19" s="64">
        <f>F18</f>
        <v/>
      </c>
      <c r="G19" s="64">
        <f>G18</f>
        <v/>
      </c>
      <c r="H19" s="64">
        <f>H18</f>
        <v/>
      </c>
      <c r="I19" s="64">
        <f>I18</f>
        <v/>
      </c>
      <c r="J19" s="64">
        <f>J18</f>
        <v/>
      </c>
      <c r="K19" s="64">
        <f>K18</f>
        <v/>
      </c>
    </row>
    <row r="20" ht="15" customHeight="1"/>
    <row r="21" ht="18" customHeight="1">
      <c r="B21" s="4" t="inlineStr">
        <is>
          <t>FINANCING CASH FLOW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 ht="15" customHeight="1">
      <c r="B22" s="19" t="inlineStr">
        <is>
          <t>Mandatory amort</t>
        </is>
      </c>
      <c r="C22" s="20" t="inlineStr">
        <is>
          <t>DKKm</t>
        </is>
      </c>
      <c r="F22" s="65">
        <f>INDEX(21_CALCS_FINANCING!$F$13:$K$13,1,COLUMN()-5)+INDEX(21_CALCS_FINANCING!$F$22:$K$22,1,COLUMN()-5)</f>
        <v/>
      </c>
      <c r="G22" s="65">
        <f>INDEX(21_CALCS_FINANCING!$F$13:$K$13,1,COLUMN()-5)+INDEX(21_CALCS_FINANCING!$F$22:$K$22,1,COLUMN()-5)</f>
        <v/>
      </c>
      <c r="H22" s="65">
        <f>INDEX(21_CALCS_FINANCING!$F$13:$K$13,1,COLUMN()-5)+INDEX(21_CALCS_FINANCING!$F$22:$K$22,1,COLUMN()-5)</f>
        <v/>
      </c>
      <c r="I22" s="65">
        <f>INDEX(21_CALCS_FINANCING!$F$13:$K$13,1,COLUMN()-5)+INDEX(21_CALCS_FINANCING!$F$22:$K$22,1,COLUMN()-5)</f>
        <v/>
      </c>
      <c r="J22" s="65">
        <f>INDEX(21_CALCS_FINANCING!$F$13:$K$13,1,COLUMN()-5)+INDEX(21_CALCS_FINANCING!$F$22:$K$22,1,COLUMN()-5)</f>
        <v/>
      </c>
      <c r="K22" s="65">
        <f>INDEX(21_CALCS_FINANCING!$F$13:$K$13,1,COLUMN()-5)+INDEX(21_CALCS_FINANCING!$F$22:$K$22,1,COLUMN()-5)</f>
        <v/>
      </c>
    </row>
    <row r="23" ht="15" customHeight="1">
      <c r="B23" s="19" t="inlineStr">
        <is>
          <t>Sweep</t>
        </is>
      </c>
      <c r="C23" s="20" t="inlineStr">
        <is>
          <t>DKKm</t>
        </is>
      </c>
      <c r="F23" s="65">
        <f>INDEX(21_CALCS_FINANCING!$F$14:$K$14,1,COLUMN()-5)+INDEX(21_CALCS_FINANCING!$F$23:$K$23,1,COLUMN()-5)</f>
        <v/>
      </c>
      <c r="G23" s="65">
        <f>INDEX(21_CALCS_FINANCING!$F$14:$K$14,1,COLUMN()-5)+INDEX(21_CALCS_FINANCING!$F$23:$K$23,1,COLUMN()-5)</f>
        <v/>
      </c>
      <c r="H23" s="65">
        <f>INDEX(21_CALCS_FINANCING!$F$14:$K$14,1,COLUMN()-5)+INDEX(21_CALCS_FINANCING!$F$23:$K$23,1,COLUMN()-5)</f>
        <v/>
      </c>
      <c r="I23" s="65">
        <f>INDEX(21_CALCS_FINANCING!$F$14:$K$14,1,COLUMN()-5)+INDEX(21_CALCS_FINANCING!$F$23:$K$23,1,COLUMN()-5)</f>
        <v/>
      </c>
      <c r="J23" s="65">
        <f>INDEX(21_CALCS_FINANCING!$F$14:$K$14,1,COLUMN()-5)+INDEX(21_CALCS_FINANCING!$F$23:$K$23,1,COLUMN()-5)</f>
        <v/>
      </c>
      <c r="K23" s="65">
        <f>INDEX(21_CALCS_FINANCING!$F$14:$K$14,1,COLUMN()-5)+INDEX(21_CALCS_FINANCING!$F$23:$K$23,1,COLUMN()-5)</f>
        <v/>
      </c>
    </row>
    <row r="24" ht="15" customHeight="1">
      <c r="B24" s="19" t="inlineStr">
        <is>
          <t>CFF</t>
        </is>
      </c>
      <c r="C24" s="20" t="inlineStr">
        <is>
          <t>DKKm</t>
        </is>
      </c>
      <c r="F24" s="64">
        <f>SUM(F22:F23)</f>
        <v/>
      </c>
      <c r="G24" s="64">
        <f>SUM(G22:G23)</f>
        <v/>
      </c>
      <c r="H24" s="64">
        <f>SUM(H22:H23)</f>
        <v/>
      </c>
      <c r="I24" s="64">
        <f>SUM(I22:I23)</f>
        <v/>
      </c>
      <c r="J24" s="64">
        <f>SUM(J22:J23)</f>
        <v/>
      </c>
      <c r="K24" s="64">
        <f>SUM(K22:K23)</f>
        <v/>
      </c>
    </row>
    <row r="25" ht="15" customHeight="1"/>
    <row r="26" ht="18" customHeight="1">
      <c r="B26" s="4" t="inlineStr">
        <is>
          <t>CASH RECONCILIATION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 ht="15" customHeight="1">
      <c r="B27" s="19" t="inlineStr">
        <is>
          <t>Net change in cash</t>
        </is>
      </c>
      <c r="C27" s="20" t="inlineStr">
        <is>
          <t>DKKm</t>
        </is>
      </c>
      <c r="F27" s="64">
        <f>F15+F19+F24</f>
        <v/>
      </c>
      <c r="G27" s="64">
        <f>G15+G19+G24</f>
        <v/>
      </c>
      <c r="H27" s="64">
        <f>H15+H19+H24</f>
        <v/>
      </c>
      <c r="I27" s="64">
        <f>I15+I19+I24</f>
        <v/>
      </c>
      <c r="J27" s="64">
        <f>J15+J19+J24</f>
        <v/>
      </c>
      <c r="K27" s="64">
        <f>K15+K19+K24</f>
        <v/>
      </c>
    </row>
    <row r="28" ht="15" customHeight="1">
      <c r="B28" s="19" t="inlineStr">
        <is>
          <t>Ending cash</t>
        </is>
      </c>
      <c r="C28" s="20" t="inlineStr">
        <is>
          <t>DKKm</t>
        </is>
      </c>
      <c r="F28" s="64">
        <f>F7+F27</f>
        <v/>
      </c>
      <c r="G28" s="64">
        <f>G7+G27</f>
        <v/>
      </c>
      <c r="H28" s="64">
        <f>H7+H27</f>
        <v/>
      </c>
      <c r="I28" s="64">
        <f>I7+I27</f>
        <v/>
      </c>
      <c r="J28" s="64">
        <f>J7+J27</f>
        <v/>
      </c>
      <c r="K28" s="64">
        <f>K7+K27</f>
        <v/>
      </c>
    </row>
    <row r="29" ht="15" customHeight="1"/>
    <row r="30" ht="15" customHeight="1">
      <c r="B30" s="19" t="inlineStr">
        <is>
          <t>Ending cash (feed)</t>
        </is>
      </c>
      <c r="C30" s="20" t="inlineStr">
        <is>
          <t>DKKm</t>
        </is>
      </c>
      <c r="F30" s="65">
        <f>F28</f>
        <v/>
      </c>
      <c r="G30" s="65">
        <f>G28</f>
        <v/>
      </c>
      <c r="H30" s="65">
        <f>H28</f>
        <v/>
      </c>
      <c r="I30" s="65">
        <f>I28</f>
        <v/>
      </c>
      <c r="J30" s="65">
        <f>J28</f>
        <v/>
      </c>
      <c r="K30" s="65">
        <f>K28</f>
        <v/>
      </c>
    </row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K23"/>
  <sheetViews>
    <sheetView showGridLines="0" workbookViewId="0">
      <pane xSplit="5" ySplit="5" topLeftCell="F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34" customWidth="1" min="2" max="2"/>
    <col width="10" customWidth="1" min="3" max="3"/>
    <col width="40" customWidth="1" min="4" max="4"/>
    <col width="2.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0" customHeight="1">
      <c r="B1" s="1" t="inlineStr">
        <is>
          <t>26_CALCS_SHARES_AND_EPS  Shares, EPS, accretion/dilution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15" customHeight="1"/>
    <row r="3" ht="15" customHeight="1"/>
    <row r="4" ht="15" customHeight="1"/>
    <row r="5" ht="16" customHeight="1">
      <c r="B5" s="2" t="inlineStr">
        <is>
          <t>LINE ITEM</t>
        </is>
      </c>
      <c r="C5" s="2" t="inlineStr">
        <is>
          <t>UNITS</t>
        </is>
      </c>
      <c r="D5" s="2" t="inlineStr">
        <is>
          <t>NOTES / SOURCES / FLAGS</t>
        </is>
      </c>
      <c r="E5" s="2" t="inlineStr"/>
      <c r="F5" s="3">
        <f>03_GLOBAL_PARAMS!F24</f>
        <v/>
      </c>
      <c r="G5" s="3">
        <f>03_GLOBAL_PARAMS!G24</f>
        <v/>
      </c>
      <c r="H5" s="3">
        <f>03_GLOBAL_PARAMS!H24</f>
        <v/>
      </c>
      <c r="I5" s="3">
        <f>03_GLOBAL_PARAMS!I24</f>
        <v/>
      </c>
      <c r="J5" s="3">
        <f>03_GLOBAL_PARAMS!J24</f>
        <v/>
      </c>
      <c r="K5" s="3">
        <f>03_GLOBAL_PARAMS!K24</f>
        <v/>
      </c>
    </row>
    <row r="6" ht="18" customHeight="1">
      <c r="B6" s="4" t="inlineStr">
        <is>
          <t>SHARE COUNT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 ht="15" customHeight="1">
      <c r="B7" s="19" t="inlineStr">
        <is>
          <t>Basic shares (mm)</t>
        </is>
      </c>
      <c r="C7" s="20" t="inlineStr">
        <is>
          <t>mm</t>
        </is>
      </c>
      <c r="F7" s="71">
        <f>in_A_Shares_Basic</f>
        <v/>
      </c>
    </row>
    <row r="8" ht="15" customHeight="1">
      <c r="B8" s="19" t="inlineStr">
        <is>
          <t>New shares issued (mm)</t>
        </is>
      </c>
      <c r="C8" s="20" t="inlineStr">
        <is>
          <t>mm</t>
        </is>
      </c>
      <c r="F8" s="71">
        <f>calc_StockValue_DKK/in_A_SharePrice</f>
        <v/>
      </c>
    </row>
    <row r="9" ht="15" customHeight="1">
      <c r="B9" s="19" t="inlineStr">
        <is>
          <t>Pro forma shares (mm)</t>
        </is>
      </c>
      <c r="C9" s="20" t="inlineStr">
        <is>
          <t>mm</t>
        </is>
      </c>
      <c r="F9" s="72">
        <f>F7+F8</f>
        <v/>
      </c>
    </row>
    <row r="10" ht="15" customHeight="1"/>
    <row r="11" ht="18" customHeight="1">
      <c r="B11" s="4" t="inlineStr">
        <is>
          <t>EPS AND ACCRETION/DILUTION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 ht="15" customHeight="1">
      <c r="B12" s="19" t="inlineStr">
        <is>
          <t>Standalone EPS (DKK)</t>
        </is>
      </c>
      <c r="C12" s="20" t="inlineStr">
        <is>
          <t>DKK</t>
        </is>
      </c>
      <c r="F12" s="64">
        <f>INDEX(calc_A_NI_Row,1,COLUMN()-5)/in_A_Shares_Basic</f>
        <v/>
      </c>
      <c r="G12" s="64">
        <f>INDEX(calc_A_NI_Row,1,COLUMN()-5)/in_A_Shares_Basic</f>
        <v/>
      </c>
      <c r="H12" s="64">
        <f>INDEX(calc_A_NI_Row,1,COLUMN()-5)/in_A_Shares_Basic</f>
        <v/>
      </c>
      <c r="I12" s="64">
        <f>INDEX(calc_A_NI_Row,1,COLUMN()-5)/in_A_Shares_Basic</f>
        <v/>
      </c>
      <c r="J12" s="64">
        <f>INDEX(calc_A_NI_Row,1,COLUMN()-5)/in_A_Shares_Basic</f>
        <v/>
      </c>
      <c r="K12" s="64">
        <f>INDEX(calc_A_NI_Row,1,COLUMN()-5)/in_A_Shares_Basic</f>
        <v/>
      </c>
    </row>
    <row r="13" ht="15" customHeight="1">
      <c r="B13" s="19" t="inlineStr">
        <is>
          <t>Pro forma EPS (DKK)</t>
        </is>
      </c>
      <c r="C13" s="20" t="inlineStr">
        <is>
          <t>DKK</t>
        </is>
      </c>
      <c r="F13" s="64">
        <f>INDEX(calc_PF_NI_Row,1,COLUMN()-5)/calc_PF_Shares_mm</f>
        <v/>
      </c>
      <c r="G13" s="64">
        <f>INDEX(calc_PF_NI_Row,1,COLUMN()-5)/calc_PF_Shares_mm</f>
        <v/>
      </c>
      <c r="H13" s="64">
        <f>INDEX(calc_PF_NI_Row,1,COLUMN()-5)/calc_PF_Shares_mm</f>
        <v/>
      </c>
      <c r="I13" s="64">
        <f>INDEX(calc_PF_NI_Row,1,COLUMN()-5)/calc_PF_Shares_mm</f>
        <v/>
      </c>
      <c r="J13" s="64">
        <f>INDEX(calc_PF_NI_Row,1,COLUMN()-5)/calc_PF_Shares_mm</f>
        <v/>
      </c>
      <c r="K13" s="64">
        <f>INDEX(calc_PF_NI_Row,1,COLUMN()-5)/calc_PF_Shares_mm</f>
        <v/>
      </c>
    </row>
    <row r="14" ht="15" customHeight="1">
      <c r="B14" s="19" t="inlineStr">
        <is>
          <t>Accretion / dilution %</t>
        </is>
      </c>
      <c r="C14" s="20" t="inlineStr">
        <is>
          <t>%</t>
        </is>
      </c>
      <c r="F14" s="70">
        <f>IFERROR(F13/F12-1,0)</f>
        <v/>
      </c>
      <c r="G14" s="70">
        <f>IFERROR(G13/G12-1,0)</f>
        <v/>
      </c>
      <c r="H14" s="70">
        <f>IFERROR(H13/H12-1,0)</f>
        <v/>
      </c>
      <c r="I14" s="70">
        <f>IFERROR(I13/I12-1,0)</f>
        <v/>
      </c>
      <c r="J14" s="70">
        <f>IFERROR(J13/J12-1,0)</f>
        <v/>
      </c>
      <c r="K14" s="70">
        <f>IFERROR(K13/K12-1,0)</f>
        <v/>
      </c>
    </row>
    <row r="15" ht="15" customHeight="1"/>
    <row r="16" ht="18" customHeight="1">
      <c r="B16" s="4" t="inlineStr">
        <is>
          <t>EPS BRIDGE (YEAR 1, DKKM)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 ht="15" customHeight="1">
      <c r="B17" s="19" t="inlineStr">
        <is>
          <t>Acquirer net income</t>
        </is>
      </c>
      <c r="C17" s="20" t="inlineStr">
        <is>
          <t>DKKm</t>
        </is>
      </c>
      <c r="F17" s="65">
        <f>INDEX(calc_A_NI_Row,1,2)</f>
        <v/>
      </c>
    </row>
    <row r="18" ht="15" customHeight="1">
      <c r="B18" s="19" t="inlineStr">
        <is>
          <t>Add target net income</t>
        </is>
      </c>
      <c r="C18" s="20" t="inlineStr">
        <is>
          <t>DKKm</t>
        </is>
      </c>
      <c r="F18" s="65">
        <f>INDEX(calc_T_NI_Row,1,2)</f>
        <v/>
      </c>
    </row>
    <row r="19" ht="15" customHeight="1">
      <c r="B19" s="19" t="inlineStr">
        <is>
          <t>Add synergies (net of tax)</t>
        </is>
      </c>
      <c r="C19" s="20" t="inlineStr">
        <is>
          <t>DKKm</t>
        </is>
      </c>
      <c r="F19" s="64">
        <f>INDEX(23_CALCS_PRO_FORMA_IS!$F${d_idx['Synergies (DKKm)']}:$K${d_idx['Synergies (DKKm)']},1,2)*(1-g_TaxRate)</f>
        <v/>
      </c>
    </row>
    <row r="20" ht="15" customHeight="1">
      <c r="B20" s="19" t="inlineStr">
        <is>
          <t>Less integration costs (net of tax)</t>
        </is>
      </c>
      <c r="C20" s="20" t="inlineStr">
        <is>
          <t>DKKm</t>
        </is>
      </c>
      <c r="F20" s="64">
        <f>INDEX(23_CALCS_PRO_FORMA_IS!$F${d_idx['Integration costs (DKKm)']}:$K${d_idx['Integration costs (DKKm)']},1,2)*(1-g_TaxRate)</f>
        <v/>
      </c>
    </row>
    <row r="21" ht="15" customHeight="1">
      <c r="B21" s="19" t="inlineStr">
        <is>
          <t>Less interest (net of tax)</t>
        </is>
      </c>
      <c r="C21" s="20" t="inlineStr">
        <is>
          <t>DKKm</t>
        </is>
      </c>
      <c r="F21" s="64">
        <f>(INDEX(23_CALCS_PRO_FORMA_IS!$F${d_idx['New debt interest (DKKm)']}:$K${d_idx['New debt interest (DKKm)']},1,2))*(1-g_TaxRate)</f>
        <v/>
      </c>
    </row>
    <row r="22" ht="15" customHeight="1">
      <c r="B22" s="19" t="inlineStr">
        <is>
          <t>Less PPA amort (net of tax)</t>
        </is>
      </c>
      <c r="C22" s="20" t="inlineStr">
        <is>
          <t>DKKm</t>
        </is>
      </c>
      <c r="F22" s="64">
        <f>INDEX(calc_PPA_Amort_Row,1,2)*(1-g_TaxRate)</f>
        <v/>
      </c>
    </row>
    <row r="23" ht="15" customHeight="1">
      <c r="B23" s="19" t="inlineStr">
        <is>
          <t>Pro forma net income</t>
        </is>
      </c>
      <c r="C23" s="20" t="inlineStr">
        <is>
          <t>DKKm</t>
        </is>
      </c>
      <c r="F23" s="65">
        <f>INDEX(calc_PF_NI_Row,1,2)</f>
        <v/>
      </c>
    </row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K23"/>
  <sheetViews>
    <sheetView showGridLines="0" workbookViewId="0">
      <pane xSplit="5" ySplit="5" topLeftCell="F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34" customWidth="1" min="2" max="2"/>
    <col width="10" customWidth="1" min="3" max="3"/>
    <col width="40" customWidth="1" min="4" max="4"/>
    <col width="2.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0" customHeight="1">
      <c r="B1" s="1" t="inlineStr">
        <is>
          <t>30_OUTPUT_SUMMARY  Dashboard source table (links only)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15" customHeight="1"/>
    <row r="3" ht="15" customHeight="1"/>
    <row r="4" ht="15" customHeight="1"/>
    <row r="5" ht="16" customHeight="1">
      <c r="B5" s="2" t="inlineStr">
        <is>
          <t>LINE ITEM</t>
        </is>
      </c>
      <c r="C5" s="2" t="inlineStr">
        <is>
          <t>UNITS</t>
        </is>
      </c>
      <c r="D5" s="2" t="inlineStr">
        <is>
          <t>NOTES / SOURCES / FLAGS</t>
        </is>
      </c>
      <c r="E5" s="2" t="inlineStr"/>
      <c r="F5" s="3">
        <f>03_GLOBAL_PARAMS!F24</f>
        <v/>
      </c>
      <c r="G5" s="3">
        <f>03_GLOBAL_PARAMS!G24</f>
        <v/>
      </c>
      <c r="H5" s="3">
        <f>03_GLOBAL_PARAMS!H24</f>
        <v/>
      </c>
      <c r="I5" s="3">
        <f>03_GLOBAL_PARAMS!I24</f>
        <v/>
      </c>
      <c r="J5" s="3">
        <f>03_GLOBAL_PARAMS!J24</f>
        <v/>
      </c>
      <c r="K5" s="3">
        <f>03_GLOBAL_PARAMS!K24</f>
        <v/>
      </c>
    </row>
    <row r="6" ht="18" customHeight="1">
      <c r="B6" s="4" t="inlineStr">
        <is>
          <t>KEY METRICS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 ht="15" customHeight="1">
      <c r="B7" s="19" t="inlineStr">
        <is>
          <t>Revenue</t>
        </is>
      </c>
      <c r="C7" s="20" t="inlineStr">
        <is>
          <t>DKKm</t>
        </is>
      </c>
      <c r="F7" s="64">
        <f>'23_CALCS_PRO_FORMA_IS'!F30</f>
        <v/>
      </c>
      <c r="G7" s="64">
        <f>'23_CALCS_PRO_FORMA_IS'!G30</f>
        <v/>
      </c>
      <c r="H7" s="64">
        <f>'23_CALCS_PRO_FORMA_IS'!H30</f>
        <v/>
      </c>
      <c r="I7" s="64">
        <f>'23_CALCS_PRO_FORMA_IS'!I30</f>
        <v/>
      </c>
      <c r="J7" s="64">
        <f>'23_CALCS_PRO_FORMA_IS'!J30</f>
        <v/>
      </c>
      <c r="K7" s="64">
        <f>'23_CALCS_PRO_FORMA_IS'!K30</f>
        <v/>
      </c>
    </row>
    <row r="8" ht="15" customHeight="1">
      <c r="B8" s="19" t="inlineStr">
        <is>
          <t>EBITDA</t>
        </is>
      </c>
      <c r="C8" s="20" t="inlineStr">
        <is>
          <t>DKKm</t>
        </is>
      </c>
      <c r="F8" s="64">
        <f>'23_CALCS_PRO_FORMA_IS'!F31</f>
        <v/>
      </c>
      <c r="G8" s="64">
        <f>'23_CALCS_PRO_FORMA_IS'!G31</f>
        <v/>
      </c>
      <c r="H8" s="64">
        <f>'23_CALCS_PRO_FORMA_IS'!H31</f>
        <v/>
      </c>
      <c r="I8" s="64">
        <f>'23_CALCS_PRO_FORMA_IS'!I31</f>
        <v/>
      </c>
      <c r="J8" s="64">
        <f>'23_CALCS_PRO_FORMA_IS'!J31</f>
        <v/>
      </c>
      <c r="K8" s="64">
        <f>'23_CALCS_PRO_FORMA_IS'!K31</f>
        <v/>
      </c>
    </row>
    <row r="9" ht="15" customHeight="1">
      <c r="B9" s="19" t="inlineStr">
        <is>
          <t>EBIT</t>
        </is>
      </c>
      <c r="C9" s="20" t="inlineStr">
        <is>
          <t>DKKm</t>
        </is>
      </c>
      <c r="F9" s="64">
        <f>'23_CALCS_PRO_FORMA_IS'!F32</f>
        <v/>
      </c>
      <c r="G9" s="64">
        <f>'23_CALCS_PRO_FORMA_IS'!G32</f>
        <v/>
      </c>
      <c r="H9" s="64">
        <f>'23_CALCS_PRO_FORMA_IS'!H32</f>
        <v/>
      </c>
      <c r="I9" s="64">
        <f>'23_CALCS_PRO_FORMA_IS'!I32</f>
        <v/>
      </c>
      <c r="J9" s="64">
        <f>'23_CALCS_PRO_FORMA_IS'!J32</f>
        <v/>
      </c>
      <c r="K9" s="64">
        <f>'23_CALCS_PRO_FORMA_IS'!K32</f>
        <v/>
      </c>
    </row>
    <row r="10" ht="15" customHeight="1">
      <c r="B10" s="19" t="inlineStr">
        <is>
          <t>Net income</t>
        </is>
      </c>
      <c r="C10" s="20" t="inlineStr">
        <is>
          <t>DKKm</t>
        </is>
      </c>
      <c r="F10" s="64">
        <f>'23_CALCS_PRO_FORMA_IS'!F35</f>
        <v/>
      </c>
      <c r="G10" s="64">
        <f>'23_CALCS_PRO_FORMA_IS'!G35</f>
        <v/>
      </c>
      <c r="H10" s="64">
        <f>'23_CALCS_PRO_FORMA_IS'!H35</f>
        <v/>
      </c>
      <c r="I10" s="64">
        <f>'23_CALCS_PRO_FORMA_IS'!I35</f>
        <v/>
      </c>
      <c r="J10" s="64">
        <f>'23_CALCS_PRO_FORMA_IS'!J35</f>
        <v/>
      </c>
      <c r="K10" s="64">
        <f>'23_CALCS_PRO_FORMA_IS'!K35</f>
        <v/>
      </c>
    </row>
    <row r="11" ht="15" customHeight="1">
      <c r="B11" s="19" t="inlineStr">
        <is>
          <t>Pro forma EPS</t>
        </is>
      </c>
      <c r="C11" s="20" t="inlineStr">
        <is>
          <t>DKK</t>
        </is>
      </c>
      <c r="F11" s="64">
        <f>'26_CALCS_SHARES_AND_EPS'!F13</f>
        <v/>
      </c>
      <c r="G11" s="64">
        <f>'26_CALCS_SHARES_AND_EPS'!G13</f>
        <v/>
      </c>
      <c r="H11" s="64">
        <f>'26_CALCS_SHARES_AND_EPS'!H13</f>
        <v/>
      </c>
      <c r="I11" s="64">
        <f>'26_CALCS_SHARES_AND_EPS'!I13</f>
        <v/>
      </c>
      <c r="J11" s="64">
        <f>'26_CALCS_SHARES_AND_EPS'!J13</f>
        <v/>
      </c>
      <c r="K11" s="64">
        <f>'26_CALCS_SHARES_AND_EPS'!K13</f>
        <v/>
      </c>
    </row>
    <row r="12" ht="15" customHeight="1">
      <c r="B12" s="19" t="inlineStr">
        <is>
          <t>Accretion/dilution %</t>
        </is>
      </c>
      <c r="C12" s="20" t="inlineStr">
        <is>
          <t>%</t>
        </is>
      </c>
      <c r="F12" s="70">
        <f>'26_CALCS_SHARES_AND_EPS'!F14</f>
        <v/>
      </c>
      <c r="G12" s="70">
        <f>'26_CALCS_SHARES_AND_EPS'!G14</f>
        <v/>
      </c>
      <c r="H12" s="70">
        <f>'26_CALCS_SHARES_AND_EPS'!H14</f>
        <v/>
      </c>
      <c r="I12" s="70">
        <f>'26_CALCS_SHARES_AND_EPS'!I14</f>
        <v/>
      </c>
      <c r="J12" s="70">
        <f>'26_CALCS_SHARES_AND_EPS'!J14</f>
        <v/>
      </c>
      <c r="K12" s="70">
        <f>'26_CALCS_SHARES_AND_EPS'!K14</f>
        <v/>
      </c>
    </row>
    <row r="13" ht="15" customHeight="1">
      <c r="B13" s="19" t="inlineStr">
        <is>
          <t>Cash</t>
        </is>
      </c>
      <c r="C13" s="20" t="inlineStr">
        <is>
          <t>DKKm</t>
        </is>
      </c>
      <c r="F13" s="64">
        <f>'24_CALCS_PRO_FORMA_BS'!F7</f>
        <v/>
      </c>
      <c r="G13" s="64">
        <f>'24_CALCS_PRO_FORMA_BS'!G7</f>
        <v/>
      </c>
      <c r="H13" s="64">
        <f>'24_CALCS_PRO_FORMA_BS'!H7</f>
        <v/>
      </c>
      <c r="I13" s="64">
        <f>'24_CALCS_PRO_FORMA_BS'!I7</f>
        <v/>
      </c>
      <c r="J13" s="64">
        <f>'24_CALCS_PRO_FORMA_BS'!J7</f>
        <v/>
      </c>
      <c r="K13" s="64">
        <f>'24_CALCS_PRO_FORMA_BS'!K7</f>
        <v/>
      </c>
    </row>
    <row r="14" ht="15" customHeight="1">
      <c r="B14" s="19" t="inlineStr">
        <is>
          <t>Total debt</t>
        </is>
      </c>
      <c r="C14" s="20" t="inlineStr">
        <is>
          <t>DKKm</t>
        </is>
      </c>
      <c r="F14" s="64">
        <f>'24_CALCS_PRO_FORMA_BS'!F14</f>
        <v/>
      </c>
      <c r="G14" s="64">
        <f>'24_CALCS_PRO_FORMA_BS'!G14</f>
        <v/>
      </c>
      <c r="H14" s="64">
        <f>'24_CALCS_PRO_FORMA_BS'!H14</f>
        <v/>
      </c>
      <c r="I14" s="64">
        <f>'24_CALCS_PRO_FORMA_BS'!I14</f>
        <v/>
      </c>
      <c r="J14" s="64">
        <f>'24_CALCS_PRO_FORMA_BS'!J14</f>
        <v/>
      </c>
      <c r="K14" s="64">
        <f>'24_CALCS_PRO_FORMA_BS'!K14</f>
        <v/>
      </c>
    </row>
    <row r="15" ht="15" customHeight="1">
      <c r="B15" s="19" t="inlineStr">
        <is>
          <t>Net debt</t>
        </is>
      </c>
      <c r="C15" s="20" t="inlineStr">
        <is>
          <t>DKKm</t>
        </is>
      </c>
      <c r="F15" s="64">
        <f>F14-F13</f>
        <v/>
      </c>
      <c r="G15" s="64">
        <f>G14-G13</f>
        <v/>
      </c>
      <c r="H15" s="64">
        <f>H14-H13</f>
        <v/>
      </c>
      <c r="I15" s="64">
        <f>I14-I13</f>
        <v/>
      </c>
      <c r="J15" s="64">
        <f>J14-J13</f>
        <v/>
      </c>
      <c r="K15" s="64">
        <f>K14-K13</f>
        <v/>
      </c>
    </row>
    <row r="16" ht="15" customHeight="1">
      <c r="B16" s="19" t="inlineStr">
        <is>
          <t>Net debt / EBITDA</t>
        </is>
      </c>
      <c r="C16" s="20" t="inlineStr">
        <is>
          <t>x</t>
        </is>
      </c>
      <c r="F16" s="64">
        <f>IFERROR(F15/F8,0)</f>
        <v/>
      </c>
      <c r="G16" s="64">
        <f>IFERROR(G15/G8,0)</f>
        <v/>
      </c>
      <c r="H16" s="64">
        <f>IFERROR(H15/H8,0)</f>
        <v/>
      </c>
      <c r="I16" s="64">
        <f>IFERROR(I15/I8,0)</f>
        <v/>
      </c>
      <c r="J16" s="64">
        <f>IFERROR(J15/J8,0)</f>
        <v/>
      </c>
      <c r="K16" s="64">
        <f>IFERROR(K15/K8,0)</f>
        <v/>
      </c>
    </row>
    <row r="17" ht="15" customHeight="1">
      <c r="B17" s="19" t="inlineStr">
        <is>
          <t>EV/EBITDA (close)</t>
        </is>
      </c>
      <c r="C17" s="20" t="inlineStr">
        <is>
          <t>x</t>
        </is>
      </c>
      <c r="F17" s="73">
        <f>calc_EV_DKK/(in_T_EBITDA_Y0*calc_FX_Spot_Used)</f>
        <v/>
      </c>
      <c r="G17" s="73">
        <f>calc_EV_DKK/(in_T_EBITDA_Y0*calc_FX_Spot_Used)</f>
        <v/>
      </c>
      <c r="H17" s="73">
        <f>calc_EV_DKK/(in_T_EBITDA_Y0*calc_FX_Spot_Used)</f>
        <v/>
      </c>
      <c r="I17" s="73">
        <f>calc_EV_DKK/(in_T_EBITDA_Y0*calc_FX_Spot_Used)</f>
        <v/>
      </c>
      <c r="J17" s="73">
        <f>calc_EV_DKK/(in_T_EBITDA_Y0*calc_FX_Spot_Used)</f>
        <v/>
      </c>
      <c r="K17" s="73">
        <f>calc_EV_DKK/(in_T_EBITDA_Y0*calc_FX_Spot_Used)</f>
        <v/>
      </c>
    </row>
    <row r="18" ht="15" customHeight="1">
      <c r="B18" s="19" t="inlineStr">
        <is>
          <t>EV/Revenue (close)</t>
        </is>
      </c>
      <c r="C18" s="20" t="inlineStr">
        <is>
          <t>x</t>
        </is>
      </c>
      <c r="F18" s="73">
        <f>calc_EV_DKK/(in_T_Revenue_Y0*calc_FX_Spot_Used)</f>
        <v/>
      </c>
      <c r="G18" s="73">
        <f>calc_EV_DKK/(in_T_Revenue_Y0*calc_FX_Spot_Used)</f>
        <v/>
      </c>
      <c r="H18" s="73">
        <f>calc_EV_DKK/(in_T_Revenue_Y0*calc_FX_Spot_Used)</f>
        <v/>
      </c>
      <c r="I18" s="73">
        <f>calc_EV_DKK/(in_T_Revenue_Y0*calc_FX_Spot_Used)</f>
        <v/>
      </c>
      <c r="J18" s="73">
        <f>calc_EV_DKK/(in_T_Revenue_Y0*calc_FX_Spot_Used)</f>
        <v/>
      </c>
      <c r="K18" s="73">
        <f>calc_EV_DKK/(in_T_Revenue_Y0*calc_FX_Spot_Used)</f>
        <v/>
      </c>
    </row>
    <row r="19" ht="15" customHeight="1">
      <c r="B19" s="19" t="inlineStr">
        <is>
          <t>Synergy run-rate (DKKm)</t>
        </is>
      </c>
      <c r="C19" s="20" t="inlineStr">
        <is>
          <t>DKKm</t>
        </is>
      </c>
      <c r="F19" s="64">
        <f>in_SynergyRunRate</f>
        <v/>
      </c>
      <c r="G19" s="64">
        <f>in_SynergyRunRate</f>
        <v/>
      </c>
      <c r="H19" s="64">
        <f>in_SynergyRunRate</f>
        <v/>
      </c>
      <c r="I19" s="64">
        <f>in_SynergyRunRate</f>
        <v/>
      </c>
      <c r="J19" s="64">
        <f>in_SynergyRunRate</f>
        <v/>
      </c>
      <c r="K19" s="64">
        <f>in_SynergyRunRate</f>
        <v/>
      </c>
    </row>
    <row r="20" ht="15" customHeight="1">
      <c r="B20" s="19" t="inlineStr">
        <is>
          <t>Synergy ramp % (Year1)</t>
        </is>
      </c>
      <c r="C20" s="20" t="inlineStr">
        <is>
          <t>%</t>
        </is>
      </c>
      <c r="F20" s="70">
        <f>INDEX(in_SynergyRamp_Row,1,COLUMN()-5)</f>
        <v/>
      </c>
      <c r="G20" s="70">
        <f>INDEX(in_SynergyRamp_Row,1,COLUMN()-5)</f>
        <v/>
      </c>
      <c r="H20" s="70">
        <f>INDEX(in_SynergyRamp_Row,1,COLUMN()-5)</f>
        <v/>
      </c>
      <c r="I20" s="70">
        <f>INDEX(in_SynergyRamp_Row,1,COLUMN()-5)</f>
        <v/>
      </c>
      <c r="J20" s="70">
        <f>INDEX(in_SynergyRamp_Row,1,COLUMN()-5)</f>
        <v/>
      </c>
      <c r="K20" s="70">
        <f>INDEX(in_SynergyRamp_Row,1,COLUMN()-5)</f>
        <v/>
      </c>
    </row>
    <row r="21" ht="15" customHeight="1">
      <c r="B21" s="19" t="inlineStr">
        <is>
          <t>Goodwill created (DKKm)</t>
        </is>
      </c>
      <c r="C21" s="20" t="inlineStr">
        <is>
          <t>DKKm</t>
        </is>
      </c>
      <c r="F21" s="64">
        <f>calc_Goodwill</f>
        <v/>
      </c>
      <c r="G21" s="64">
        <f>calc_Goodwill</f>
        <v/>
      </c>
      <c r="H21" s="64">
        <f>calc_Goodwill</f>
        <v/>
      </c>
      <c r="I21" s="64">
        <f>calc_Goodwill</f>
        <v/>
      </c>
      <c r="J21" s="64">
        <f>calc_Goodwill</f>
        <v/>
      </c>
      <c r="K21" s="64">
        <f>calc_Goodwill</f>
        <v/>
      </c>
    </row>
    <row r="22" ht="15" customHeight="1">
      <c r="B22" s="19" t="inlineStr">
        <is>
          <t>Intangibles created (DKKm)</t>
        </is>
      </c>
      <c r="C22" s="20" t="inlineStr">
        <is>
          <t>DKKm</t>
        </is>
      </c>
      <c r="F22" s="64">
        <f>calc_Intangibles_FV</f>
        <v/>
      </c>
      <c r="G22" s="64">
        <f>calc_Intangibles_FV</f>
        <v/>
      </c>
      <c r="H22" s="64">
        <f>calc_Intangibles_FV</f>
        <v/>
      </c>
      <c r="I22" s="64">
        <f>calc_Intangibles_FV</f>
        <v/>
      </c>
      <c r="J22" s="64">
        <f>calc_Intangibles_FV</f>
        <v/>
      </c>
      <c r="K22" s="64">
        <f>calc_Intangibles_FV</f>
        <v/>
      </c>
    </row>
    <row r="23" ht="15" customHeight="1">
      <c r="B23" s="19" t="inlineStr">
        <is>
          <t>PPA amort (Year1)</t>
        </is>
      </c>
      <c r="C23" s="20" t="inlineStr">
        <is>
          <t>DKKm</t>
        </is>
      </c>
      <c r="F23" s="64">
        <f>INDEX(calc_PPA_Amort_Row,1,COLUMN()-5)</f>
        <v/>
      </c>
      <c r="G23" s="64">
        <f>INDEX(calc_PPA_Amort_Row,1,COLUMN()-5)</f>
        <v/>
      </c>
      <c r="H23" s="64">
        <f>INDEX(calc_PPA_Amort_Row,1,COLUMN()-5)</f>
        <v/>
      </c>
      <c r="I23" s="64">
        <f>INDEX(calc_PPA_Amort_Row,1,COLUMN()-5)</f>
        <v/>
      </c>
      <c r="J23" s="64">
        <f>INDEX(calc_PPA_Amort_Row,1,COLUMN()-5)</f>
        <v/>
      </c>
      <c r="K23" s="64">
        <f>INDEX(calc_PPA_Amort_Row,1,COLUMN()-5)</f>
        <v/>
      </c>
    </row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K18"/>
  <sheetViews>
    <sheetView showGridLines="0" workbookViewId="0">
      <pane xSplit="5" ySplit="5" topLeftCell="F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34" customWidth="1" min="2" max="2"/>
    <col width="10" customWidth="1" min="3" max="3"/>
    <col width="40" customWidth="1" min="4" max="4"/>
    <col width="2.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0" customHeight="1">
      <c r="B1" s="1" t="inlineStr">
        <is>
          <t>31_OUTPUT_SENSITIVITIES  Sensitivity pack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15" customHeight="1"/>
    <row r="3" ht="15" customHeight="1"/>
    <row r="4" ht="15" customHeight="1"/>
    <row r="5" ht="16" customHeight="1">
      <c r="B5" s="2" t="inlineStr">
        <is>
          <t>LINE ITEM</t>
        </is>
      </c>
      <c r="C5" s="2" t="inlineStr">
        <is>
          <t>UNITS</t>
        </is>
      </c>
      <c r="D5" s="2" t="inlineStr">
        <is>
          <t>NOTES / SOURCES / FLAGS</t>
        </is>
      </c>
      <c r="E5" s="2" t="inlineStr"/>
      <c r="F5" s="3">
        <f>03_GLOBAL_PARAMS!F24</f>
        <v/>
      </c>
      <c r="G5" s="3">
        <f>03_GLOBAL_PARAMS!G24</f>
        <v/>
      </c>
      <c r="H5" s="3">
        <f>03_GLOBAL_PARAMS!H24</f>
        <v/>
      </c>
      <c r="I5" s="3">
        <f>03_GLOBAL_PARAMS!I24</f>
        <v/>
      </c>
      <c r="J5" s="3">
        <f>03_GLOBAL_PARAMS!J24</f>
        <v/>
      </c>
      <c r="K5" s="3">
        <f>03_GLOBAL_PARAMS!K24</f>
        <v/>
      </c>
    </row>
    <row r="6" ht="18" customHeight="1">
      <c r="B6" s="4" t="inlineStr">
        <is>
          <t>HEATMAP: ACC/DIL % VS EV/EBITDA MULTIPLE AND SYNERGY RUN-RATE (YEAR 1)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 ht="15" customHeight="1">
      <c r="B7" s="19" t="inlineStr">
        <is>
          <t>Multiple list (x)</t>
        </is>
      </c>
      <c r="C7" s="20" t="inlineStr">
        <is>
          <t>x</t>
        </is>
      </c>
      <c r="F7" s="74" t="n">
        <v>8</v>
      </c>
      <c r="G7" s="74" t="n">
        <v>10</v>
      </c>
      <c r="H7" s="74" t="n">
        <v>12</v>
      </c>
      <c r="I7" s="74" t="n">
        <v>14</v>
      </c>
      <c r="J7" s="74" t="n">
        <v>16</v>
      </c>
    </row>
    <row r="8" ht="15" customHeight="1">
      <c r="B8" s="19" t="inlineStr">
        <is>
          <t>Synergy list (DKKm)</t>
        </is>
      </c>
      <c r="C8" s="20" t="inlineStr">
        <is>
          <t>DKKm</t>
        </is>
      </c>
      <c r="F8" s="60" t="n">
        <v>0</v>
      </c>
    </row>
    <row r="9" ht="15" customHeight="1">
      <c r="E9" s="7" t="inlineStr"/>
      <c r="F9" s="75" t="n">
        <v>8</v>
      </c>
      <c r="G9" s="75" t="n">
        <v>10</v>
      </c>
      <c r="H9" s="75" t="n">
        <v>12</v>
      </c>
      <c r="I9" s="75" t="n">
        <v>14</v>
      </c>
      <c r="J9" s="75" t="n">
        <v>16</v>
      </c>
    </row>
    <row r="10" ht="15" customHeight="1">
      <c r="E10" s="76" t="n">
        <v>0</v>
      </c>
      <c r="F10" s="59">
        <f>IFERROR(((INDEX(calc_A_NI_Row,1,2)+INDEX(calc_T_NI_Row,1,2)+(0*INDEX(in_SynergyRamp_Row,1,2))*(1-g_TaxRate)+(INDEX(in_Integration_Row,1,2))*(1-g_TaxRate)+((-(((8*(in_T_EBITDA_Y0*calc_FX_Spot_Used)) - calc_NetDebt_DKK)*in_DebtPct)*(in_BaseRate + in_T1_Margin)))*(1-g_TaxRate)+(INDEX(calc_PPA_Amort_Row,1,2))*(1-g_TaxRate))/(in_A_Shares_Basic + (((8*(in_T_EBITDA_Y0*calc_FX_Spot_Used)) - calc_NetDebt_DKK)*in_StockPct)/in_A_SharePrice))/26_CALCS_SHARES_AND_EPS!G12-1,0)</f>
        <v/>
      </c>
      <c r="G10" s="70">
        <f>IFERROR(((INDEX(calc_A_NI_Row,1,2)+INDEX(calc_T_NI_Row,1,2)+(0*INDEX(in_SynergyRamp_Row,1,2))*(1-g_TaxRate)+(INDEX(in_Integration_Row,1,2))*(1-g_TaxRate)+((-(((10*(in_T_EBITDA_Y0*calc_FX_Spot_Used)) - calc_NetDebt_DKK)*in_DebtPct)*(in_BaseRate + in_T1_Margin)))*(1-g_TaxRate)+(INDEX(calc_PPA_Amort_Row,1,2))*(1-g_TaxRate))/(in_A_Shares_Basic + (((10*(in_T_EBITDA_Y0*calc_FX_Spot_Used)) - calc_NetDebt_DKK)*in_StockPct)/in_A_SharePrice))/26_CALCS_SHARES_AND_EPS!G12-1,0)</f>
        <v/>
      </c>
      <c r="H10" s="70">
        <f>IFERROR(((INDEX(calc_A_NI_Row,1,2)+INDEX(calc_T_NI_Row,1,2)+(0*INDEX(in_SynergyRamp_Row,1,2))*(1-g_TaxRate)+(INDEX(in_Integration_Row,1,2))*(1-g_TaxRate)+((-(((12*(in_T_EBITDA_Y0*calc_FX_Spot_Used)) - calc_NetDebt_DKK)*in_DebtPct)*(in_BaseRate + in_T1_Margin)))*(1-g_TaxRate)+(INDEX(calc_PPA_Amort_Row,1,2))*(1-g_TaxRate))/(in_A_Shares_Basic + (((12*(in_T_EBITDA_Y0*calc_FX_Spot_Used)) - calc_NetDebt_DKK)*in_StockPct)/in_A_SharePrice))/26_CALCS_SHARES_AND_EPS!G12-1,0)</f>
        <v/>
      </c>
      <c r="I10" s="70">
        <f>IFERROR(((INDEX(calc_A_NI_Row,1,2)+INDEX(calc_T_NI_Row,1,2)+(0*INDEX(in_SynergyRamp_Row,1,2))*(1-g_TaxRate)+(INDEX(in_Integration_Row,1,2))*(1-g_TaxRate)+((-(((14*(in_T_EBITDA_Y0*calc_FX_Spot_Used)) - calc_NetDebt_DKK)*in_DebtPct)*(in_BaseRate + in_T1_Margin)))*(1-g_TaxRate)+(INDEX(calc_PPA_Amort_Row,1,2))*(1-g_TaxRate))/(in_A_Shares_Basic + (((14*(in_T_EBITDA_Y0*calc_FX_Spot_Used)) - calc_NetDebt_DKK)*in_StockPct)/in_A_SharePrice))/26_CALCS_SHARES_AND_EPS!G12-1,0)</f>
        <v/>
      </c>
      <c r="J10" s="70">
        <f>IFERROR(((INDEX(calc_A_NI_Row,1,2)+INDEX(calc_T_NI_Row,1,2)+(0*INDEX(in_SynergyRamp_Row,1,2))*(1-g_TaxRate)+(INDEX(in_Integration_Row,1,2))*(1-g_TaxRate)+((-(((16*(in_T_EBITDA_Y0*calc_FX_Spot_Used)) - calc_NetDebt_DKK)*in_DebtPct)*(in_BaseRate + in_T1_Margin)))*(1-g_TaxRate)+(INDEX(calc_PPA_Amort_Row,1,2))*(1-g_TaxRate))/(in_A_Shares_Basic + (((16*(in_T_EBITDA_Y0*calc_FX_Spot_Used)) - calc_NetDebt_DKK)*in_StockPct)/in_A_SharePrice))/26_CALCS_SHARES_AND_EPS!G12-1,0)</f>
        <v/>
      </c>
    </row>
    <row r="11" ht="15" customHeight="1">
      <c r="E11" s="76" t="n">
        <v>50</v>
      </c>
      <c r="F11" s="59">
        <f>IFERROR(((INDEX(calc_A_NI_Row,1,2)+INDEX(calc_T_NI_Row,1,2)+(50*INDEX(in_SynergyRamp_Row,1,2))*(1-g_TaxRate)+(INDEX(in_Integration_Row,1,2))*(1-g_TaxRate)+((-(((8*(in_T_EBITDA_Y0*calc_FX_Spot_Used)) - calc_NetDebt_DKK)*in_DebtPct)*(in_BaseRate + in_T1_Margin)))*(1-g_TaxRate)+(INDEX(calc_PPA_Amort_Row,1,2))*(1-g_TaxRate))/(in_A_Shares_Basic + (((8*(in_T_EBITDA_Y0*calc_FX_Spot_Used)) - calc_NetDebt_DKK)*in_StockPct)/in_A_SharePrice))/26_CALCS_SHARES_AND_EPS!G12-1,0)</f>
        <v/>
      </c>
      <c r="G11" s="70">
        <f>IFERROR(((INDEX(calc_A_NI_Row,1,2)+INDEX(calc_T_NI_Row,1,2)+(50*INDEX(in_SynergyRamp_Row,1,2))*(1-g_TaxRate)+(INDEX(in_Integration_Row,1,2))*(1-g_TaxRate)+((-(((10*(in_T_EBITDA_Y0*calc_FX_Spot_Used)) - calc_NetDebt_DKK)*in_DebtPct)*(in_BaseRate + in_T1_Margin)))*(1-g_TaxRate)+(INDEX(calc_PPA_Amort_Row,1,2))*(1-g_TaxRate))/(in_A_Shares_Basic + (((10*(in_T_EBITDA_Y0*calc_FX_Spot_Used)) - calc_NetDebt_DKK)*in_StockPct)/in_A_SharePrice))/26_CALCS_SHARES_AND_EPS!G12-1,0)</f>
        <v/>
      </c>
      <c r="H11" s="70">
        <f>IFERROR(((INDEX(calc_A_NI_Row,1,2)+INDEX(calc_T_NI_Row,1,2)+(50*INDEX(in_SynergyRamp_Row,1,2))*(1-g_TaxRate)+(INDEX(in_Integration_Row,1,2))*(1-g_TaxRate)+((-(((12*(in_T_EBITDA_Y0*calc_FX_Spot_Used)) - calc_NetDebt_DKK)*in_DebtPct)*(in_BaseRate + in_T1_Margin)))*(1-g_TaxRate)+(INDEX(calc_PPA_Amort_Row,1,2))*(1-g_TaxRate))/(in_A_Shares_Basic + (((12*(in_T_EBITDA_Y0*calc_FX_Spot_Used)) - calc_NetDebt_DKK)*in_StockPct)/in_A_SharePrice))/26_CALCS_SHARES_AND_EPS!G12-1,0)</f>
        <v/>
      </c>
      <c r="I11" s="70">
        <f>IFERROR(((INDEX(calc_A_NI_Row,1,2)+INDEX(calc_T_NI_Row,1,2)+(50*INDEX(in_SynergyRamp_Row,1,2))*(1-g_TaxRate)+(INDEX(in_Integration_Row,1,2))*(1-g_TaxRate)+((-(((14*(in_T_EBITDA_Y0*calc_FX_Spot_Used)) - calc_NetDebt_DKK)*in_DebtPct)*(in_BaseRate + in_T1_Margin)))*(1-g_TaxRate)+(INDEX(calc_PPA_Amort_Row,1,2))*(1-g_TaxRate))/(in_A_Shares_Basic + (((14*(in_T_EBITDA_Y0*calc_FX_Spot_Used)) - calc_NetDebt_DKK)*in_StockPct)/in_A_SharePrice))/26_CALCS_SHARES_AND_EPS!G12-1,0)</f>
        <v/>
      </c>
      <c r="J11" s="70">
        <f>IFERROR(((INDEX(calc_A_NI_Row,1,2)+INDEX(calc_T_NI_Row,1,2)+(50*INDEX(in_SynergyRamp_Row,1,2))*(1-g_TaxRate)+(INDEX(in_Integration_Row,1,2))*(1-g_TaxRate)+((-(((16*(in_T_EBITDA_Y0*calc_FX_Spot_Used)) - calc_NetDebt_DKK)*in_DebtPct)*(in_BaseRate + in_T1_Margin)))*(1-g_TaxRate)+(INDEX(calc_PPA_Amort_Row,1,2))*(1-g_TaxRate))/(in_A_Shares_Basic + (((16*(in_T_EBITDA_Y0*calc_FX_Spot_Used)) - calc_NetDebt_DKK)*in_StockPct)/in_A_SharePrice))/26_CALCS_SHARES_AND_EPS!G12-1,0)</f>
        <v/>
      </c>
    </row>
    <row r="12" ht="15" customHeight="1">
      <c r="E12" s="76" t="n">
        <v>100</v>
      </c>
      <c r="F12" s="59">
        <f>IFERROR(((INDEX(calc_A_NI_Row,1,2)+INDEX(calc_T_NI_Row,1,2)+(100*INDEX(in_SynergyRamp_Row,1,2))*(1-g_TaxRate)+(INDEX(in_Integration_Row,1,2))*(1-g_TaxRate)+((-(((8*(in_T_EBITDA_Y0*calc_FX_Spot_Used)) - calc_NetDebt_DKK)*in_DebtPct)*(in_BaseRate + in_T1_Margin)))*(1-g_TaxRate)+(INDEX(calc_PPA_Amort_Row,1,2))*(1-g_TaxRate))/(in_A_Shares_Basic + (((8*(in_T_EBITDA_Y0*calc_FX_Spot_Used)) - calc_NetDebt_DKK)*in_StockPct)/in_A_SharePrice))/26_CALCS_SHARES_AND_EPS!G12-1,0)</f>
        <v/>
      </c>
      <c r="G12" s="70">
        <f>IFERROR(((INDEX(calc_A_NI_Row,1,2)+INDEX(calc_T_NI_Row,1,2)+(100*INDEX(in_SynergyRamp_Row,1,2))*(1-g_TaxRate)+(INDEX(in_Integration_Row,1,2))*(1-g_TaxRate)+((-(((10*(in_T_EBITDA_Y0*calc_FX_Spot_Used)) - calc_NetDebt_DKK)*in_DebtPct)*(in_BaseRate + in_T1_Margin)))*(1-g_TaxRate)+(INDEX(calc_PPA_Amort_Row,1,2))*(1-g_TaxRate))/(in_A_Shares_Basic + (((10*(in_T_EBITDA_Y0*calc_FX_Spot_Used)) - calc_NetDebt_DKK)*in_StockPct)/in_A_SharePrice))/26_CALCS_SHARES_AND_EPS!G12-1,0)</f>
        <v/>
      </c>
      <c r="H12" s="70">
        <f>IFERROR(((INDEX(calc_A_NI_Row,1,2)+INDEX(calc_T_NI_Row,1,2)+(100*INDEX(in_SynergyRamp_Row,1,2))*(1-g_TaxRate)+(INDEX(in_Integration_Row,1,2))*(1-g_TaxRate)+((-(((12*(in_T_EBITDA_Y0*calc_FX_Spot_Used)) - calc_NetDebt_DKK)*in_DebtPct)*(in_BaseRate + in_T1_Margin)))*(1-g_TaxRate)+(INDEX(calc_PPA_Amort_Row,1,2))*(1-g_TaxRate))/(in_A_Shares_Basic + (((12*(in_T_EBITDA_Y0*calc_FX_Spot_Used)) - calc_NetDebt_DKK)*in_StockPct)/in_A_SharePrice))/26_CALCS_SHARES_AND_EPS!G12-1,0)</f>
        <v/>
      </c>
      <c r="I12" s="70">
        <f>IFERROR(((INDEX(calc_A_NI_Row,1,2)+INDEX(calc_T_NI_Row,1,2)+(100*INDEX(in_SynergyRamp_Row,1,2))*(1-g_TaxRate)+(INDEX(in_Integration_Row,1,2))*(1-g_TaxRate)+((-(((14*(in_T_EBITDA_Y0*calc_FX_Spot_Used)) - calc_NetDebt_DKK)*in_DebtPct)*(in_BaseRate + in_T1_Margin)))*(1-g_TaxRate)+(INDEX(calc_PPA_Amort_Row,1,2))*(1-g_TaxRate))/(in_A_Shares_Basic + (((14*(in_T_EBITDA_Y0*calc_FX_Spot_Used)) - calc_NetDebt_DKK)*in_StockPct)/in_A_SharePrice))/26_CALCS_SHARES_AND_EPS!G12-1,0)</f>
        <v/>
      </c>
      <c r="J12" s="70">
        <f>IFERROR(((INDEX(calc_A_NI_Row,1,2)+INDEX(calc_T_NI_Row,1,2)+(100*INDEX(in_SynergyRamp_Row,1,2))*(1-g_TaxRate)+(INDEX(in_Integration_Row,1,2))*(1-g_TaxRate)+((-(((16*(in_T_EBITDA_Y0*calc_FX_Spot_Used)) - calc_NetDebt_DKK)*in_DebtPct)*(in_BaseRate + in_T1_Margin)))*(1-g_TaxRate)+(INDEX(calc_PPA_Amort_Row,1,2))*(1-g_TaxRate))/(in_A_Shares_Basic + (((16*(in_T_EBITDA_Y0*calc_FX_Spot_Used)) - calc_NetDebt_DKK)*in_StockPct)/in_A_SharePrice))/26_CALCS_SHARES_AND_EPS!G12-1,0)</f>
        <v/>
      </c>
    </row>
    <row r="13" ht="15" customHeight="1">
      <c r="E13" s="76" t="n">
        <v>150</v>
      </c>
      <c r="F13" s="70">
        <f>IFERROR(((INDEX(calc_A_NI_Row,1,2)+INDEX(calc_T_NI_Row,1,2)+(150*INDEX(in_SynergyRamp_Row,1,2))*(1-g_TaxRate)+(INDEX(in_Integration_Row,1,2))*(1-g_TaxRate)+((-(((8*(in_T_EBITDA_Y0*calc_FX_Spot_Used)) - calc_NetDebt_DKK)*in_DebtPct)*(in_BaseRate + in_T1_Margin)))*(1-g_TaxRate)+(INDEX(calc_PPA_Amort_Row,1,2))*(1-g_TaxRate))/(in_A_Shares_Basic + (((8*(in_T_EBITDA_Y0*calc_FX_Spot_Used)) - calc_NetDebt_DKK)*in_StockPct)/in_A_SharePrice))/26_CALCS_SHARES_AND_EPS!G12-1,0)</f>
        <v/>
      </c>
      <c r="G13" s="70">
        <f>IFERROR(((INDEX(calc_A_NI_Row,1,2)+INDEX(calc_T_NI_Row,1,2)+(150*INDEX(in_SynergyRamp_Row,1,2))*(1-g_TaxRate)+(INDEX(in_Integration_Row,1,2))*(1-g_TaxRate)+((-(((10*(in_T_EBITDA_Y0*calc_FX_Spot_Used)) - calc_NetDebt_DKK)*in_DebtPct)*(in_BaseRate + in_T1_Margin)))*(1-g_TaxRate)+(INDEX(calc_PPA_Amort_Row,1,2))*(1-g_TaxRate))/(in_A_Shares_Basic + (((10*(in_T_EBITDA_Y0*calc_FX_Spot_Used)) - calc_NetDebt_DKK)*in_StockPct)/in_A_SharePrice))/26_CALCS_SHARES_AND_EPS!G12-1,0)</f>
        <v/>
      </c>
      <c r="H13" s="70">
        <f>IFERROR(((INDEX(calc_A_NI_Row,1,2)+INDEX(calc_T_NI_Row,1,2)+(150*INDEX(in_SynergyRamp_Row,1,2))*(1-g_TaxRate)+(INDEX(in_Integration_Row,1,2))*(1-g_TaxRate)+((-(((12*(in_T_EBITDA_Y0*calc_FX_Spot_Used)) - calc_NetDebt_DKK)*in_DebtPct)*(in_BaseRate + in_T1_Margin)))*(1-g_TaxRate)+(INDEX(calc_PPA_Amort_Row,1,2))*(1-g_TaxRate))/(in_A_Shares_Basic + (((12*(in_T_EBITDA_Y0*calc_FX_Spot_Used)) - calc_NetDebt_DKK)*in_StockPct)/in_A_SharePrice))/26_CALCS_SHARES_AND_EPS!G12-1,0)</f>
        <v/>
      </c>
      <c r="I13" s="70">
        <f>IFERROR(((INDEX(calc_A_NI_Row,1,2)+INDEX(calc_T_NI_Row,1,2)+(150*INDEX(in_SynergyRamp_Row,1,2))*(1-g_TaxRate)+(INDEX(in_Integration_Row,1,2))*(1-g_TaxRate)+((-(((14*(in_T_EBITDA_Y0*calc_FX_Spot_Used)) - calc_NetDebt_DKK)*in_DebtPct)*(in_BaseRate + in_T1_Margin)))*(1-g_TaxRate)+(INDEX(calc_PPA_Amort_Row,1,2))*(1-g_TaxRate))/(in_A_Shares_Basic + (((14*(in_T_EBITDA_Y0*calc_FX_Spot_Used)) - calc_NetDebt_DKK)*in_StockPct)/in_A_SharePrice))/26_CALCS_SHARES_AND_EPS!G12-1,0)</f>
        <v/>
      </c>
      <c r="J13" s="70">
        <f>IFERROR(((INDEX(calc_A_NI_Row,1,2)+INDEX(calc_T_NI_Row,1,2)+(150*INDEX(in_SynergyRamp_Row,1,2))*(1-g_TaxRate)+(INDEX(in_Integration_Row,1,2))*(1-g_TaxRate)+((-(((16*(in_T_EBITDA_Y0*calc_FX_Spot_Used)) - calc_NetDebt_DKK)*in_DebtPct)*(in_BaseRate + in_T1_Margin)))*(1-g_TaxRate)+(INDEX(calc_PPA_Amort_Row,1,2))*(1-g_TaxRate))/(in_A_Shares_Basic + (((16*(in_T_EBITDA_Y0*calc_FX_Spot_Used)) - calc_NetDebt_DKK)*in_StockPct)/in_A_SharePrice))/26_CALCS_SHARES_AND_EPS!G12-1,0)</f>
        <v/>
      </c>
    </row>
    <row r="14" ht="15" customHeight="1">
      <c r="E14" s="76" t="n">
        <v>200</v>
      </c>
      <c r="F14" s="70">
        <f>IFERROR(((INDEX(calc_A_NI_Row,1,2)+INDEX(calc_T_NI_Row,1,2)+(200*INDEX(in_SynergyRamp_Row,1,2))*(1-g_TaxRate)+(INDEX(in_Integration_Row,1,2))*(1-g_TaxRate)+((-(((8*(in_T_EBITDA_Y0*calc_FX_Spot_Used)) - calc_NetDebt_DKK)*in_DebtPct)*(in_BaseRate + in_T1_Margin)))*(1-g_TaxRate)+(INDEX(calc_PPA_Amort_Row,1,2))*(1-g_TaxRate))/(in_A_Shares_Basic + (((8*(in_T_EBITDA_Y0*calc_FX_Spot_Used)) - calc_NetDebt_DKK)*in_StockPct)/in_A_SharePrice))/26_CALCS_SHARES_AND_EPS!G12-1,0)</f>
        <v/>
      </c>
      <c r="G14" s="70">
        <f>IFERROR(((INDEX(calc_A_NI_Row,1,2)+INDEX(calc_T_NI_Row,1,2)+(200*INDEX(in_SynergyRamp_Row,1,2))*(1-g_TaxRate)+(INDEX(in_Integration_Row,1,2))*(1-g_TaxRate)+((-(((10*(in_T_EBITDA_Y0*calc_FX_Spot_Used)) - calc_NetDebt_DKK)*in_DebtPct)*(in_BaseRate + in_T1_Margin)))*(1-g_TaxRate)+(INDEX(calc_PPA_Amort_Row,1,2))*(1-g_TaxRate))/(in_A_Shares_Basic + (((10*(in_T_EBITDA_Y0*calc_FX_Spot_Used)) - calc_NetDebt_DKK)*in_StockPct)/in_A_SharePrice))/26_CALCS_SHARES_AND_EPS!G12-1,0)</f>
        <v/>
      </c>
      <c r="H14" s="70">
        <f>IFERROR(((INDEX(calc_A_NI_Row,1,2)+INDEX(calc_T_NI_Row,1,2)+(200*INDEX(in_SynergyRamp_Row,1,2))*(1-g_TaxRate)+(INDEX(in_Integration_Row,1,2))*(1-g_TaxRate)+((-(((12*(in_T_EBITDA_Y0*calc_FX_Spot_Used)) - calc_NetDebt_DKK)*in_DebtPct)*(in_BaseRate + in_T1_Margin)))*(1-g_TaxRate)+(INDEX(calc_PPA_Amort_Row,1,2))*(1-g_TaxRate))/(in_A_Shares_Basic + (((12*(in_T_EBITDA_Y0*calc_FX_Spot_Used)) - calc_NetDebt_DKK)*in_StockPct)/in_A_SharePrice))/26_CALCS_SHARES_AND_EPS!G12-1,0)</f>
        <v/>
      </c>
      <c r="I14" s="70">
        <f>IFERROR(((INDEX(calc_A_NI_Row,1,2)+INDEX(calc_T_NI_Row,1,2)+(200*INDEX(in_SynergyRamp_Row,1,2))*(1-g_TaxRate)+(INDEX(in_Integration_Row,1,2))*(1-g_TaxRate)+((-(((14*(in_T_EBITDA_Y0*calc_FX_Spot_Used)) - calc_NetDebt_DKK)*in_DebtPct)*(in_BaseRate + in_T1_Margin)))*(1-g_TaxRate)+(INDEX(calc_PPA_Amort_Row,1,2))*(1-g_TaxRate))/(in_A_Shares_Basic + (((14*(in_T_EBITDA_Y0*calc_FX_Spot_Used)) - calc_NetDebt_DKK)*in_StockPct)/in_A_SharePrice))/26_CALCS_SHARES_AND_EPS!G12-1,0)</f>
        <v/>
      </c>
      <c r="J14" s="70">
        <f>IFERROR(((INDEX(calc_A_NI_Row,1,2)+INDEX(calc_T_NI_Row,1,2)+(200*INDEX(in_SynergyRamp_Row,1,2))*(1-g_TaxRate)+(INDEX(in_Integration_Row,1,2))*(1-g_TaxRate)+((-(((16*(in_T_EBITDA_Y0*calc_FX_Spot_Used)) - calc_NetDebt_DKK)*in_DebtPct)*(in_BaseRate + in_T1_Margin)))*(1-g_TaxRate)+(INDEX(calc_PPA_Amort_Row,1,2))*(1-g_TaxRate))/(in_A_Shares_Basic + (((16*(in_T_EBITDA_Y0*calc_FX_Spot_Used)) - calc_NetDebt_DKK)*in_StockPct)/in_A_SharePrice))/26_CALCS_SHARES_AND_EPS!G12-1,0)</f>
        <v/>
      </c>
    </row>
    <row r="15" ht="15" customHeight="1"/>
    <row r="16" ht="18" customHeight="1">
      <c r="B16" s="4" t="inlineStr">
        <is>
          <t>OTHER SENSITIVITIES (SKELETON)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 ht="15" customHeight="1">
      <c r="B17" s="17" t="inlineStr">
        <is>
          <t>Acc/Dil vs % stock and rate shocks: build-off block</t>
        </is>
      </c>
    </row>
    <row r="18" ht="15" customHeight="1">
      <c r="B18" s="17" t="inlineStr">
        <is>
          <t>FX sensitivity: use in_FX_Shock and in_FX_Sens_On toggles</t>
        </is>
      </c>
    </row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</sheetData>
  <conditionalFormatting sqref="F10:J1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K19"/>
  <sheetViews>
    <sheetView showGridLines="0" workbookViewId="0">
      <pane xSplit="5" ySplit="5" topLeftCell="F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34" customWidth="1" min="2" max="2"/>
    <col width="10" customWidth="1" min="3" max="3"/>
    <col width="40" customWidth="1" min="4" max="4"/>
    <col width="2.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0" customHeight="1">
      <c r="B1" s="1" t="inlineStr">
        <is>
          <t>90_CHECKS  Checks hub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15" customHeight="1"/>
    <row r="3" ht="15" customHeight="1"/>
    <row r="4" ht="15" customHeight="1"/>
    <row r="5" ht="16" customHeight="1">
      <c r="B5" s="2" t="inlineStr">
        <is>
          <t>LINE ITEM</t>
        </is>
      </c>
      <c r="C5" s="2" t="inlineStr">
        <is>
          <t>UNITS</t>
        </is>
      </c>
      <c r="D5" s="2" t="inlineStr">
        <is>
          <t>NOTES / SOURCES / FLAGS</t>
        </is>
      </c>
      <c r="E5" s="2" t="inlineStr"/>
      <c r="F5" s="3">
        <f>03_GLOBAL_PARAMS!F24</f>
        <v/>
      </c>
      <c r="G5" s="3">
        <f>03_GLOBAL_PARAMS!G24</f>
        <v/>
      </c>
      <c r="H5" s="3">
        <f>03_GLOBAL_PARAMS!H24</f>
        <v/>
      </c>
      <c r="I5" s="3">
        <f>03_GLOBAL_PARAMS!I24</f>
        <v/>
      </c>
      <c r="J5" s="3">
        <f>03_GLOBAL_PARAMS!J24</f>
        <v/>
      </c>
      <c r="K5" s="3">
        <f>03_GLOBAL_PARAMS!K24</f>
        <v/>
      </c>
    </row>
    <row r="6" ht="18" customHeight="1">
      <c r="B6" s="4" t="inlineStr">
        <is>
          <t>GLOBAL STATUS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 ht="15" customHeight="1">
      <c r="B7" s="19" t="inlineStr">
        <is>
          <t>ALL CLEAR (1/0)</t>
        </is>
      </c>
      <c r="C7" s="20" t="inlineStr">
        <is>
          <t>Flag</t>
        </is>
      </c>
      <c r="F7" s="50">
        <f>AND(E11:E19)</f>
        <v/>
      </c>
    </row>
    <row r="8" ht="15" customHeight="1"/>
    <row r="9" ht="18" customHeight="1">
      <c r="B9" s="4" t="inlineStr">
        <is>
          <t>CRITICAL CHECKS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 ht="15" customHeight="1">
      <c r="B10" s="25" t="inlineStr">
        <is>
          <t>Check</t>
        </is>
      </c>
      <c r="C10" s="25" t="inlineStr">
        <is>
          <t>Expected</t>
        </is>
      </c>
      <c r="D10" s="25" t="inlineStr">
        <is>
          <t>Actual</t>
        </is>
      </c>
      <c r="E10" s="25" t="inlineStr">
        <is>
          <t>Pass (1/0)</t>
        </is>
      </c>
      <c r="F10" s="25" t="inlineStr">
        <is>
          <t>Source</t>
        </is>
      </c>
    </row>
    <row r="11" ht="15" customHeight="1">
      <c r="B11" s="7" t="inlineStr">
        <is>
          <t>Sources = Uses</t>
        </is>
      </c>
      <c r="C11" s="7" t="inlineStr">
        <is>
          <t>0</t>
        </is>
      </c>
      <c r="D11" s="7">
        <f>check_SourcesUses</f>
        <v/>
      </c>
      <c r="E11" s="51">
        <f>IF(ABS(D11)&lt;0.1,1,0)</f>
        <v/>
      </c>
      <c r="F11" s="6" t="inlineStr">
        <is>
          <t>20_CALCS_SOURCES_USES!F28</t>
        </is>
      </c>
    </row>
    <row r="12" ht="15" customHeight="1">
      <c r="B12" s="7" t="inlineStr">
        <is>
          <t>Mix sum = 100%</t>
        </is>
      </c>
      <c r="C12" s="7" t="inlineStr">
        <is>
          <t>1</t>
        </is>
      </c>
      <c r="D12" s="7">
        <f>calc_MixSum</f>
        <v/>
      </c>
      <c r="E12" s="51">
        <f>IF(ABS(D12-1)&lt;0.0001,1,0)</f>
        <v/>
      </c>
      <c r="F12" s="6" t="inlineStr">
        <is>
          <t>12_INPUTS_DEAL_TERMS!F15</t>
        </is>
      </c>
    </row>
    <row r="13" ht="15" customHeight="1">
      <c r="B13" s="7" t="inlineStr">
        <is>
          <t>BS balances (max abs)</t>
        </is>
      </c>
      <c r="C13" s="7" t="inlineStr">
        <is>
          <t>0</t>
        </is>
      </c>
      <c r="D13" s="7">
        <f>MAX(ABS(check_BS_Row))</f>
        <v/>
      </c>
      <c r="E13" s="51">
        <f>IF(D13&lt;0.1,1,0)</f>
        <v/>
      </c>
      <c r="F13" s="6" t="inlineStr">
        <is>
          <t>24_CALCS_PRO_FORMA_BS!F19</t>
        </is>
      </c>
    </row>
    <row r="14" ht="15" customHeight="1">
      <c r="B14" s="7" t="inlineStr">
        <is>
          <t>Debt roll (T1 max abs)</t>
        </is>
      </c>
      <c r="C14" s="7" t="inlineStr">
        <is>
          <t>0</t>
        </is>
      </c>
      <c r="D14" s="7">
        <f>MAX(ABS(check_DebtRoll_T1_Row))</f>
        <v/>
      </c>
      <c r="E14" s="51">
        <f>IF(D14&lt;0.1,1,0)</f>
        <v/>
      </c>
      <c r="F14" s="6" t="inlineStr">
        <is>
          <t>21_CALCS_FINANCING!F33</t>
        </is>
      </c>
    </row>
    <row r="15" ht="15" customHeight="1">
      <c r="B15" s="7" t="inlineStr">
        <is>
          <t>Debt roll (T2 max abs)</t>
        </is>
      </c>
      <c r="C15" s="7" t="inlineStr">
        <is>
          <t>0</t>
        </is>
      </c>
      <c r="D15" s="7">
        <f>MAX(ABS(check_DebtRoll_T2_Row))</f>
        <v/>
      </c>
      <c r="E15" s="51">
        <f>IF(D15&lt;0.1,1,0)</f>
        <v/>
      </c>
      <c r="F15" s="6" t="inlineStr">
        <is>
          <t>21_CALCS_FINANCING!F34</t>
        </is>
      </c>
    </row>
    <row r="16" ht="15" customHeight="1">
      <c r="B16" s="7" t="inlineStr">
        <is>
          <t>Share issuance tie-out</t>
        </is>
      </c>
      <c r="C16" s="7" t="inlineStr">
        <is>
          <t>0</t>
        </is>
      </c>
      <c r="D16" s="7">
        <f>(calc_StockValue_DKK - (calc_NewShares_mm*in_A_SharePrice))</f>
        <v/>
      </c>
      <c r="E16" s="51">
        <f>IF(ABS(D16)&lt;0.1,1,0)</f>
        <v/>
      </c>
      <c r="F16" s="6" t="inlineStr">
        <is>
          <t>26_CALCS_SHARES_AND_EPS!F8</t>
        </is>
      </c>
    </row>
    <row r="17" ht="15" customHeight="1">
      <c r="B17" s="7" t="inlineStr">
        <is>
          <t>Tax sanity (eff rate Y1 10-35%)</t>
        </is>
      </c>
      <c r="C17" s="7" t="inlineStr">
        <is>
          <t>1</t>
        </is>
      </c>
      <c r="D17" s="7">
        <f>IF(INDEX(23_CALCS_PRO_FORMA_IS!$G$33:$G$33,1,1)&gt;0,AND(ABS(23_CALCS_PRO_FORMA_IS!G34/23_CALCS_PRO_FORMA_IS!G33)&gt;=0.10,ABS(23_CALCS_PRO_FORMA_IS!G34/23_CALCS_PRO_FORMA_IS!G33)&lt;=0.35),TRUE)</f>
        <v/>
      </c>
      <c r="E17" s="51">
        <f>IF(D17=TRUE,1,0)</f>
        <v/>
      </c>
      <c r="F17" s="6" t="inlineStr">
        <is>
          <t>23_CALCS_PRO_FORMA_IS!G34</t>
        </is>
      </c>
    </row>
    <row r="18" ht="15" customHeight="1">
      <c r="B18" s="7" t="inlineStr">
        <is>
          <t>No circular refs (manual attestation)</t>
        </is>
      </c>
      <c r="C18" s="7" t="inlineStr">
        <is>
          <t>1</t>
        </is>
      </c>
      <c r="D18" s="7">
        <f>g_NoCircular_Attest</f>
        <v/>
      </c>
      <c r="E18" s="51">
        <f>IF(D18=1,1,0)</f>
        <v/>
      </c>
      <c r="F18" s="6" t="inlineStr">
        <is>
          <t>03_GLOBAL_PARAMS!F14</t>
        </is>
      </c>
    </row>
    <row r="19" ht="15" customHeight="1">
      <c r="B19" s="7" t="inlineStr">
        <is>
          <t>No external links outside 99 (manual attestation)</t>
        </is>
      </c>
      <c r="C19" s="7" t="inlineStr">
        <is>
          <t>1</t>
        </is>
      </c>
      <c r="D19" s="7">
        <f>g_NoExternal_Attest</f>
        <v/>
      </c>
      <c r="E19" s="51">
        <f>IF(D19=1,1,0)</f>
        <v/>
      </c>
      <c r="F19" s="6" t="inlineStr">
        <is>
          <t>03_GLOBAL_PARAMS!F15</t>
        </is>
      </c>
    </row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K7"/>
  <sheetViews>
    <sheetView showGridLines="0" workbookViewId="0">
      <pane xSplit="5" ySplit="5" topLeftCell="F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34" customWidth="1" min="2" max="2"/>
    <col width="10" customWidth="1" min="3" max="3"/>
    <col width="40" customWidth="1" min="4" max="4"/>
    <col width="2.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0" customHeight="1">
      <c r="B1" s="1" t="inlineStr">
        <is>
          <t>99_APPENDIX_DATA  External data zone (paste only)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15" customHeight="1"/>
    <row r="3" ht="15" customHeight="1"/>
    <row r="4" ht="15" customHeight="1"/>
    <row r="5" ht="16" customHeight="1">
      <c r="B5" s="2" t="inlineStr">
        <is>
          <t>LINE ITEM</t>
        </is>
      </c>
      <c r="C5" s="2" t="inlineStr">
        <is>
          <t>UNITS</t>
        </is>
      </c>
      <c r="D5" s="2" t="inlineStr">
        <is>
          <t>NOTES / SOURCES / FLAGS</t>
        </is>
      </c>
      <c r="E5" s="2" t="inlineStr"/>
      <c r="F5" s="3">
        <f>03_GLOBAL_PARAMS!F24</f>
        <v/>
      </c>
      <c r="G5" s="3">
        <f>03_GLOBAL_PARAMS!G24</f>
        <v/>
      </c>
      <c r="H5" s="3">
        <f>03_GLOBAL_PARAMS!H24</f>
        <v/>
      </c>
      <c r="I5" s="3">
        <f>03_GLOBAL_PARAMS!I24</f>
        <v/>
      </c>
      <c r="J5" s="3">
        <f>03_GLOBAL_PARAMS!J24</f>
        <v/>
      </c>
      <c r="K5" s="3">
        <f>03_GLOBAL_PARAMS!K24</f>
        <v/>
      </c>
    </row>
    <row r="6" ht="18" customHeight="1">
      <c r="B6" s="4" t="inlineStr">
        <is>
          <t>PASTE ZONE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 ht="15" customHeight="1">
      <c r="B7" s="24" t="inlineStr">
        <is>
          <t>Paste any external data here. No other tabs should contain external links.</t>
        </is>
      </c>
    </row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2026-02-16T14:39:26Z</dcterms:created>
  <dcterms:modified xmlns:dcterms="http://purl.org/dc/terms/" xmlns:xsi="http://www.w3.org/2001/XMLSchema-instance" xsi:type="dcterms:W3CDTF">2026-02-16T20:57:47Z</dcterms:modified>
</cp:coreProperties>
</file>