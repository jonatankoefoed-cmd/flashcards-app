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onatanlarsenkoefoed/Documents/3.1 Investment banking prep/"/>
    </mc:Choice>
  </mc:AlternateContent>
  <xr:revisionPtr revIDLastSave="0" documentId="8_{B2450C4E-C060-4E4A-96D5-CAA394996922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00_Dashboard" sheetId="1" r:id="rId1"/>
    <sheet name="01_Deal_Inputs" sheetId="2" r:id="rId2"/>
    <sheet name="02_Investor_Master" sheetId="3" r:id="rId3"/>
    <sheet name="03_Order_Book" sheetId="4" r:id="rId4"/>
    <sheet name="04_Demand_Curve" sheetId="5" r:id="rId5"/>
    <sheet name="05_Allocation" sheetId="6" r:id="rId6"/>
    <sheet name="06_Pricing_Scorecard" sheetId="7" r:id="rId7"/>
    <sheet name="90_Checks" sheetId="8" r:id="rId8"/>
    <sheet name="99_Sources" sheetId="9" r:id="rId9"/>
  </sheets>
  <calcPr calcId="0" calcCompleted="0" calcOnSave="0"/>
  <fileRecoveryPr repairLoad="1"/>
</workbook>
</file>

<file path=xl/calcChain.xml><?xml version="1.0" encoding="utf-8"?>
<calcChain xmlns="http://schemas.openxmlformats.org/spreadsheetml/2006/main">
  <c r="E14" i="8" l="1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K22" i="7"/>
  <c r="J22" i="7"/>
  <c r="I22" i="7"/>
  <c r="H22" i="7"/>
  <c r="G22" i="7"/>
  <c r="F22" i="7"/>
  <c r="E22" i="7"/>
  <c r="D22" i="7"/>
  <c r="C22" i="7"/>
  <c r="B22" i="7"/>
  <c r="K21" i="7"/>
  <c r="J21" i="7"/>
  <c r="I21" i="7"/>
  <c r="H21" i="7"/>
  <c r="G21" i="7"/>
  <c r="F21" i="7"/>
  <c r="E21" i="7"/>
  <c r="D21" i="7"/>
  <c r="C21" i="7"/>
  <c r="B21" i="7"/>
  <c r="K20" i="7"/>
  <c r="J20" i="7"/>
  <c r="I20" i="7"/>
  <c r="H20" i="7"/>
  <c r="G20" i="7"/>
  <c r="F20" i="7"/>
  <c r="E20" i="7"/>
  <c r="D20" i="7"/>
  <c r="C20" i="7"/>
  <c r="B20" i="7"/>
  <c r="K19" i="7"/>
  <c r="J19" i="7"/>
  <c r="I19" i="7"/>
  <c r="H19" i="7"/>
  <c r="G19" i="7"/>
  <c r="F19" i="7"/>
  <c r="E19" i="7"/>
  <c r="D19" i="7"/>
  <c r="C19" i="7"/>
  <c r="B19" i="7"/>
  <c r="K18" i="7"/>
  <c r="J18" i="7"/>
  <c r="I18" i="7"/>
  <c r="H18" i="7"/>
  <c r="G18" i="7"/>
  <c r="F18" i="7"/>
  <c r="E18" i="7"/>
  <c r="D18" i="7"/>
  <c r="C18" i="7"/>
  <c r="B18" i="7"/>
  <c r="K17" i="7"/>
  <c r="J17" i="7"/>
  <c r="I17" i="7"/>
  <c r="H17" i="7"/>
  <c r="G17" i="7"/>
  <c r="F17" i="7"/>
  <c r="E17" i="7"/>
  <c r="D17" i="7"/>
  <c r="C17" i="7"/>
  <c r="B17" i="7"/>
  <c r="K16" i="7"/>
  <c r="J16" i="7"/>
  <c r="I16" i="7"/>
  <c r="H16" i="7"/>
  <c r="G16" i="7"/>
  <c r="F16" i="7"/>
  <c r="E16" i="7"/>
  <c r="D16" i="7"/>
  <c r="C16" i="7"/>
  <c r="B16" i="7"/>
  <c r="K15" i="7"/>
  <c r="J15" i="7"/>
  <c r="I15" i="7"/>
  <c r="H15" i="7"/>
  <c r="G15" i="7"/>
  <c r="F15" i="7"/>
  <c r="E15" i="7"/>
  <c r="D15" i="7"/>
  <c r="C15" i="7"/>
  <c r="B15" i="7"/>
  <c r="K14" i="7"/>
  <c r="J14" i="7"/>
  <c r="I14" i="7"/>
  <c r="H14" i="7"/>
  <c r="G14" i="7"/>
  <c r="F14" i="7"/>
  <c r="E14" i="7"/>
  <c r="D14" i="7"/>
  <c r="C14" i="7"/>
  <c r="B14" i="7"/>
  <c r="H40" i="6"/>
  <c r="G40" i="6"/>
  <c r="H39" i="6"/>
  <c r="G39" i="6"/>
  <c r="J38" i="6"/>
  <c r="I38" i="6"/>
  <c r="H38" i="6"/>
  <c r="G38" i="6"/>
  <c r="F38" i="6"/>
  <c r="D38" i="6"/>
  <c r="L36" i="6"/>
  <c r="K36" i="6"/>
  <c r="J36" i="6"/>
  <c r="I36" i="6"/>
  <c r="H36" i="6"/>
  <c r="G36" i="6"/>
  <c r="F36" i="6"/>
  <c r="E36" i="6"/>
  <c r="D36" i="6"/>
  <c r="C36" i="6"/>
  <c r="B36" i="6"/>
  <c r="L35" i="6"/>
  <c r="K35" i="6"/>
  <c r="J35" i="6"/>
  <c r="I35" i="6"/>
  <c r="H35" i="6"/>
  <c r="G35" i="6"/>
  <c r="F35" i="6"/>
  <c r="E35" i="6"/>
  <c r="D35" i="6"/>
  <c r="C35" i="6"/>
  <c r="B35" i="6"/>
  <c r="L34" i="6"/>
  <c r="K34" i="6"/>
  <c r="J34" i="6"/>
  <c r="I34" i="6"/>
  <c r="H34" i="6"/>
  <c r="G34" i="6"/>
  <c r="F34" i="6"/>
  <c r="E34" i="6"/>
  <c r="D34" i="6"/>
  <c r="C34" i="6"/>
  <c r="B34" i="6"/>
  <c r="L33" i="6"/>
  <c r="K33" i="6"/>
  <c r="J33" i="6"/>
  <c r="I33" i="6"/>
  <c r="H33" i="6"/>
  <c r="G33" i="6"/>
  <c r="F33" i="6"/>
  <c r="E33" i="6"/>
  <c r="D33" i="6"/>
  <c r="C33" i="6"/>
  <c r="B33" i="6"/>
  <c r="L32" i="6"/>
  <c r="K32" i="6"/>
  <c r="J32" i="6"/>
  <c r="I32" i="6"/>
  <c r="H32" i="6"/>
  <c r="G32" i="6"/>
  <c r="F32" i="6"/>
  <c r="E32" i="6"/>
  <c r="D32" i="6"/>
  <c r="C32" i="6"/>
  <c r="B32" i="6"/>
  <c r="L31" i="6"/>
  <c r="K31" i="6"/>
  <c r="J31" i="6"/>
  <c r="I31" i="6"/>
  <c r="H31" i="6"/>
  <c r="G31" i="6"/>
  <c r="F31" i="6"/>
  <c r="E31" i="6"/>
  <c r="D31" i="6"/>
  <c r="C31" i="6"/>
  <c r="B31" i="6"/>
  <c r="L30" i="6"/>
  <c r="K30" i="6"/>
  <c r="J30" i="6"/>
  <c r="I30" i="6"/>
  <c r="H30" i="6"/>
  <c r="G30" i="6"/>
  <c r="F30" i="6"/>
  <c r="E30" i="6"/>
  <c r="D30" i="6"/>
  <c r="C30" i="6"/>
  <c r="B30" i="6"/>
  <c r="L29" i="6"/>
  <c r="K29" i="6"/>
  <c r="J29" i="6"/>
  <c r="I29" i="6"/>
  <c r="H29" i="6"/>
  <c r="G29" i="6"/>
  <c r="F29" i="6"/>
  <c r="E29" i="6"/>
  <c r="D29" i="6"/>
  <c r="C29" i="6"/>
  <c r="B29" i="6"/>
  <c r="L28" i="6"/>
  <c r="K28" i="6"/>
  <c r="J28" i="6"/>
  <c r="I28" i="6"/>
  <c r="H28" i="6"/>
  <c r="G28" i="6"/>
  <c r="F28" i="6"/>
  <c r="E28" i="6"/>
  <c r="D28" i="6"/>
  <c r="C28" i="6"/>
  <c r="B28" i="6"/>
  <c r="L27" i="6"/>
  <c r="K27" i="6"/>
  <c r="J27" i="6"/>
  <c r="I27" i="6"/>
  <c r="H27" i="6"/>
  <c r="G27" i="6"/>
  <c r="F27" i="6"/>
  <c r="E27" i="6"/>
  <c r="D27" i="6"/>
  <c r="C27" i="6"/>
  <c r="B27" i="6"/>
  <c r="L26" i="6"/>
  <c r="K26" i="6"/>
  <c r="J26" i="6"/>
  <c r="I26" i="6"/>
  <c r="H26" i="6"/>
  <c r="G26" i="6"/>
  <c r="F26" i="6"/>
  <c r="E26" i="6"/>
  <c r="D26" i="6"/>
  <c r="C26" i="6"/>
  <c r="B26" i="6"/>
  <c r="L25" i="6"/>
  <c r="K25" i="6"/>
  <c r="J25" i="6"/>
  <c r="I25" i="6"/>
  <c r="H25" i="6"/>
  <c r="G25" i="6"/>
  <c r="F25" i="6"/>
  <c r="E25" i="6"/>
  <c r="D25" i="6"/>
  <c r="C25" i="6"/>
  <c r="B25" i="6"/>
  <c r="L24" i="6"/>
  <c r="K24" i="6"/>
  <c r="J24" i="6"/>
  <c r="I24" i="6"/>
  <c r="H24" i="6"/>
  <c r="G24" i="6"/>
  <c r="F24" i="6"/>
  <c r="E24" i="6"/>
  <c r="D24" i="6"/>
  <c r="C24" i="6"/>
  <c r="B24" i="6"/>
  <c r="L23" i="6"/>
  <c r="K23" i="6"/>
  <c r="J23" i="6"/>
  <c r="I23" i="6"/>
  <c r="H23" i="6"/>
  <c r="G23" i="6"/>
  <c r="F23" i="6"/>
  <c r="E23" i="6"/>
  <c r="D23" i="6"/>
  <c r="C23" i="6"/>
  <c r="B23" i="6"/>
  <c r="L22" i="6"/>
  <c r="K22" i="6"/>
  <c r="J22" i="6"/>
  <c r="I22" i="6"/>
  <c r="H22" i="6"/>
  <c r="G22" i="6"/>
  <c r="F22" i="6"/>
  <c r="E22" i="6"/>
  <c r="D22" i="6"/>
  <c r="C22" i="6"/>
  <c r="B22" i="6"/>
  <c r="L21" i="6"/>
  <c r="K21" i="6"/>
  <c r="J21" i="6"/>
  <c r="I21" i="6"/>
  <c r="H21" i="6"/>
  <c r="G21" i="6"/>
  <c r="F21" i="6"/>
  <c r="E21" i="6"/>
  <c r="D21" i="6"/>
  <c r="C21" i="6"/>
  <c r="B21" i="6"/>
  <c r="L20" i="6"/>
  <c r="K20" i="6"/>
  <c r="J20" i="6"/>
  <c r="I20" i="6"/>
  <c r="H20" i="6"/>
  <c r="G20" i="6"/>
  <c r="F20" i="6"/>
  <c r="E20" i="6"/>
  <c r="D20" i="6"/>
  <c r="C20" i="6"/>
  <c r="B20" i="6"/>
  <c r="L19" i="6"/>
  <c r="K19" i="6"/>
  <c r="J19" i="6"/>
  <c r="I19" i="6"/>
  <c r="H19" i="6"/>
  <c r="G19" i="6"/>
  <c r="F19" i="6"/>
  <c r="E19" i="6"/>
  <c r="D19" i="6"/>
  <c r="C19" i="6"/>
  <c r="B19" i="6"/>
  <c r="L18" i="6"/>
  <c r="K18" i="6"/>
  <c r="J18" i="6"/>
  <c r="I18" i="6"/>
  <c r="H18" i="6"/>
  <c r="G18" i="6"/>
  <c r="F18" i="6"/>
  <c r="E18" i="6"/>
  <c r="D18" i="6"/>
  <c r="C18" i="6"/>
  <c r="B18" i="6"/>
  <c r="L17" i="6"/>
  <c r="K17" i="6"/>
  <c r="J17" i="6"/>
  <c r="I17" i="6"/>
  <c r="H17" i="6"/>
  <c r="G17" i="6"/>
  <c r="F17" i="6"/>
  <c r="E17" i="6"/>
  <c r="D17" i="6"/>
  <c r="C17" i="6"/>
  <c r="B17" i="6"/>
  <c r="L16" i="6"/>
  <c r="K16" i="6"/>
  <c r="J16" i="6"/>
  <c r="I16" i="6"/>
  <c r="H16" i="6"/>
  <c r="G16" i="6"/>
  <c r="F16" i="6"/>
  <c r="E16" i="6"/>
  <c r="D16" i="6"/>
  <c r="C16" i="6"/>
  <c r="B16" i="6"/>
  <c r="L15" i="6"/>
  <c r="K15" i="6"/>
  <c r="J15" i="6"/>
  <c r="I15" i="6"/>
  <c r="H15" i="6"/>
  <c r="G15" i="6"/>
  <c r="F15" i="6"/>
  <c r="E15" i="6"/>
  <c r="D15" i="6"/>
  <c r="C15" i="6"/>
  <c r="B15" i="6"/>
  <c r="L14" i="6"/>
  <c r="K14" i="6"/>
  <c r="J14" i="6"/>
  <c r="I14" i="6"/>
  <c r="H14" i="6"/>
  <c r="G14" i="6"/>
  <c r="F14" i="6"/>
  <c r="E14" i="6"/>
  <c r="D14" i="6"/>
  <c r="C14" i="6"/>
  <c r="B14" i="6"/>
  <c r="L13" i="6"/>
  <c r="K13" i="6"/>
  <c r="J13" i="6"/>
  <c r="I13" i="6"/>
  <c r="H13" i="6"/>
  <c r="G13" i="6"/>
  <c r="F13" i="6"/>
  <c r="E13" i="6"/>
  <c r="D13" i="6"/>
  <c r="C13" i="6"/>
  <c r="B13" i="6"/>
  <c r="L12" i="6"/>
  <c r="K12" i="6"/>
  <c r="J12" i="6"/>
  <c r="I12" i="6"/>
  <c r="H12" i="6"/>
  <c r="G12" i="6"/>
  <c r="F12" i="6"/>
  <c r="E12" i="6"/>
  <c r="D12" i="6"/>
  <c r="C12" i="6"/>
  <c r="B12" i="6"/>
  <c r="B7" i="6"/>
  <c r="B6" i="6"/>
  <c r="B5" i="6"/>
  <c r="K15" i="5"/>
  <c r="J15" i="5"/>
  <c r="I15" i="5"/>
  <c r="H15" i="5"/>
  <c r="G15" i="5"/>
  <c r="F15" i="5"/>
  <c r="E15" i="5"/>
  <c r="D15" i="5"/>
  <c r="C15" i="5"/>
  <c r="B15" i="5"/>
  <c r="K14" i="5"/>
  <c r="J14" i="5"/>
  <c r="I14" i="5"/>
  <c r="H14" i="5"/>
  <c r="G14" i="5"/>
  <c r="F14" i="5"/>
  <c r="E14" i="5"/>
  <c r="D14" i="5"/>
  <c r="C14" i="5"/>
  <c r="B14" i="5"/>
  <c r="K13" i="5"/>
  <c r="J13" i="5"/>
  <c r="I13" i="5"/>
  <c r="H13" i="5"/>
  <c r="G13" i="5"/>
  <c r="F13" i="5"/>
  <c r="E13" i="5"/>
  <c r="D13" i="5"/>
  <c r="C13" i="5"/>
  <c r="B13" i="5"/>
  <c r="K12" i="5"/>
  <c r="J12" i="5"/>
  <c r="I12" i="5"/>
  <c r="H12" i="5"/>
  <c r="G12" i="5"/>
  <c r="F12" i="5"/>
  <c r="E12" i="5"/>
  <c r="D12" i="5"/>
  <c r="C12" i="5"/>
  <c r="B12" i="5"/>
  <c r="K11" i="5"/>
  <c r="J11" i="5"/>
  <c r="I11" i="5"/>
  <c r="H11" i="5"/>
  <c r="G11" i="5"/>
  <c r="F11" i="5"/>
  <c r="E11" i="5"/>
  <c r="D11" i="5"/>
  <c r="C11" i="5"/>
  <c r="B11" i="5"/>
  <c r="K10" i="5"/>
  <c r="J10" i="5"/>
  <c r="I10" i="5"/>
  <c r="H10" i="5"/>
  <c r="G10" i="5"/>
  <c r="F10" i="5"/>
  <c r="E10" i="5"/>
  <c r="D10" i="5"/>
  <c r="C10" i="5"/>
  <c r="B10" i="5"/>
  <c r="K9" i="5"/>
  <c r="J9" i="5"/>
  <c r="I9" i="5"/>
  <c r="H9" i="5"/>
  <c r="G9" i="5"/>
  <c r="F9" i="5"/>
  <c r="E9" i="5"/>
  <c r="D9" i="5"/>
  <c r="C9" i="5"/>
  <c r="B9" i="5"/>
  <c r="K8" i="5"/>
  <c r="J8" i="5"/>
  <c r="I8" i="5"/>
  <c r="H8" i="5"/>
  <c r="G8" i="5"/>
  <c r="F8" i="5"/>
  <c r="E8" i="5"/>
  <c r="D8" i="5"/>
  <c r="C8" i="5"/>
  <c r="B8" i="5"/>
  <c r="K7" i="5"/>
  <c r="J7" i="5"/>
  <c r="I7" i="5"/>
  <c r="H7" i="5"/>
  <c r="G7" i="5"/>
  <c r="F7" i="5"/>
  <c r="E7" i="5"/>
  <c r="D7" i="5"/>
  <c r="C7" i="5"/>
  <c r="B7" i="5"/>
  <c r="M40" i="4"/>
  <c r="L40" i="4"/>
  <c r="K40" i="4"/>
  <c r="J40" i="4"/>
  <c r="I40" i="4"/>
  <c r="H40" i="4"/>
  <c r="G40" i="4"/>
  <c r="F40" i="4"/>
  <c r="E40" i="4"/>
  <c r="M39" i="4"/>
  <c r="L39" i="4"/>
  <c r="K39" i="4"/>
  <c r="J39" i="4"/>
  <c r="I39" i="4"/>
  <c r="H39" i="4"/>
  <c r="G39" i="4"/>
  <c r="F39" i="4"/>
  <c r="E39" i="4"/>
  <c r="M38" i="4"/>
  <c r="L38" i="4"/>
  <c r="K38" i="4"/>
  <c r="J38" i="4"/>
  <c r="I38" i="4"/>
  <c r="H38" i="4"/>
  <c r="G38" i="4"/>
  <c r="F38" i="4"/>
  <c r="E38" i="4"/>
  <c r="M37" i="4"/>
  <c r="L37" i="4"/>
  <c r="K37" i="4"/>
  <c r="J37" i="4"/>
  <c r="I37" i="4"/>
  <c r="H37" i="4"/>
  <c r="G37" i="4"/>
  <c r="F37" i="4"/>
  <c r="E37" i="4"/>
  <c r="M36" i="4"/>
  <c r="L36" i="4"/>
  <c r="K36" i="4"/>
  <c r="J36" i="4"/>
  <c r="I36" i="4"/>
  <c r="H36" i="4"/>
  <c r="G36" i="4"/>
  <c r="F36" i="4"/>
  <c r="E36" i="4"/>
  <c r="M35" i="4"/>
  <c r="L35" i="4"/>
  <c r="K35" i="4"/>
  <c r="J35" i="4"/>
  <c r="I35" i="4"/>
  <c r="H35" i="4"/>
  <c r="G35" i="4"/>
  <c r="F35" i="4"/>
  <c r="E35" i="4"/>
  <c r="M34" i="4"/>
  <c r="L34" i="4"/>
  <c r="K34" i="4"/>
  <c r="J34" i="4"/>
  <c r="I34" i="4"/>
  <c r="H34" i="4"/>
  <c r="G34" i="4"/>
  <c r="F34" i="4"/>
  <c r="E34" i="4"/>
  <c r="N31" i="4"/>
  <c r="D31" i="4"/>
  <c r="C31" i="4"/>
  <c r="B31" i="4"/>
  <c r="N30" i="4"/>
  <c r="D30" i="4"/>
  <c r="C30" i="4"/>
  <c r="B30" i="4"/>
  <c r="N29" i="4"/>
  <c r="D29" i="4"/>
  <c r="C29" i="4"/>
  <c r="B29" i="4"/>
  <c r="N28" i="4"/>
  <c r="D28" i="4"/>
  <c r="C28" i="4"/>
  <c r="B28" i="4"/>
  <c r="N27" i="4"/>
  <c r="D27" i="4"/>
  <c r="C27" i="4"/>
  <c r="B27" i="4"/>
  <c r="N26" i="4"/>
  <c r="D26" i="4"/>
  <c r="C26" i="4"/>
  <c r="B26" i="4"/>
  <c r="N25" i="4"/>
  <c r="D25" i="4"/>
  <c r="C25" i="4"/>
  <c r="B25" i="4"/>
  <c r="N24" i="4"/>
  <c r="D24" i="4"/>
  <c r="C24" i="4"/>
  <c r="B24" i="4"/>
  <c r="N23" i="4"/>
  <c r="D23" i="4"/>
  <c r="C23" i="4"/>
  <c r="B23" i="4"/>
  <c r="N22" i="4"/>
  <c r="D22" i="4"/>
  <c r="C22" i="4"/>
  <c r="B22" i="4"/>
  <c r="N21" i="4"/>
  <c r="D21" i="4"/>
  <c r="C21" i="4"/>
  <c r="B21" i="4"/>
  <c r="N20" i="4"/>
  <c r="D20" i="4"/>
  <c r="C20" i="4"/>
  <c r="B20" i="4"/>
  <c r="N19" i="4"/>
  <c r="D19" i="4"/>
  <c r="C19" i="4"/>
  <c r="B19" i="4"/>
  <c r="N18" i="4"/>
  <c r="D18" i="4"/>
  <c r="C18" i="4"/>
  <c r="B18" i="4"/>
  <c r="N17" i="4"/>
  <c r="D17" i="4"/>
  <c r="C17" i="4"/>
  <c r="B17" i="4"/>
  <c r="N16" i="4"/>
  <c r="D16" i="4"/>
  <c r="C16" i="4"/>
  <c r="B16" i="4"/>
  <c r="N15" i="4"/>
  <c r="D15" i="4"/>
  <c r="C15" i="4"/>
  <c r="B15" i="4"/>
  <c r="N14" i="4"/>
  <c r="D14" i="4"/>
  <c r="C14" i="4"/>
  <c r="B14" i="4"/>
  <c r="N13" i="4"/>
  <c r="D13" i="4"/>
  <c r="C13" i="4"/>
  <c r="B13" i="4"/>
  <c r="N12" i="4"/>
  <c r="D12" i="4"/>
  <c r="C12" i="4"/>
  <c r="B12" i="4"/>
  <c r="N11" i="4"/>
  <c r="D11" i="4"/>
  <c r="C11" i="4"/>
  <c r="B11" i="4"/>
  <c r="N10" i="4"/>
  <c r="D10" i="4"/>
  <c r="C10" i="4"/>
  <c r="B10" i="4"/>
  <c r="N9" i="4"/>
  <c r="D9" i="4"/>
  <c r="C9" i="4"/>
  <c r="B9" i="4"/>
  <c r="N8" i="4"/>
  <c r="D8" i="4"/>
  <c r="C8" i="4"/>
  <c r="B8" i="4"/>
  <c r="N7" i="4"/>
  <c r="D7" i="4"/>
  <c r="C7" i="4"/>
  <c r="B7" i="4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B16" i="2"/>
  <c r="H15" i="2"/>
  <c r="G15" i="2"/>
  <c r="H14" i="2"/>
  <c r="G14" i="2"/>
  <c r="H13" i="2"/>
  <c r="G13" i="2"/>
  <c r="H12" i="2"/>
  <c r="G12" i="2"/>
  <c r="H11" i="2"/>
  <c r="G11" i="2"/>
  <c r="B11" i="2"/>
  <c r="H10" i="2"/>
  <c r="G10" i="2"/>
  <c r="H9" i="2"/>
  <c r="G9" i="2"/>
  <c r="H8" i="2"/>
  <c r="G8" i="2"/>
  <c r="H7" i="2"/>
  <c r="G7" i="2"/>
  <c r="H6" i="2"/>
  <c r="G6" i="2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B10" i="1"/>
  <c r="B9" i="1"/>
  <c r="L8" i="1"/>
  <c r="K8" i="1"/>
  <c r="H8" i="1"/>
  <c r="G8" i="1"/>
  <c r="B8" i="1"/>
  <c r="L7" i="1"/>
  <c r="K7" i="1"/>
  <c r="H7" i="1"/>
  <c r="G7" i="1"/>
  <c r="B7" i="1"/>
  <c r="L6" i="1"/>
  <c r="K6" i="1"/>
  <c r="H6" i="1"/>
  <c r="G6" i="1"/>
  <c r="B6" i="1"/>
  <c r="B5" i="1"/>
</calcChain>
</file>

<file path=xl/sharedStrings.xml><?xml version="1.0" encoding="utf-8"?>
<sst xmlns="http://schemas.openxmlformats.org/spreadsheetml/2006/main" count="501" uniqueCount="311">
  <si>
    <t>BioMar IPO Bookbuilding Dashboard</t>
  </si>
  <si>
    <t>Illustrative analyst-grade bookbuild model for training: pricing, demand curve, account quality, allocation and QC checks.</t>
  </si>
  <si>
    <t>Deal snapshot</t>
  </si>
  <si>
    <t>Pricing diagnostics</t>
  </si>
  <si>
    <t>Selected IPO price</t>
  </si>
  <si>
    <t>DKK / share</t>
  </si>
  <si>
    <t>Change on 01_Deal_Inputs</t>
  </si>
  <si>
    <t>Metric</t>
  </si>
  <si>
    <t>Value</t>
  </si>
  <si>
    <t>Read</t>
  </si>
  <si>
    <t>Base offer shares</t>
  </si>
  <si>
    <t>m shares</t>
  </si>
  <si>
    <t>New + existing shares</t>
  </si>
  <si>
    <t>Total demand at selected price</t>
  </si>
  <si>
    <t>Coverage</t>
  </si>
  <si>
    <t>Base offer value</t>
  </si>
  <si>
    <t>mDKK</t>
  </si>
  <si>
    <t>Selected price x shares</t>
  </si>
  <si>
    <t>Quality-adjusted coverage</t>
  </si>
  <si>
    <t>Sticky demand share</t>
  </si>
  <si>
    <t>Company primary proceeds</t>
  </si>
  <si>
    <t>Small primary component</t>
  </si>
  <si>
    <t>Fast-money demand share</t>
  </si>
  <si>
    <t>Scorecard best price</t>
  </si>
  <si>
    <t>Secondary sell-down proceeds</t>
  </si>
  <si>
    <t>Main monetisation for Schouw</t>
  </si>
  <si>
    <t>Cornerstone commitments</t>
  </si>
  <si>
    <t>ATP, Danske AM, DNB AM, Nykredit AM, TIND</t>
  </si>
  <si>
    <t>Demand curve and pricing decision table</t>
  </si>
  <si>
    <t>Price</t>
  </si>
  <si>
    <t>Demand</t>
  </si>
  <si>
    <t>Deal value</t>
  </si>
  <si>
    <t>Quality coverage</t>
  </si>
  <si>
    <t>Sticky share</t>
  </si>
  <si>
    <t>Long-only demand</t>
  </si>
  <si>
    <t>Fast-money demand</t>
  </si>
  <si>
    <t>Pricing read</t>
  </si>
  <si>
    <t>Score</t>
  </si>
  <si>
    <t>Selected</t>
  </si>
  <si>
    <t>Analyst interpretation</t>
  </si>
  <si>
    <t>Demand curve chart</t>
  </si>
  <si>
    <t>1</t>
  </si>
  <si>
    <t>Selected price of DKK 106 gives a strong illustrative book: 2.2x headline coverage and 1.7x quality-adjusted coverage.</t>
  </si>
  <si>
    <t>2</t>
  </si>
  <si>
    <t>The pricing call is not purely mathematical: seller proceeds must be balanced against aftermarket stability and investor quality.</t>
  </si>
  <si>
    <t>3</t>
  </si>
  <si>
    <t>Allocation should be weighted toward sticky long-only accounts and cornerstones, while hedge-fund / fast-money demand is useful but scaled.</t>
  </si>
  <si>
    <t>4</t>
  </si>
  <si>
    <t>Investor demand and scores are hypothetical. Prospectus inputs are actual offer terms; the order book is built for training only.</t>
  </si>
  <si>
    <t>BioMar IPO Bookbuild Model | Deal Inputs</t>
  </si>
  <si>
    <t>Illustrative training model. Hardcoded blue cells can be changed; formulas are black/green links.</t>
  </si>
  <si>
    <t>Core IPO parameters</t>
  </si>
  <si>
    <t>Input</t>
  </si>
  <si>
    <t>Unit</t>
  </si>
  <si>
    <t>Source / note</t>
  </si>
  <si>
    <t>Key output</t>
  </si>
  <si>
    <t>Formula</t>
  </si>
  <si>
    <t>Offer price range low</t>
  </si>
  <si>
    <t>Offering Circular, Offer Price Range</t>
  </si>
  <si>
    <t>Base offer value at selected price</t>
  </si>
  <si>
    <t>Offer price range high</t>
  </si>
  <si>
    <t>Primary proceeds</t>
  </si>
  <si>
    <t>User / scenario input</t>
  </si>
  <si>
    <t>New shares</t>
  </si>
  <si>
    <t>Company offering up to 500,000 new shares</t>
  </si>
  <si>
    <t>Max offer shares incl. greenshoe</t>
  </si>
  <si>
    <t>Existing offer shares</t>
  </si>
  <si>
    <t>Selling Shareholder offering up to 24.7m existing shares</t>
  </si>
  <si>
    <t>Max offer value incl. greenshoe</t>
  </si>
  <si>
    <t>New + existing offer shares</t>
  </si>
  <si>
    <t>Overallotment / greenshoe shares</t>
  </si>
  <si>
    <t>Option shares to cover over-allotments / shorts</t>
  </si>
  <si>
    <t>Cornerstone % of base offer value</t>
  </si>
  <si>
    <t>ATP, Danske AM, DNB AM, Nykredit AM, TIND AM</t>
  </si>
  <si>
    <t>Primary % of base offer</t>
  </si>
  <si>
    <t>Nominal value per share</t>
  </si>
  <si>
    <t>Secondary % of base offer</t>
  </si>
  <si>
    <t>Current shares before IPO</t>
  </si>
  <si>
    <t>Selling shareholder holds 100m shares pre-offering</t>
  </si>
  <si>
    <t>Post-offer registered share capital</t>
  </si>
  <si>
    <t>Base offer shares + overallotment option</t>
  </si>
  <si>
    <t>Model controls</t>
  </si>
  <si>
    <t>Control</t>
  </si>
  <si>
    <t>Use in model</t>
  </si>
  <si>
    <t>Threshold</t>
  </si>
  <si>
    <t>Note</t>
  </si>
  <si>
    <t>Minimum headline coverage</t>
  </si>
  <si>
    <t>x</t>
  </si>
  <si>
    <t>Red flag if book is too thin</t>
  </si>
  <si>
    <t>Good quality-adjusted coverage</t>
  </si>
  <si>
    <t>Quality-adjusted demand / deal value</t>
  </si>
  <si>
    <t>Preferred headline coverage</t>
  </si>
  <si>
    <t>Useful allocation optionality</t>
  </si>
  <si>
    <t>Preferred sticky demand share</t>
  </si>
  <si>
    <t>Share of demand from sticky investors</t>
  </si>
  <si>
    <t>Target first-day IPO return</t>
  </si>
  <si>
    <t>%</t>
  </si>
  <si>
    <t>Illustrative, not used as hard assumption</t>
  </si>
  <si>
    <t>Max fast-money share</t>
  </si>
  <si>
    <t>Used qualitatively in scorecard</t>
  </si>
  <si>
    <t>Investor Master | Account Quality &amp; Allocation Priority</t>
  </si>
  <si>
    <t>Illustrative investor universe for BioMar IPO. Scores are hypothetical training assumptions, not confirmed orders.</t>
  </si>
  <si>
    <t>Investor scoring framework</t>
  </si>
  <si>
    <t>Investor</t>
  </si>
  <si>
    <t>Region</t>
  </si>
  <si>
    <t>Type</t>
  </si>
  <si>
    <t>Mandate</t>
  </si>
  <si>
    <t>Cornerstone?</t>
  </si>
  <si>
    <t>Relationship
strength</t>
  </si>
  <si>
    <t>Quality
score</t>
  </si>
  <si>
    <t>Stickiness</t>
  </si>
  <si>
    <t>Price
discipline</t>
  </si>
  <si>
    <t>Flip risk</t>
  </si>
  <si>
    <t>Allocation
priority</t>
  </si>
  <si>
    <t>Notes</t>
  </si>
  <si>
    <t>ATP</t>
  </si>
  <si>
    <t>Denmark</t>
  </si>
  <si>
    <t>Pension / Long-only</t>
  </si>
  <si>
    <t>Nordic equities / pension capital</t>
  </si>
  <si>
    <t>Yes</t>
  </si>
  <si>
    <t>Cornerstone; high signalling value</t>
  </si>
  <si>
    <t>Danske Bank Asset Management</t>
  </si>
  <si>
    <t>Nordic Long-only</t>
  </si>
  <si>
    <t>Danish/Nordic equities</t>
  </si>
  <si>
    <t>Cornerstone; local distribution signal</t>
  </si>
  <si>
    <t>DNB Asset Management</t>
  </si>
  <si>
    <t>Norway</t>
  </si>
  <si>
    <t>Nordic equities</t>
  </si>
  <si>
    <t>Cornerstone; Norwegian/Nordic account</t>
  </si>
  <si>
    <t>Nykredit Asset Management</t>
  </si>
  <si>
    <t>Cornerstone; sticky domestic account</t>
  </si>
  <si>
    <t>TIND Asset Management</t>
  </si>
  <si>
    <t>Nordics</t>
  </si>
  <si>
    <t>Quality / growth</t>
  </si>
  <si>
    <t>Cornerstone; quality-growth profile</t>
  </si>
  <si>
    <t>PFA Pension</t>
  </si>
  <si>
    <t>Danish listed equities</t>
  </si>
  <si>
    <t>No</t>
  </si>
  <si>
    <t>Likely relevant due to long-term Danish allocation</t>
  </si>
  <si>
    <t>Velliv</t>
  </si>
  <si>
    <t>Sticky pension capital</t>
  </si>
  <si>
    <t>Danica Pension</t>
  </si>
  <si>
    <t>Danish equities</t>
  </si>
  <si>
    <t>Domestic pension investor</t>
  </si>
  <si>
    <t>Sampension</t>
  </si>
  <si>
    <t>Domestic long-only</t>
  </si>
  <si>
    <t>KLP Kapitalforvaltning</t>
  </si>
  <si>
    <t>ESG / Nordic equities</t>
  </si>
  <si>
    <t>Sustainability angle</t>
  </si>
  <si>
    <t>Storebrand Asset Management</t>
  </si>
  <si>
    <t>ESG Long-only</t>
  </si>
  <si>
    <t>ESG-quality account</t>
  </si>
  <si>
    <t>Folketrygdfondet</t>
  </si>
  <si>
    <t>Nordic public equities</t>
  </si>
  <si>
    <t>Large Nordic institutional account</t>
  </si>
  <si>
    <t>AMF Pension</t>
  </si>
  <si>
    <t>Sweden</t>
  </si>
  <si>
    <t>Swedish pension capital</t>
  </si>
  <si>
    <t>Alecta</t>
  </si>
  <si>
    <t>Long-term listed equities</t>
  </si>
  <si>
    <t>Long-term institutional</t>
  </si>
  <si>
    <t>Swedbank Robur</t>
  </si>
  <si>
    <t>Nordic equity funds</t>
  </si>
  <si>
    <t>Large Nordic fund platform</t>
  </si>
  <si>
    <t>SEB Investment Management</t>
  </si>
  <si>
    <t>Regional distribution</t>
  </si>
  <si>
    <t>BlackRock</t>
  </si>
  <si>
    <t>Global</t>
  </si>
  <si>
    <t>Global Long-only</t>
  </si>
  <si>
    <t>Global equities / index + active</t>
  </si>
  <si>
    <t>Global demand via MS distribution</t>
  </si>
  <si>
    <t>Fidelity</t>
  </si>
  <si>
    <t>Quality compounders</t>
  </si>
  <si>
    <t>Global quality account</t>
  </si>
  <si>
    <t>Capital Group</t>
  </si>
  <si>
    <t>Long-duration equities</t>
  </si>
  <si>
    <t>Potential anchor if convinced</t>
  </si>
  <si>
    <t>Wellington Management</t>
  </si>
  <si>
    <t>Global institutional</t>
  </si>
  <si>
    <t>Global institutional long-only</t>
  </si>
  <si>
    <t>Norges Bank IM</t>
  </si>
  <si>
    <t>Sovereign wealth / broad listed equity</t>
  </si>
  <si>
    <t>Large index/active potential after listing</t>
  </si>
  <si>
    <t>Event-driven HF A</t>
  </si>
  <si>
    <t>Hedge Fund</t>
  </si>
  <si>
    <t>IPO / event-driven</t>
  </si>
  <si>
    <t>Likely price-sensitive / flip risk</t>
  </si>
  <si>
    <t>IPO Hedge Fund B</t>
  </si>
  <si>
    <t>IPO aftermarket trading</t>
  </si>
  <si>
    <t>Useful liquidity but lower allocation priority</t>
  </si>
  <si>
    <t>Nordic Small Cap Fund</t>
  </si>
  <si>
    <t>Nordic mid-cap growth</t>
  </si>
  <si>
    <t>Potential incremental order</t>
  </si>
  <si>
    <t>Sector Specialist Fund</t>
  </si>
  <si>
    <t>Sector Specialist</t>
  </si>
  <si>
    <t>Food / agri / aquaculture</t>
  </si>
  <si>
    <t>High sector relevance</t>
  </si>
  <si>
    <t>Order Book | Indications of Interest by Price</t>
  </si>
  <si>
    <t>Demand is shown in mDKK by price point. Blue cells are illustrative manual order indications. Totals feed the demand curve and pricing scorecard.</t>
  </si>
  <si>
    <t>Indicated demand by investor and offer price</t>
  </si>
  <si>
    <t>Priority</t>
  </si>
  <si>
    <t>Total
indicated</t>
  </si>
  <si>
    <t>Quality-adj. demand</t>
  </si>
  <si>
    <t>Quality-adj. coverage</t>
  </si>
  <si>
    <t>Long-only + pension demand</t>
  </si>
  <si>
    <t>Hedge fund demand</t>
  </si>
  <si>
    <t>Demand Curve | Coverage, Quality and Pricing Diagnostics</t>
  </si>
  <si>
    <t>This tab converts mDKK demand into coverage vs. deal value. It is the central pricing diagnostic.</t>
  </si>
  <si>
    <t>Demand curve by offer price</t>
  </si>
  <si>
    <t>Total demand
(mDKK)</t>
  </si>
  <si>
    <t>Deal value
(mDKK)</t>
  </si>
  <si>
    <t>Demand
(m shares)</t>
  </si>
  <si>
    <t>Quality-adj.
coverage</t>
  </si>
  <si>
    <t>Sticky demand
share</t>
  </si>
  <si>
    <t>Long-only
demand</t>
  </si>
  <si>
    <t>Fast-money
demand</t>
  </si>
  <si>
    <t>Demand
uplift</t>
  </si>
  <si>
    <t>Allocation Model | Proposed Investor Allocations</t>
  </si>
  <si>
    <t>Allocation is illustrative: allocations are weighted by investor priority and demand at the selected IPO price.</t>
  </si>
  <si>
    <t>Selected pricing scenario</t>
  </si>
  <si>
    <t>Linked from deal inputs</t>
  </si>
  <si>
    <t>Selected price x base offer shares</t>
  </si>
  <si>
    <t>Proposed allocation by investor</t>
  </si>
  <si>
    <t>Demand at
selected price</t>
  </si>
  <si>
    <t>Eligible</t>
  </si>
  <si>
    <t>Weighted
demand</t>
  </si>
  <si>
    <t>Proposed
allocation</t>
  </si>
  <si>
    <t>Allocated
shares</t>
  </si>
  <si>
    <t>% of offer</t>
  </si>
  <si>
    <t>Demand fill</t>
  </si>
  <si>
    <t>Status</t>
  </si>
  <si>
    <t>Comment</t>
  </si>
  <si>
    <t>Total</t>
  </si>
  <si>
    <t>Check vs deal value</t>
  </si>
  <si>
    <t>Allocation gap</t>
  </si>
  <si>
    <t>Pricing Scorecard | Clearing Price Decision Support</t>
  </si>
  <si>
    <t>This scorecard converts book quality into a pricing recommendation. It is illustrative, not a legal or actual IPO pricing model.</t>
  </si>
  <si>
    <t>Score weights</t>
  </si>
  <si>
    <t>Criterion</t>
  </si>
  <si>
    <t>Weight</t>
  </si>
  <si>
    <t>Higher is better?</t>
  </si>
  <si>
    <t>Logic</t>
  </si>
  <si>
    <t>Headline coverage</t>
  </si>
  <si>
    <t>Book depth and execution certainty</t>
  </si>
  <si>
    <t>Long-term capital / lower flip risk</t>
  </si>
  <si>
    <t>Aftermarket stability</t>
  </si>
  <si>
    <t>Offer price</t>
  </si>
  <si>
    <t>Seller proceeds maximisation</t>
  </si>
  <si>
    <t>Pricing score by offer price</t>
  </si>
  <si>
    <t>Coverage
score</t>
  </si>
  <si>
    <t>Sticky
share</t>
  </si>
  <si>
    <t>Sticky
score</t>
  </si>
  <si>
    <t>Price
score</t>
  </si>
  <si>
    <t>Overall
score</t>
  </si>
  <si>
    <t>Selected?</t>
  </si>
  <si>
    <t>Model Checks | IPO Bookbuild QC</t>
  </si>
  <si>
    <t>Checks</t>
  </si>
  <si>
    <t>Check</t>
  </si>
  <si>
    <t>Formula / logic</t>
  </si>
  <si>
    <t>Tolerance</t>
  </si>
  <si>
    <t>Base offer shares tie</t>
  </si>
  <si>
    <t>New shares + existing shares = base offer shares</t>
  </si>
  <si>
    <t>Should be zero</t>
  </si>
  <si>
    <t>Max offer shares tie</t>
  </si>
  <si>
    <t>Base shares + greenshoe = max offer shares</t>
  </si>
  <si>
    <t>Selected price in range</t>
  </si>
  <si>
    <t>Selected price between low and high</t>
  </si>
  <si>
    <t>Boolean</t>
  </si>
  <si>
    <t>Allocation value tie</t>
  </si>
  <si>
    <t>Allocated mDKK = deal value</t>
  </si>
  <si>
    <t>Should be close to zero</t>
  </si>
  <si>
    <t>Allocation shares tie</t>
  </si>
  <si>
    <t>Allocated shares = base offer shares</t>
  </si>
  <si>
    <t>Order book selected price coverage</t>
  </si>
  <si>
    <t>Selected price demand / deal value</t>
  </si>
  <si>
    <t>Must be &gt;1.0x to be covered</t>
  </si>
  <si>
    <t>Investor score min</t>
  </si>
  <si>
    <t>All quality scores &gt;=1</t>
  </si>
  <si>
    <t>Investor score max</t>
  </si>
  <si>
    <t>All quality scores &lt;=5</t>
  </si>
  <si>
    <t>Weights sum to 100%</t>
  </si>
  <si>
    <t>Scorecard weights sum to 100%</t>
  </si>
  <si>
    <t>Sources &amp; Notes</t>
  </si>
  <si>
    <t>Source log</t>
  </si>
  <si>
    <t>Source</t>
  </si>
  <si>
    <t>Used for</t>
  </si>
  <si>
    <t>URL / file</t>
  </si>
  <si>
    <t>BioMar Group A/S Offering Circular</t>
  </si>
  <si>
    <t>Uploaded PDF</t>
  </si>
  <si>
    <t>Offer size, price range, cornerstones, greenshoe, timetable</t>
  </si>
  <si>
    <t>prospectus_2026.pdf</t>
  </si>
  <si>
    <t>Uploaded in this ChatGPT conversation</t>
  </si>
  <si>
    <t>BioMar investor IPO page</t>
  </si>
  <si>
    <t>Public IR page</t>
  </si>
  <si>
    <t>Prospectus location / IPO documents</t>
  </si>
  <si>
    <t>https://investors.biomar.com/ipo</t>
  </si>
  <si>
    <t>Plain URL for traceability</t>
  </si>
  <si>
    <t>Model authoring note</t>
  </si>
  <si>
    <t>Internal</t>
  </si>
  <si>
    <t>Investor demand, scores and allocations</t>
  </si>
  <si>
    <t>N/A</t>
  </si>
  <si>
    <t>All order book demand and investor scores are illustrative training assumptions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</si>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</sst>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;[Red]\(#,##0.0\);\-"/>
    <numFmt numFmtId="165" formatCode="0.0%;[Red]\(0.0%\);\-"/>
    <numFmt numFmtId="166" formatCode="0.00\x;[Red]\(0.00\x\);\-"/>
    <numFmt numFmtId="167" formatCode="0;[Red]\(0\);\-"/>
    <numFmt numFmtId="168" formatCode="#,##0;[Red]\(#,##0\);\-"/>
  </numFmts>
  <fonts count="10">
    <font>
      <sz val="11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color rgb="FF0000FF"/>
      <name val="Carlito"/>
    </font>
    <font>
      <sz val="11"/>
      <color rgb="FF000000"/>
      <name val="Carlito"/>
    </font>
    <font>
      <sz val="11"/>
      <color rgb="FF008000"/>
      <name val="Carlito"/>
    </font>
    <font>
      <b/>
      <sz val="11"/>
      <name val="Carlito"/>
    </font>
    <font>
      <b/>
      <sz val="11"/>
      <color rgb="FF0B1F3A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0B1F3A"/>
      </patternFill>
    </fill>
    <fill>
      <patternFill patternType="solid">
        <fgColor rgb="FFD9E1F2"/>
      </patternFill>
    </fill>
  </fills>
  <borders count="24">
    <border>
      <left/>
      <right/>
      <top/>
      <bottom/>
      <diagonal/>
    </border>
    <border>
      <left style="thin">
        <color rgb="FF0B1F3A"/>
      </left>
      <right/>
      <top style="thin">
        <color rgb="FF0B1F3A"/>
      </top>
      <bottom style="thin">
        <color rgb="FF0B1F3A"/>
      </bottom>
      <diagonal/>
    </border>
    <border>
      <left/>
      <right/>
      <top style="thin">
        <color rgb="FF0B1F3A"/>
      </top>
      <bottom style="thin">
        <color rgb="FF0B1F3A"/>
      </bottom>
      <diagonal/>
    </border>
    <border>
      <left/>
      <right style="thin">
        <color rgb="FF0B1F3A"/>
      </right>
      <top style="thin">
        <color rgb="FF0B1F3A"/>
      </top>
      <bottom style="thin">
        <color rgb="FF0B1F3A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/>
      <top style="thin">
        <color rgb="FFBFBFBF"/>
      </top>
      <bottom style="thin">
        <color rgb="FF999999"/>
      </bottom>
      <diagonal/>
    </border>
    <border>
      <left/>
      <right/>
      <top style="thin">
        <color rgb="FFBFBFBF"/>
      </top>
      <bottom style="thin">
        <color rgb="FF999999"/>
      </bottom>
      <diagonal/>
    </border>
    <border>
      <left/>
      <right style="thin">
        <color rgb="FFBFBFBF"/>
      </right>
      <top style="thin">
        <color rgb="FFBFBFBF"/>
      </top>
      <bottom style="thin">
        <color rgb="FF999999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0B1F3A"/>
      </bottom>
      <diagonal/>
    </border>
    <border>
      <left/>
      <right/>
      <top style="thin">
        <color rgb="FFBFBFBF"/>
      </top>
      <bottom style="thin">
        <color rgb="FF0B1F3A"/>
      </bottom>
      <diagonal/>
    </border>
    <border>
      <left/>
      <right style="thin">
        <color rgb="FFBFBFBF"/>
      </right>
      <top style="thin">
        <color rgb="FFBFBFBF"/>
      </top>
      <bottom style="thin">
        <color rgb="FF0B1F3A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64" fontId="5" fillId="4" borderId="0" xfId="0" applyNumberFormat="1" applyFont="1" applyFill="1"/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166" fontId="5" fillId="4" borderId="0" xfId="0" applyNumberFormat="1" applyFont="1" applyFill="1"/>
    <xf numFmtId="165" fontId="5" fillId="4" borderId="0" xfId="0" applyNumberFormat="1" applyFont="1" applyFill="1"/>
    <xf numFmtId="167" fontId="5" fillId="4" borderId="0" xfId="0" applyNumberFormat="1" applyFont="1" applyFill="1"/>
    <xf numFmtId="167" fontId="5" fillId="4" borderId="13" xfId="0" applyNumberFormat="1" applyFont="1" applyFill="1" applyBorder="1"/>
    <xf numFmtId="168" fontId="5" fillId="4" borderId="0" xfId="0" applyNumberFormat="1" applyFont="1" applyFill="1"/>
    <xf numFmtId="165" fontId="5" fillId="4" borderId="13" xfId="0" applyNumberFormat="1" applyFont="1" applyFill="1" applyBorder="1"/>
    <xf numFmtId="0" fontId="0" fillId="5" borderId="0" xfId="0" applyFill="1"/>
    <xf numFmtId="0" fontId="2" fillId="5" borderId="0" xfId="0" applyFont="1" applyFill="1"/>
    <xf numFmtId="0" fontId="0" fillId="5" borderId="18" xfId="0" applyFill="1" applyBorder="1"/>
    <xf numFmtId="0" fontId="7" fillId="5" borderId="19" xfId="0" applyFont="1" applyFill="1" applyBorder="1"/>
    <xf numFmtId="0" fontId="0" fillId="5" borderId="19" xfId="0" applyFill="1" applyBorder="1"/>
    <xf numFmtId="0" fontId="0" fillId="5" borderId="20" xfId="0" applyFill="1" applyBorder="1"/>
    <xf numFmtId="0" fontId="0" fillId="5" borderId="10" xfId="0" applyFill="1" applyBorder="1"/>
    <xf numFmtId="164" fontId="7" fillId="5" borderId="0" xfId="0" applyNumberFormat="1" applyFont="1" applyFill="1"/>
    <xf numFmtId="0" fontId="0" fillId="5" borderId="11" xfId="0" applyFill="1" applyBorder="1"/>
    <xf numFmtId="168" fontId="7" fillId="5" borderId="0" xfId="0" applyNumberFormat="1" applyFont="1" applyFill="1"/>
    <xf numFmtId="0" fontId="7" fillId="5" borderId="0" xfId="0" applyFont="1" applyFill="1"/>
    <xf numFmtId="166" fontId="7" fillId="5" borderId="0" xfId="0" applyNumberFormat="1" applyFont="1" applyFill="1"/>
    <xf numFmtId="165" fontId="7" fillId="5" borderId="0" xfId="0" applyNumberFormat="1" applyFont="1" applyFill="1"/>
    <xf numFmtId="0" fontId="0" fillId="5" borderId="12" xfId="0" applyFill="1" applyBorder="1"/>
    <xf numFmtId="165" fontId="7" fillId="5" borderId="13" xfId="0" applyNumberFormat="1" applyFont="1" applyFill="1" applyBorder="1"/>
    <xf numFmtId="0" fontId="7" fillId="5" borderId="13" xfId="0" applyFont="1" applyFill="1" applyBorder="1"/>
    <xf numFmtId="0" fontId="0" fillId="5" borderId="14" xfId="0" applyFill="1" applyBorder="1"/>
    <xf numFmtId="168" fontId="7" fillId="5" borderId="13" xfId="0" applyNumberFormat="1" applyFont="1" applyFill="1" applyBorder="1"/>
    <xf numFmtId="0" fontId="0" fillId="5" borderId="13" xfId="0" applyFill="1" applyBorder="1"/>
    <xf numFmtId="0" fontId="7" fillId="5" borderId="10" xfId="0" applyFont="1" applyFill="1" applyBorder="1"/>
    <xf numFmtId="0" fontId="7" fillId="5" borderId="11" xfId="0" applyFont="1" applyFill="1" applyBorder="1"/>
    <xf numFmtId="0" fontId="7" fillId="5" borderId="12" xfId="0" applyFont="1" applyFill="1" applyBorder="1"/>
    <xf numFmtId="166" fontId="7" fillId="5" borderId="13" xfId="0" applyNumberFormat="1" applyFont="1" applyFill="1" applyBorder="1"/>
    <xf numFmtId="0" fontId="7" fillId="5" borderId="14" xfId="0" applyFont="1" applyFill="1" applyBorder="1"/>
    <xf numFmtId="164" fontId="6" fillId="5" borderId="11" xfId="0" applyNumberFormat="1" applyFont="1" applyFill="1" applyBorder="1"/>
    <xf numFmtId="164" fontId="6" fillId="5" borderId="0" xfId="0" applyNumberFormat="1" applyFont="1" applyFill="1"/>
    <xf numFmtId="165" fontId="6" fillId="5" borderId="11" xfId="0" applyNumberFormat="1" applyFont="1" applyFill="1" applyBorder="1"/>
    <xf numFmtId="167" fontId="6" fillId="5" borderId="0" xfId="0" applyNumberFormat="1" applyFont="1" applyFill="1"/>
    <xf numFmtId="167" fontId="6" fillId="5" borderId="13" xfId="0" applyNumberFormat="1" applyFont="1" applyFill="1" applyBorder="1"/>
    <xf numFmtId="168" fontId="6" fillId="5" borderId="11" xfId="0" applyNumberFormat="1" applyFont="1" applyFill="1" applyBorder="1"/>
    <xf numFmtId="0" fontId="8" fillId="5" borderId="16" xfId="0" applyFont="1" applyFill="1" applyBorder="1"/>
    <xf numFmtId="0" fontId="8" fillId="5" borderId="15" xfId="0" applyFont="1" applyFill="1" applyBorder="1"/>
    <xf numFmtId="168" fontId="4" fillId="5" borderId="15" xfId="0" applyNumberFormat="1" applyFont="1" applyFill="1" applyBorder="1"/>
    <xf numFmtId="0" fontId="8" fillId="5" borderId="17" xfId="0" applyFont="1" applyFill="1" applyBorder="1"/>
    <xf numFmtId="0" fontId="8" fillId="5" borderId="10" xfId="0" applyFont="1" applyFill="1" applyBorder="1"/>
    <xf numFmtId="0" fontId="8" fillId="5" borderId="0" xfId="0" applyFont="1" applyFill="1"/>
    <xf numFmtId="168" fontId="4" fillId="5" borderId="0" xfId="0" applyNumberFormat="1" applyFont="1" applyFill="1"/>
    <xf numFmtId="0" fontId="8" fillId="5" borderId="11" xfId="0" applyFont="1" applyFill="1" applyBorder="1"/>
    <xf numFmtId="166" fontId="4" fillId="5" borderId="0" xfId="0" applyNumberFormat="1" applyFont="1" applyFill="1"/>
    <xf numFmtId="0" fontId="8" fillId="5" borderId="12" xfId="0" applyFont="1" applyFill="1" applyBorder="1"/>
    <xf numFmtId="0" fontId="8" fillId="5" borderId="13" xfId="0" applyFont="1" applyFill="1" applyBorder="1"/>
    <xf numFmtId="168" fontId="4" fillId="5" borderId="13" xfId="0" applyNumberFormat="1" applyFont="1" applyFill="1" applyBorder="1"/>
    <xf numFmtId="0" fontId="8" fillId="5" borderId="14" xfId="0" applyFont="1" applyFill="1" applyBorder="1"/>
    <xf numFmtId="164" fontId="7" fillId="5" borderId="13" xfId="0" applyNumberFormat="1" applyFont="1" applyFill="1" applyBorder="1"/>
    <xf numFmtId="167" fontId="7" fillId="5" borderId="0" xfId="0" applyNumberFormat="1" applyFont="1" applyFill="1"/>
    <xf numFmtId="168" fontId="6" fillId="5" borderId="0" xfId="0" applyNumberFormat="1" applyFont="1" applyFill="1"/>
    <xf numFmtId="165" fontId="6" fillId="5" borderId="0" xfId="0" applyNumberFormat="1" applyFont="1" applyFill="1"/>
    <xf numFmtId="0" fontId="6" fillId="5" borderId="0" xfId="0" applyFont="1" applyFill="1"/>
    <xf numFmtId="168" fontId="0" fillId="5" borderId="0" xfId="0" applyNumberFormat="1" applyFill="1"/>
    <xf numFmtId="164" fontId="0" fillId="5" borderId="0" xfId="0" applyNumberFormat="1" applyFill="1"/>
    <xf numFmtId="165" fontId="0" fillId="5" borderId="0" xfId="0" applyNumberFormat="1" applyFill="1"/>
    <xf numFmtId="168" fontId="8" fillId="5" borderId="15" xfId="0" applyNumberFormat="1" applyFont="1" applyFill="1" applyBorder="1"/>
    <xf numFmtId="164" fontId="8" fillId="5" borderId="15" xfId="0" applyNumberFormat="1" applyFont="1" applyFill="1" applyBorder="1"/>
    <xf numFmtId="165" fontId="8" fillId="5" borderId="15" xfId="0" applyNumberFormat="1" applyFont="1" applyFill="1" applyBorder="1"/>
    <xf numFmtId="168" fontId="0" fillId="5" borderId="13" xfId="0" applyNumberFormat="1" applyFill="1" applyBorder="1"/>
    <xf numFmtId="164" fontId="0" fillId="5" borderId="13" xfId="0" applyNumberFormat="1" applyFill="1" applyBorder="1"/>
    <xf numFmtId="165" fontId="0" fillId="5" borderId="13" xfId="0" applyNumberFormat="1" applyFill="1" applyBorder="1"/>
    <xf numFmtId="0" fontId="9" fillId="5" borderId="18" xfId="0" applyFont="1" applyFill="1" applyBorder="1" applyAlignment="1">
      <alignment wrapText="1"/>
    </xf>
    <xf numFmtId="0" fontId="9" fillId="5" borderId="10" xfId="0" applyFont="1" applyFill="1" applyBorder="1" applyAlignment="1">
      <alignment wrapText="1"/>
    </xf>
    <xf numFmtId="0" fontId="9" fillId="5" borderId="12" xfId="0" applyFont="1" applyFill="1" applyBorder="1" applyAlignment="1">
      <alignment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left" vertical="center"/>
    </xf>
    <xf numFmtId="0" fontId="3" fillId="6" borderId="21" xfId="0" applyFont="1" applyFill="1" applyBorder="1" applyAlignment="1">
      <alignment horizontal="left" vertical="center"/>
    </xf>
    <xf numFmtId="0" fontId="3" fillId="6" borderId="22" xfId="0" applyFont="1" applyFill="1" applyBorder="1" applyAlignment="1">
      <alignment horizontal="left" vertical="center"/>
    </xf>
    <xf numFmtId="0" fontId="3" fillId="6" borderId="23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5" borderId="20" xfId="0" applyFont="1" applyFill="1" applyBorder="1" applyAlignment="1">
      <alignment wrapText="1"/>
    </xf>
    <xf numFmtId="0" fontId="6" fillId="5" borderId="0" xfId="0" applyFont="1" applyFill="1" applyAlignment="1">
      <alignment wrapText="1"/>
    </xf>
    <xf numFmtId="0" fontId="6" fillId="5" borderId="11" xfId="0" applyFont="1" applyFill="1" applyBorder="1" applyAlignment="1">
      <alignment wrapText="1"/>
    </xf>
    <xf numFmtId="0" fontId="6" fillId="5" borderId="14" xfId="0" applyFont="1" applyFill="1" applyBorder="1" applyAlignment="1">
      <alignment wrapText="1"/>
    </xf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color rgb="FFC00000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666666"/>
      </font>
      <fill>
        <patternFill>
          <bgColor rgb="FFE7E6E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Demand curve and deal value by IPO price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Total demand (mDKK)</c:v>
          </c:tx>
          <c:spPr>
            <a:ln w="19050"/>
          </c:spPr>
          <c:cat>
            <c:numRef>
              <c:f>'00_Dashboard'!$A$15:$A$23</c:f>
              <c:numCache>
                <c:formatCode>General</c:formatCode>
                <c:ptCount val="9"/>
                <c:pt idx="0">
                  <c:v>108</c:v>
                </c:pt>
                <c:pt idx="1">
                  <c:v>107</c:v>
                </c:pt>
                <c:pt idx="2">
                  <c:v>106</c:v>
                </c:pt>
                <c:pt idx="3">
                  <c:v>105</c:v>
                </c:pt>
                <c:pt idx="4">
                  <c:v>104</c:v>
                </c:pt>
                <c:pt idx="5">
                  <c:v>103</c:v>
                </c:pt>
                <c:pt idx="6">
                  <c:v>102</c:v>
                </c:pt>
                <c:pt idx="7">
                  <c:v>101</c:v>
                </c:pt>
                <c:pt idx="8">
                  <c:v>100</c:v>
                </c:pt>
              </c:numCache>
            </c:numRef>
          </c:cat>
          <c:val>
            <c:numRef>
              <c:f>'00_Dashboard'!$B$15:$B$23</c:f>
              <c:numCache>
                <c:formatCode>#,##0;[Red]\(#,##0\);\-</c:formatCode>
                <c:ptCount val="9"/>
                <c:pt idx="0">
                  <c:v>2980</c:v>
                </c:pt>
                <c:pt idx="1">
                  <c:v>4235</c:v>
                </c:pt>
                <c:pt idx="2">
                  <c:v>5940</c:v>
                </c:pt>
                <c:pt idx="3">
                  <c:v>7945</c:v>
                </c:pt>
                <c:pt idx="4">
                  <c:v>10130</c:v>
                </c:pt>
                <c:pt idx="5">
                  <c:v>12120</c:v>
                </c:pt>
                <c:pt idx="6">
                  <c:v>14020</c:v>
                </c:pt>
                <c:pt idx="7">
                  <c:v>15780</c:v>
                </c:pt>
                <c:pt idx="8">
                  <c:v>17390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08-7E47-ACFF-144B970AE14B}"/>
            </c:ext>
          </c:extLst>
        </c:ser>
        <c:ser>
          <c:idx val="1"/>
          <c:order val="1"/>
          <c:tx>
            <c:v>Deal value (mDKK)</c:v>
          </c:tx>
          <c:spPr>
            <a:ln w="22225"/>
          </c:spPr>
          <c:cat>
            <c:numRef>
              <c:f>'00_Dashboard'!$A$15:$A$23</c:f>
              <c:numCache>
                <c:formatCode>General</c:formatCode>
                <c:ptCount val="9"/>
                <c:pt idx="0">
                  <c:v>108</c:v>
                </c:pt>
                <c:pt idx="1">
                  <c:v>107</c:v>
                </c:pt>
                <c:pt idx="2">
                  <c:v>106</c:v>
                </c:pt>
                <c:pt idx="3">
                  <c:v>105</c:v>
                </c:pt>
                <c:pt idx="4">
                  <c:v>104</c:v>
                </c:pt>
                <c:pt idx="5">
                  <c:v>103</c:v>
                </c:pt>
                <c:pt idx="6">
                  <c:v>102</c:v>
                </c:pt>
                <c:pt idx="7">
                  <c:v>101</c:v>
                </c:pt>
                <c:pt idx="8">
                  <c:v>100</c:v>
                </c:pt>
              </c:numCache>
            </c:numRef>
          </c:cat>
          <c:val>
            <c:numRef>
              <c:f>'00_Dashboard'!$C$15:$C$23</c:f>
              <c:numCache>
                <c:formatCode>#,##0;[Red]\(#,##0\);\-</c:formatCode>
                <c:ptCount val="9"/>
                <c:pt idx="0">
                  <c:v>2721.6</c:v>
                </c:pt>
                <c:pt idx="1">
                  <c:v>2696.4</c:v>
                </c:pt>
                <c:pt idx="2">
                  <c:v>2671.2</c:v>
                </c:pt>
                <c:pt idx="3">
                  <c:v>2646</c:v>
                </c:pt>
                <c:pt idx="4">
                  <c:v>2620.7999999999997</c:v>
                </c:pt>
                <c:pt idx="5">
                  <c:v>2595.6</c:v>
                </c:pt>
                <c:pt idx="6">
                  <c:v>2570.4</c:v>
                </c:pt>
                <c:pt idx="7">
                  <c:v>2545.1999999999998</c:v>
                </c:pt>
                <c:pt idx="8">
                  <c:v>2520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8-7E47-ACFF-144B970AE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GB"/>
                  <a:t>Offer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GB"/>
                  <a:t>mDKK</a:t>
                </a:r>
              </a:p>
            </c:rich>
          </c:tx>
          <c:overlay val="0"/>
        </c:title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27</xdr:row>
      <xdr:rowOff>0</xdr:rowOff>
    </xdr:from>
    <xdr:ext cx="10668000" cy="42164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storMasterTbl" displayName="InvestorMasterTbl" ref="A6:L31">
  <tableColumns count="12">
    <tableColumn id="1" xr3:uid="{00000000-0010-0000-0000-000001000000}" name="Investor"/>
    <tableColumn id="2" xr3:uid="{00000000-0010-0000-0000-000002000000}" name="Region"/>
    <tableColumn id="3" xr3:uid="{00000000-0010-0000-0000-000003000000}" name="Type"/>
    <tableColumn id="4" xr3:uid="{00000000-0010-0000-0000-000004000000}" name="Mandate"/>
    <tableColumn id="5" xr3:uid="{00000000-0010-0000-0000-000005000000}" name="Cornerstone?"/>
    <tableColumn id="6" xr3:uid="{00000000-0010-0000-0000-000006000000}" name="Relationship_x000a_strength"/>
    <tableColumn id="7" xr3:uid="{00000000-0010-0000-0000-000007000000}" name="Quality_x000a_score"/>
    <tableColumn id="8" xr3:uid="{00000000-0010-0000-0000-000008000000}" name="Stickiness"/>
    <tableColumn id="9" xr3:uid="{00000000-0010-0000-0000-000009000000}" name="Price_x000a_discipline"/>
    <tableColumn id="10" xr3:uid="{00000000-0010-0000-0000-00000A000000}" name="Flip risk"/>
    <tableColumn id="11" xr3:uid="{00000000-0010-0000-0000-00000B000000}" name="Allocation_x000a_priority"/>
    <tableColumn id="12" xr3:uid="{00000000-0010-0000-0000-00000C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BookTbl" displayName="OrderBookTbl" ref="A6:N31">
  <tableColumns count="14">
    <tableColumn id="1" xr3:uid="{00000000-0010-0000-0100-000001000000}" name="Investor"/>
    <tableColumn id="2" xr3:uid="{00000000-0010-0000-0100-000002000000}" name="Type"/>
    <tableColumn id="3" xr3:uid="{00000000-0010-0000-0100-000003000000}" name="Region"/>
    <tableColumn id="4" xr3:uid="{00000000-0010-0000-0100-000004000000}" name="Priority"/>
    <tableColumn id="5" xr3:uid="{00000000-0010-0000-0100-000005000000}" name="108"/>
    <tableColumn id="6" xr3:uid="{00000000-0010-0000-0100-000006000000}" name="107"/>
    <tableColumn id="7" xr3:uid="{00000000-0010-0000-0100-000007000000}" name="106"/>
    <tableColumn id="8" xr3:uid="{00000000-0010-0000-0100-000008000000}" name="105"/>
    <tableColumn id="9" xr3:uid="{00000000-0010-0000-0100-000009000000}" name="104"/>
    <tableColumn id="10" xr3:uid="{00000000-0010-0000-0100-00000A000000}" name="103"/>
    <tableColumn id="11" xr3:uid="{00000000-0010-0000-0100-00000B000000}" name="102"/>
    <tableColumn id="12" xr3:uid="{00000000-0010-0000-0100-00000C000000}" name="101"/>
    <tableColumn id="13" xr3:uid="{00000000-0010-0000-0100-00000D000000}" name="100"/>
    <tableColumn id="14" xr3:uid="{00000000-0010-0000-0100-00000E000000}" name="Total_x000a_indica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mandCurveTbl" displayName="DemandCurveTbl" ref="A6:K15">
  <tableColumns count="11">
    <tableColumn id="1" xr3:uid="{00000000-0010-0000-0200-000001000000}" name="Price"/>
    <tableColumn id="2" xr3:uid="{00000000-0010-0000-0200-000002000000}" name="Total demand_x000a_(mDKK)"/>
    <tableColumn id="3" xr3:uid="{00000000-0010-0000-0200-000003000000}" name="Deal value_x000a_(mDKK)"/>
    <tableColumn id="4" xr3:uid="{00000000-0010-0000-0200-000004000000}" name="Coverage"/>
    <tableColumn id="5" xr3:uid="{00000000-0010-0000-0200-000005000000}" name="Demand_x000a_(m shares)"/>
    <tableColumn id="6" xr3:uid="{00000000-0010-0000-0200-000006000000}" name="Quality-adj._x000a_coverage"/>
    <tableColumn id="7" xr3:uid="{00000000-0010-0000-0200-000007000000}" name="Sticky demand_x000a_share"/>
    <tableColumn id="8" xr3:uid="{00000000-0010-0000-0200-000008000000}" name="Long-only_x000a_demand"/>
    <tableColumn id="9" xr3:uid="{00000000-0010-0000-0200-000009000000}" name="Fast-money_x000a_demand"/>
    <tableColumn id="10" xr3:uid="{00000000-0010-0000-0200-00000A000000}" name="Demand_x000a_uplift"/>
    <tableColumn id="11" xr3:uid="{00000000-0010-0000-0200-00000B000000}" name="Pricing re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llocationTbl" displayName="AllocationTbl" ref="A11:L36">
  <tableColumns count="12">
    <tableColumn id="1" xr3:uid="{00000000-0010-0000-0300-000001000000}" name="Investor"/>
    <tableColumn id="2" xr3:uid="{00000000-0010-0000-0300-000002000000}" name="Type"/>
    <tableColumn id="3" xr3:uid="{00000000-0010-0000-0300-000003000000}" name="Priority"/>
    <tableColumn id="4" xr3:uid="{00000000-0010-0000-0300-000004000000}" name="Demand at_x000a_selected price"/>
    <tableColumn id="5" xr3:uid="{00000000-0010-0000-0300-000005000000}" name="Eligible"/>
    <tableColumn id="6" xr3:uid="{00000000-0010-0000-0300-000006000000}" name="Weighted_x000a_demand"/>
    <tableColumn id="7" xr3:uid="{00000000-0010-0000-0300-000007000000}" name="Proposed_x000a_allocation"/>
    <tableColumn id="8" xr3:uid="{00000000-0010-0000-0300-000008000000}" name="Allocated_x000a_shares"/>
    <tableColumn id="9" xr3:uid="{00000000-0010-0000-0300-000009000000}" name="% of offer"/>
    <tableColumn id="10" xr3:uid="{00000000-0010-0000-0300-00000A000000}" name="Demand fill"/>
    <tableColumn id="11" xr3:uid="{00000000-0010-0000-0300-00000B000000}" name="Status"/>
    <tableColumn id="12" xr3:uid="{00000000-0010-0000-0300-00000C000000}" name="Com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icingScorecardTbl" displayName="PricingScorecardTbl" ref="A13:K22">
  <tableColumns count="11">
    <tableColumn id="1" xr3:uid="{00000000-0010-0000-0400-000001000000}" name="Price"/>
    <tableColumn id="2" xr3:uid="{00000000-0010-0000-0400-000002000000}" name="Coverage"/>
    <tableColumn id="3" xr3:uid="{00000000-0010-0000-0400-000003000000}" name="Coverage_x000a_score"/>
    <tableColumn id="4" xr3:uid="{00000000-0010-0000-0400-000004000000}" name="Quality-adj._x000a_coverage"/>
    <tableColumn id="5" xr3:uid="{00000000-0010-0000-0400-000005000000}" name="Quality_x000a_score"/>
    <tableColumn id="6" xr3:uid="{00000000-0010-0000-0400-000006000000}" name="Sticky_x000a_share"/>
    <tableColumn id="7" xr3:uid="{00000000-0010-0000-0400-000007000000}" name="Sticky_x000a_score"/>
    <tableColumn id="8" xr3:uid="{00000000-0010-0000-0400-000008000000}" name="Price_x000a_score"/>
    <tableColumn id="9" xr3:uid="{00000000-0010-0000-0400-000009000000}" name="Overall_x000a_score"/>
    <tableColumn id="10" xr3:uid="{00000000-0010-0000-0400-00000A000000}" name="Pricing read"/>
    <tableColumn id="11" xr3:uid="{00000000-0010-0000-0400-00000B000000}" name="Select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IB Navy">
  <a:themeElements>
    <a:clrScheme name="IB Navy">
      <a:dk1>
        <a:srgbClr val="000000"/>
      </a:dk1>
      <a:lt1>
        <a:srgbClr val="FFFFFF"/>
      </a:lt1>
      <a:dk2>
        <a:srgbClr val="0E2841"/>
      </a:dk2>
      <a:lt2>
        <a:srgbClr val="F2F2F2"/>
      </a:lt2>
      <a:accent1>
        <a:srgbClr val="0B1F3A"/>
      </a:accent1>
      <a:accent2>
        <a:srgbClr val="5B9BD5"/>
      </a:accent2>
      <a:accent3>
        <a:srgbClr val="70AD47"/>
      </a:accent3>
      <a:accent4>
        <a:srgbClr val="C00000"/>
      </a:accent4>
      <a:accent5>
        <a:srgbClr val="FFC000"/>
      </a:accent5>
      <a:accent6>
        <a:srgbClr val="A5A5A5"/>
      </a:accent6>
      <a:hlink>
        <a:srgbClr val="0563C1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IB Navy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"/>
  <sheetViews>
    <sheetView tabSelected="1" workbookViewId="0">
      <selection activeCell="O19" sqref="O19"/>
    </sheetView>
  </sheetViews>
  <sheetFormatPr baseColWidth="10" defaultColWidth="8.83203125" defaultRowHeight="14"/>
  <cols>
    <col min="1" max="1" width="16" customWidth="1"/>
    <col min="2" max="2" width="15" customWidth="1"/>
    <col min="3" max="3" width="14" customWidth="1"/>
    <col min="4" max="4" width="27" customWidth="1"/>
    <col min="5" max="5" width="15" customWidth="1"/>
    <col min="6" max="6" width="18" customWidth="1"/>
    <col min="7" max="7" width="17" customWidth="1"/>
    <col min="8" max="8" width="20" customWidth="1"/>
    <col min="9" max="9" width="19" customWidth="1"/>
    <col min="10" max="10" width="24" customWidth="1"/>
    <col min="11" max="11" width="15" customWidth="1"/>
    <col min="12" max="12" width="24" customWidth="1"/>
    <col min="13" max="13" width="3" customWidth="1"/>
  </cols>
  <sheetData>
    <row r="1" spans="1:26" ht="37.25" customHeight="1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>
      <c r="A4" s="78" t="s">
        <v>2</v>
      </c>
      <c r="B4" s="79"/>
      <c r="C4" s="79"/>
      <c r="D4" s="80"/>
      <c r="E4" s="14"/>
      <c r="F4" s="78" t="s">
        <v>3</v>
      </c>
      <c r="G4" s="79"/>
      <c r="H4" s="79"/>
      <c r="I4" s="79"/>
      <c r="J4" s="79"/>
      <c r="K4" s="79"/>
      <c r="L4" s="79"/>
      <c r="M4" s="80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6">
      <c r="A5" s="16" t="s">
        <v>4</v>
      </c>
      <c r="B5" s="17">
        <f>'01_Deal_Inputs'!B8</f>
        <v>106</v>
      </c>
      <c r="C5" s="18" t="s">
        <v>5</v>
      </c>
      <c r="D5" s="19" t="s">
        <v>6</v>
      </c>
      <c r="E5" s="14"/>
      <c r="F5" s="74" t="s">
        <v>7</v>
      </c>
      <c r="G5" s="75" t="s">
        <v>8</v>
      </c>
      <c r="H5" s="75" t="s">
        <v>9</v>
      </c>
      <c r="I5" s="75"/>
      <c r="J5" s="75" t="s">
        <v>7</v>
      </c>
      <c r="K5" s="75" t="s">
        <v>8</v>
      </c>
      <c r="L5" s="75" t="s">
        <v>9</v>
      </c>
      <c r="M5" s="76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>
      <c r="A6" s="20" t="s">
        <v>10</v>
      </c>
      <c r="B6" s="21">
        <f>'01_Deal_Inputs'!B11</f>
        <v>25.2</v>
      </c>
      <c r="C6" s="14" t="s">
        <v>11</v>
      </c>
      <c r="D6" s="22" t="s">
        <v>12</v>
      </c>
      <c r="E6" s="14"/>
      <c r="F6" s="20" t="s">
        <v>13</v>
      </c>
      <c r="G6" s="23">
        <f>INDEX('04_Demand_Curve'!B7:B15,MATCH($B$5,'04_Demand_Curve'!A7:A15,0))</f>
        <v>5940</v>
      </c>
      <c r="H6" s="24" t="str">
        <f>IF(K6&lt;1,"Not covered",IF(K6&lt;1.5,"Thin",IF(K6&lt;2,"Covered","Strong")))</f>
        <v>Strong</v>
      </c>
      <c r="I6" s="24"/>
      <c r="J6" s="24" t="s">
        <v>14</v>
      </c>
      <c r="K6" s="25">
        <f>INDEX('04_Demand_Curve'!D7:D15,MATCH($B$5,'04_Demand_Curve'!A7:A15,0))</f>
        <v>2.2237196765498655</v>
      </c>
      <c r="L6" s="24" t="str">
        <f>IF(K6&gt;=2,"Optionality",IF(K6&gt;=1,"Clears but less flexible","Reprice"))</f>
        <v>Optionality</v>
      </c>
      <c r="M6" s="22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20" t="s">
        <v>15</v>
      </c>
      <c r="B7" s="23">
        <f>'01_Deal_Inputs'!H6</f>
        <v>2671.2</v>
      </c>
      <c r="C7" s="14" t="s">
        <v>16</v>
      </c>
      <c r="D7" s="22" t="s">
        <v>17</v>
      </c>
      <c r="E7" s="14"/>
      <c r="F7" s="20" t="s">
        <v>18</v>
      </c>
      <c r="G7" s="25">
        <f ca="1">INDEX('04_Demand_Curve'!F7:F15,MATCH($B$5,'04_Demand_Curve'!A7:A15,0))</f>
        <v>1.7385444743935312</v>
      </c>
      <c r="H7" s="24" t="str">
        <f ca="1">IF(G7&gt;=1.2,"Good quality","Needs judgement")</f>
        <v>Good quality</v>
      </c>
      <c r="I7" s="24"/>
      <c r="J7" s="24" t="s">
        <v>19</v>
      </c>
      <c r="K7" s="26">
        <f>INDEX('04_Demand_Curve'!G7:G15,MATCH($B$5,'04_Demand_Curve'!A7:A15,0))</f>
        <v>0.83501683501683499</v>
      </c>
      <c r="L7" s="24" t="str">
        <f>IF(K7&gt;=0.55,"Sticky book","Watch flip risk")</f>
        <v>Sticky book</v>
      </c>
      <c r="M7" s="22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20" t="s">
        <v>20</v>
      </c>
      <c r="B8" s="23">
        <f>'01_Deal_Inputs'!H7</f>
        <v>53</v>
      </c>
      <c r="C8" s="14" t="s">
        <v>16</v>
      </c>
      <c r="D8" s="22" t="s">
        <v>21</v>
      </c>
      <c r="E8" s="14"/>
      <c r="F8" s="27" t="s">
        <v>22</v>
      </c>
      <c r="G8" s="28">
        <f>INDEX('04_Demand_Curve'!I7:I15,MATCH($B$5,'04_Demand_Curve'!A7:A15,0))/G6</f>
        <v>0.14309764309764308</v>
      </c>
      <c r="H8" s="29" t="str">
        <f>IF(G8&gt;0.25,"High fast-money share","Manageable")</f>
        <v>Manageable</v>
      </c>
      <c r="I8" s="29"/>
      <c r="J8" s="29" t="s">
        <v>23</v>
      </c>
      <c r="K8" s="29">
        <f ca="1">INDEX('06_Pricing_Scorecard'!A14:A22,MATCH(MAX('06_Pricing_Scorecard'!I14:I22),'06_Pricing_Scorecard'!I14:I22,0))</f>
        <v>106</v>
      </c>
      <c r="L8" s="29" t="str">
        <f ca="1">IF(K8=$B$5,"Selected = model best","Consider scorecard")</f>
        <v>Selected = model best</v>
      </c>
      <c r="M8" s="30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20" t="s">
        <v>24</v>
      </c>
      <c r="B9" s="23">
        <f>'01_Deal_Inputs'!H8</f>
        <v>2618.1999999999998</v>
      </c>
      <c r="C9" s="14" t="s">
        <v>16</v>
      </c>
      <c r="D9" s="22" t="s">
        <v>25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27" t="s">
        <v>26</v>
      </c>
      <c r="B10" s="31">
        <f>'01_Deal_Inputs'!B13</f>
        <v>1350</v>
      </c>
      <c r="C10" s="32" t="s">
        <v>16</v>
      </c>
      <c r="D10" s="30" t="s">
        <v>27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>
      <c r="A13" s="81" t="s">
        <v>28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56" customHeight="1">
      <c r="A14" s="74" t="s">
        <v>29</v>
      </c>
      <c r="B14" s="75" t="s">
        <v>30</v>
      </c>
      <c r="C14" s="75" t="s">
        <v>31</v>
      </c>
      <c r="D14" s="75" t="s">
        <v>14</v>
      </c>
      <c r="E14" s="75" t="s">
        <v>32</v>
      </c>
      <c r="F14" s="75" t="s">
        <v>33</v>
      </c>
      <c r="G14" s="75" t="s">
        <v>34</v>
      </c>
      <c r="H14" s="75" t="s">
        <v>35</v>
      </c>
      <c r="I14" s="75" t="s">
        <v>36</v>
      </c>
      <c r="J14" s="75" t="s">
        <v>37</v>
      </c>
      <c r="K14" s="76" t="s">
        <v>38</v>
      </c>
      <c r="L14" s="2"/>
      <c r="M14" s="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33">
        <f>'04_Demand_Curve'!A7</f>
        <v>108</v>
      </c>
      <c r="B15" s="23">
        <f>'04_Demand_Curve'!B7</f>
        <v>2980</v>
      </c>
      <c r="C15" s="23">
        <f>'04_Demand_Curve'!C7</f>
        <v>2721.6</v>
      </c>
      <c r="D15" s="25">
        <f>'04_Demand_Curve'!D7</f>
        <v>1.0949441504997062</v>
      </c>
      <c r="E15" s="25">
        <f ca="1">'04_Demand_Curve'!F7</f>
        <v>0.89506172839506171</v>
      </c>
      <c r="F15" s="26">
        <f>'04_Demand_Curve'!G7</f>
        <v>0.86912751677852351</v>
      </c>
      <c r="G15" s="23">
        <f>'04_Demand_Curve'!H7</f>
        <v>2550</v>
      </c>
      <c r="H15" s="23">
        <f>'04_Demand_Curve'!I7</f>
        <v>350</v>
      </c>
      <c r="I15" s="24" t="str">
        <f ca="1">'04_Demand_Curve'!K7</f>
        <v>Usable / judgement</v>
      </c>
      <c r="J15" s="26">
        <f ca="1">'06_Pricing_Scorecard'!I14</f>
        <v>0.78800705467372123</v>
      </c>
      <c r="K15" s="34" t="str">
        <f t="shared" ref="K15:K23" ca="1" si="0">IF(A15=$B$5,"Selected","")</f>
        <v/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33">
        <f>'04_Demand_Curve'!A8</f>
        <v>107</v>
      </c>
      <c r="B16" s="23">
        <f>'04_Demand_Curve'!B8</f>
        <v>4235</v>
      </c>
      <c r="C16" s="23">
        <f>'04_Demand_Curve'!C8</f>
        <v>2696.4</v>
      </c>
      <c r="D16" s="25">
        <f>'04_Demand_Curve'!D8</f>
        <v>1.5706126687435098</v>
      </c>
      <c r="E16" s="25">
        <f ca="1">'04_Demand_Curve'!F8</f>
        <v>1.253319240468773</v>
      </c>
      <c r="F16" s="26">
        <f>'04_Demand_Curve'!G8</f>
        <v>0.85123966942148765</v>
      </c>
      <c r="G16" s="23">
        <f>'04_Demand_Curve'!H8</f>
        <v>3555</v>
      </c>
      <c r="H16" s="23">
        <f>'04_Demand_Curve'!I8</f>
        <v>550</v>
      </c>
      <c r="I16" s="24" t="str">
        <f ca="1">'04_Demand_Curve'!K8</f>
        <v>Usable / judgement</v>
      </c>
      <c r="J16" s="26">
        <f ca="1">'06_Pricing_Scorecard'!I15</f>
        <v>0.91059190031152659</v>
      </c>
      <c r="K16" s="34" t="str">
        <f t="shared" ca="1" si="0"/>
        <v/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33">
        <f>'04_Demand_Curve'!A9</f>
        <v>106</v>
      </c>
      <c r="B17" s="23">
        <f>'04_Demand_Curve'!B9</f>
        <v>5940</v>
      </c>
      <c r="C17" s="23">
        <f>'04_Demand_Curve'!C9</f>
        <v>2671.2</v>
      </c>
      <c r="D17" s="25">
        <f>'04_Demand_Curve'!D9</f>
        <v>2.2237196765498655</v>
      </c>
      <c r="E17" s="25">
        <f ca="1">'04_Demand_Curve'!F9</f>
        <v>1.7385444743935312</v>
      </c>
      <c r="F17" s="26">
        <f>'04_Demand_Curve'!G9</f>
        <v>0.83501683501683499</v>
      </c>
      <c r="G17" s="23">
        <f>'04_Demand_Curve'!H9</f>
        <v>4870</v>
      </c>
      <c r="H17" s="23">
        <f>'04_Demand_Curve'!I9</f>
        <v>850</v>
      </c>
      <c r="I17" s="24" t="str">
        <f ca="1">'04_Demand_Curve'!K9</f>
        <v>Good balance</v>
      </c>
      <c r="J17" s="26">
        <f ca="1">'06_Pricing_Scorecard'!I16</f>
        <v>0.95000000000000007</v>
      </c>
      <c r="K17" s="34" t="str">
        <f t="shared" si="0"/>
        <v>Selected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33">
        <f>'04_Demand_Curve'!A10</f>
        <v>105</v>
      </c>
      <c r="B18" s="23">
        <f>'04_Demand_Curve'!B10</f>
        <v>7945</v>
      </c>
      <c r="C18" s="23">
        <f>'04_Demand_Curve'!C10</f>
        <v>2646</v>
      </c>
      <c r="D18" s="25">
        <f>'04_Demand_Curve'!D10</f>
        <v>3.0026455026455028</v>
      </c>
      <c r="E18" s="25">
        <f ca="1">'04_Demand_Curve'!F10</f>
        <v>2.3085222978080124</v>
      </c>
      <c r="F18" s="26">
        <f>'04_Demand_Curve'!G10</f>
        <v>0.81875393329137824</v>
      </c>
      <c r="G18" s="23">
        <f>'04_Demand_Curve'!H10</f>
        <v>6365</v>
      </c>
      <c r="H18" s="23">
        <f>'04_Demand_Curve'!I10</f>
        <v>1250</v>
      </c>
      <c r="I18" s="24" t="str">
        <f ca="1">'04_Demand_Curve'!K10</f>
        <v>Good balance</v>
      </c>
      <c r="J18" s="26">
        <f ca="1">'06_Pricing_Scorecard'!I17</f>
        <v>0.92500000000000004</v>
      </c>
      <c r="K18" s="34" t="str">
        <f t="shared" ca="1" si="0"/>
        <v/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33">
        <f>'04_Demand_Curve'!A11</f>
        <v>104</v>
      </c>
      <c r="B19" s="23">
        <f>'04_Demand_Curve'!B11</f>
        <v>10130</v>
      </c>
      <c r="C19" s="23">
        <f>'04_Demand_Curve'!C11</f>
        <v>2620.7999999999997</v>
      </c>
      <c r="D19" s="25">
        <f>'04_Demand_Curve'!D11</f>
        <v>3.8652319902319907</v>
      </c>
      <c r="E19" s="25">
        <f ca="1">'04_Demand_Curve'!F11</f>
        <v>2.9291819291819294</v>
      </c>
      <c r="F19" s="26">
        <f>'04_Demand_Curve'!G11</f>
        <v>0.80157946692991111</v>
      </c>
      <c r="G19" s="23">
        <f>'04_Demand_Curve'!H11</f>
        <v>7930</v>
      </c>
      <c r="H19" s="23">
        <f>'04_Demand_Curve'!I11</f>
        <v>1750</v>
      </c>
      <c r="I19" s="24" t="str">
        <f ca="1">'04_Demand_Curve'!K11</f>
        <v>Good balance</v>
      </c>
      <c r="J19" s="26">
        <f ca="1">'06_Pricing_Scorecard'!I18</f>
        <v>0.9</v>
      </c>
      <c r="K19" s="34" t="str">
        <f t="shared" ca="1" si="0"/>
        <v/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33">
        <f>'04_Demand_Curve'!A12</f>
        <v>103</v>
      </c>
      <c r="B20" s="23">
        <f>'04_Demand_Curve'!B12</f>
        <v>12120</v>
      </c>
      <c r="C20" s="23">
        <f>'04_Demand_Curve'!C12</f>
        <v>2595.6</v>
      </c>
      <c r="D20" s="25">
        <f>'04_Demand_Curve'!D12</f>
        <v>4.6694405917706892</v>
      </c>
      <c r="E20" s="25">
        <f ca="1">'04_Demand_Curve'!F12</f>
        <v>3.4861689012174453</v>
      </c>
      <c r="F20" s="26">
        <f>'04_Demand_Curve'!G12</f>
        <v>0.78300330033003296</v>
      </c>
      <c r="G20" s="23">
        <f>'04_Demand_Curve'!H12</f>
        <v>9250</v>
      </c>
      <c r="H20" s="23">
        <f>'04_Demand_Curve'!I12</f>
        <v>2300</v>
      </c>
      <c r="I20" s="24" t="str">
        <f ca="1">'04_Demand_Curve'!K12</f>
        <v>Good balance</v>
      </c>
      <c r="J20" s="26">
        <f ca="1">'06_Pricing_Scorecard'!I19</f>
        <v>0.875</v>
      </c>
      <c r="K20" s="34" t="str">
        <f t="shared" ca="1" si="0"/>
        <v/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33">
        <f>'04_Demand_Curve'!A13</f>
        <v>102</v>
      </c>
      <c r="B21" s="23">
        <f>'04_Demand_Curve'!B13</f>
        <v>14020</v>
      </c>
      <c r="C21" s="23">
        <f>'04_Demand_Curve'!C13</f>
        <v>2570.4</v>
      </c>
      <c r="D21" s="25">
        <f>'04_Demand_Curve'!D13</f>
        <v>5.4544039838157481</v>
      </c>
      <c r="E21" s="25">
        <f ca="1">'04_Demand_Curve'!F13</f>
        <v>4.0320183629007156</v>
      </c>
      <c r="F21" s="26">
        <f>'04_Demand_Curve'!G13</f>
        <v>0.77175463623395146</v>
      </c>
      <c r="G21" s="23">
        <f>'04_Demand_Curve'!H13</f>
        <v>10520</v>
      </c>
      <c r="H21" s="23">
        <f>'04_Demand_Curve'!I13</f>
        <v>2800</v>
      </c>
      <c r="I21" s="24" t="str">
        <f ca="1">'04_Demand_Curve'!K13</f>
        <v>Good balance</v>
      </c>
      <c r="J21" s="26">
        <f ca="1">'06_Pricing_Scorecard'!I20</f>
        <v>0.85000000000000009</v>
      </c>
      <c r="K21" s="34" t="str">
        <f t="shared" ca="1" si="0"/>
        <v/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33">
        <f>'04_Demand_Curve'!A14</f>
        <v>101</v>
      </c>
      <c r="B22" s="23">
        <f>'04_Demand_Curve'!B14</f>
        <v>15780</v>
      </c>
      <c r="C22" s="23">
        <f>'04_Demand_Curve'!C14</f>
        <v>2545.1999999999998</v>
      </c>
      <c r="D22" s="25">
        <f>'04_Demand_Curve'!D14</f>
        <v>6.1999057048562003</v>
      </c>
      <c r="E22" s="25">
        <f ca="1">'04_Demand_Curve'!F14</f>
        <v>4.5464796479647971</v>
      </c>
      <c r="F22" s="26">
        <f>'04_Demand_Curve'!G14</f>
        <v>0.76108998732572875</v>
      </c>
      <c r="G22" s="23">
        <f>'04_Demand_Curve'!H14</f>
        <v>11660</v>
      </c>
      <c r="H22" s="23">
        <f>'04_Demand_Curve'!I14</f>
        <v>3300</v>
      </c>
      <c r="I22" s="24" t="str">
        <f ca="1">'04_Demand_Curve'!K14</f>
        <v>Good balance</v>
      </c>
      <c r="J22" s="26">
        <f ca="1">'06_Pricing_Scorecard'!I21</f>
        <v>0.82500000000000007</v>
      </c>
      <c r="K22" s="34" t="str">
        <f t="shared" ca="1" si="0"/>
        <v/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35">
        <f>'04_Demand_Curve'!A15</f>
        <v>100</v>
      </c>
      <c r="B23" s="31">
        <f>'04_Demand_Curve'!B15</f>
        <v>17390</v>
      </c>
      <c r="C23" s="31">
        <f>'04_Demand_Curve'!C15</f>
        <v>2520</v>
      </c>
      <c r="D23" s="36">
        <f>'04_Demand_Curve'!D15</f>
        <v>6.9007936507936511</v>
      </c>
      <c r="E23" s="36">
        <f ca="1">'04_Demand_Curve'!F15</f>
        <v>5.0395238095238097</v>
      </c>
      <c r="F23" s="28">
        <f>'04_Demand_Curve'!G15</f>
        <v>0.75618171362852216</v>
      </c>
      <c r="G23" s="31">
        <f>'04_Demand_Curve'!H15</f>
        <v>12740</v>
      </c>
      <c r="H23" s="31">
        <f>'04_Demand_Curve'!I15</f>
        <v>3700</v>
      </c>
      <c r="I23" s="29" t="str">
        <f ca="1">'04_Demand_Curve'!K15</f>
        <v>Good balance</v>
      </c>
      <c r="J23" s="28">
        <f ca="1">'06_Pricing_Scorecard'!I22</f>
        <v>0.8</v>
      </c>
      <c r="K23" s="37" t="str">
        <f t="shared" ca="1" si="0"/>
        <v/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">
      <c r="A27" s="78" t="s">
        <v>39</v>
      </c>
      <c r="B27" s="79"/>
      <c r="C27" s="79"/>
      <c r="D27" s="80"/>
      <c r="E27" s="84"/>
      <c r="F27" s="78" t="s">
        <v>40</v>
      </c>
      <c r="G27" s="79"/>
      <c r="H27" s="79"/>
      <c r="I27" s="79"/>
      <c r="J27" s="79"/>
      <c r="K27" s="79"/>
      <c r="L27" s="79"/>
      <c r="M27" s="80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45.25" customHeight="1">
      <c r="A28" s="71" t="s">
        <v>41</v>
      </c>
      <c r="B28" s="85" t="s">
        <v>42</v>
      </c>
      <c r="C28" s="86"/>
      <c r="D28" s="87"/>
      <c r="E28" s="14"/>
      <c r="F28" s="20"/>
      <c r="G28" s="14"/>
      <c r="H28" s="14"/>
      <c r="I28" s="14"/>
      <c r="J28" s="14"/>
      <c r="K28" s="14"/>
      <c r="L28" s="14"/>
      <c r="M28" s="22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45.25" customHeight="1">
      <c r="A29" s="72" t="s">
        <v>43</v>
      </c>
      <c r="B29" s="87" t="s">
        <v>44</v>
      </c>
      <c r="C29" s="86"/>
      <c r="D29" s="87"/>
      <c r="E29" s="14"/>
      <c r="F29" s="20"/>
      <c r="G29" s="14"/>
      <c r="H29" s="14"/>
      <c r="I29" s="14"/>
      <c r="J29" s="14"/>
      <c r="K29" s="14"/>
      <c r="L29" s="14"/>
      <c r="M29" s="22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45.25" customHeight="1">
      <c r="A30" s="72" t="s">
        <v>45</v>
      </c>
      <c r="B30" s="87" t="s">
        <v>46</v>
      </c>
      <c r="C30" s="86"/>
      <c r="D30" s="87"/>
      <c r="E30" s="14"/>
      <c r="F30" s="20"/>
      <c r="G30" s="14"/>
      <c r="H30" s="14"/>
      <c r="I30" s="14"/>
      <c r="J30" s="14"/>
      <c r="K30" s="14"/>
      <c r="L30" s="14"/>
      <c r="M30" s="22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45.25" customHeight="1">
      <c r="A31" s="73" t="s">
        <v>47</v>
      </c>
      <c r="B31" s="88" t="s">
        <v>48</v>
      </c>
      <c r="C31" s="86"/>
      <c r="D31" s="87"/>
      <c r="E31" s="14"/>
      <c r="F31" s="20"/>
      <c r="G31" s="14"/>
      <c r="H31" s="14"/>
      <c r="I31" s="14"/>
      <c r="J31" s="14"/>
      <c r="K31" s="14"/>
      <c r="L31" s="14"/>
      <c r="M31" s="22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27"/>
      <c r="B32" s="32"/>
      <c r="C32" s="32"/>
      <c r="D32" s="30"/>
      <c r="E32" s="14"/>
      <c r="F32" s="20"/>
      <c r="G32" s="14"/>
      <c r="H32" s="14"/>
      <c r="I32" s="14"/>
      <c r="J32" s="14"/>
      <c r="K32" s="14"/>
      <c r="L32" s="14"/>
      <c r="M32" s="22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14"/>
      <c r="B33" s="14"/>
      <c r="C33" s="14"/>
      <c r="D33" s="14"/>
      <c r="E33" s="14"/>
      <c r="F33" s="20"/>
      <c r="G33" s="14"/>
      <c r="H33" s="14"/>
      <c r="I33" s="14"/>
      <c r="J33" s="14"/>
      <c r="K33" s="14"/>
      <c r="L33" s="14"/>
      <c r="M33" s="22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14"/>
      <c r="B34" s="14"/>
      <c r="C34" s="14"/>
      <c r="D34" s="14"/>
      <c r="E34" s="14"/>
      <c r="F34" s="20"/>
      <c r="G34" s="14"/>
      <c r="H34" s="14"/>
      <c r="I34" s="14"/>
      <c r="J34" s="14"/>
      <c r="K34" s="14"/>
      <c r="L34" s="14"/>
      <c r="M34" s="22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14"/>
      <c r="B35" s="14"/>
      <c r="C35" s="14"/>
      <c r="D35" s="14"/>
      <c r="E35" s="14"/>
      <c r="F35" s="20"/>
      <c r="G35" s="14"/>
      <c r="H35" s="14"/>
      <c r="I35" s="14"/>
      <c r="J35" s="14"/>
      <c r="K35" s="14"/>
      <c r="L35" s="14"/>
      <c r="M35" s="22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14"/>
      <c r="B36" s="14"/>
      <c r="C36" s="14"/>
      <c r="D36" s="14"/>
      <c r="E36" s="14"/>
      <c r="F36" s="20"/>
      <c r="G36" s="14"/>
      <c r="H36" s="14"/>
      <c r="I36" s="14"/>
      <c r="J36" s="14"/>
      <c r="K36" s="14"/>
      <c r="L36" s="14"/>
      <c r="M36" s="22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14"/>
      <c r="B37" s="14"/>
      <c r="C37" s="14"/>
      <c r="D37" s="14"/>
      <c r="E37" s="14"/>
      <c r="F37" s="20"/>
      <c r="G37" s="14"/>
      <c r="H37" s="14"/>
      <c r="I37" s="14"/>
      <c r="J37" s="14"/>
      <c r="K37" s="14"/>
      <c r="L37" s="14"/>
      <c r="M37" s="22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14"/>
      <c r="B38" s="14"/>
      <c r="C38" s="14"/>
      <c r="D38" s="14"/>
      <c r="E38" s="14"/>
      <c r="F38" s="20"/>
      <c r="G38" s="14"/>
      <c r="H38" s="14"/>
      <c r="I38" s="14"/>
      <c r="J38" s="14"/>
      <c r="K38" s="14"/>
      <c r="L38" s="14"/>
      <c r="M38" s="22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14"/>
      <c r="B39" s="14"/>
      <c r="C39" s="14"/>
      <c r="D39" s="14"/>
      <c r="E39" s="14"/>
      <c r="F39" s="20"/>
      <c r="G39" s="14"/>
      <c r="H39" s="14"/>
      <c r="I39" s="14"/>
      <c r="J39" s="14"/>
      <c r="K39" s="14"/>
      <c r="L39" s="14"/>
      <c r="M39" s="22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14"/>
      <c r="B40" s="14"/>
      <c r="C40" s="14"/>
      <c r="D40" s="14"/>
      <c r="E40" s="14"/>
      <c r="F40" s="20"/>
      <c r="G40" s="14"/>
      <c r="H40" s="14"/>
      <c r="I40" s="14"/>
      <c r="J40" s="14"/>
      <c r="K40" s="14"/>
      <c r="L40" s="14"/>
      <c r="M40" s="22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4"/>
      <c r="B41" s="14"/>
      <c r="C41" s="14"/>
      <c r="D41" s="14"/>
      <c r="E41" s="14"/>
      <c r="F41" s="20"/>
      <c r="G41" s="14"/>
      <c r="H41" s="14"/>
      <c r="I41" s="14"/>
      <c r="J41" s="14"/>
      <c r="K41" s="14"/>
      <c r="L41" s="14"/>
      <c r="M41" s="22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4"/>
      <c r="B42" s="14"/>
      <c r="C42" s="14"/>
      <c r="D42" s="14"/>
      <c r="E42" s="14"/>
      <c r="F42" s="27"/>
      <c r="G42" s="32"/>
      <c r="H42" s="32"/>
      <c r="I42" s="32"/>
      <c r="J42" s="32"/>
      <c r="K42" s="32"/>
      <c r="L42" s="32"/>
      <c r="M42" s="30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</sheetData>
  <mergeCells count="9">
    <mergeCell ref="B28:D28"/>
    <mergeCell ref="B29:D29"/>
    <mergeCell ref="B30:D30"/>
    <mergeCell ref="B31:D31"/>
    <mergeCell ref="A1:M1"/>
    <mergeCell ref="A4:D4"/>
    <mergeCell ref="F4:M4"/>
    <mergeCell ref="A13:M13"/>
    <mergeCell ref="A27:M27"/>
  </mergeCells>
  <conditionalFormatting sqref="K15:K23">
    <cfRule type="expression" dxfId="12" priority="1">
      <formula>K15="Selected"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0"/>
  <sheetViews>
    <sheetView workbookViewId="0">
      <selection activeCell="H6" sqref="H6"/>
    </sheetView>
  </sheetViews>
  <sheetFormatPr baseColWidth="10" defaultColWidth="8.83203125" defaultRowHeight="14"/>
  <cols>
    <col min="1" max="1" width="28" customWidth="1"/>
    <col min="2" max="3" width="14" customWidth="1"/>
    <col min="4" max="4" width="40" customWidth="1"/>
    <col min="5" max="5" width="3" customWidth="1"/>
    <col min="6" max="6" width="28" customWidth="1"/>
    <col min="7" max="7" width="25" customWidth="1"/>
    <col min="8" max="8" width="18" customWidth="1"/>
  </cols>
  <sheetData>
    <row r="1" spans="1:26" ht="37.25" customHeight="1">
      <c r="A1" s="89" t="s">
        <v>49</v>
      </c>
      <c r="B1" s="89"/>
      <c r="C1" s="89"/>
      <c r="D1" s="89"/>
      <c r="E1" s="89"/>
      <c r="F1" s="89"/>
      <c r="G1" s="89"/>
      <c r="H1" s="89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">
      <c r="A2" s="15" t="s">
        <v>50</v>
      </c>
      <c r="B2" s="15"/>
      <c r="C2" s="15"/>
      <c r="D2" s="15"/>
      <c r="E2" s="15"/>
      <c r="F2" s="15"/>
      <c r="G2" s="15"/>
      <c r="H2" s="15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>
      <c r="A4" s="90" t="s">
        <v>51</v>
      </c>
      <c r="B4" s="84"/>
      <c r="C4" s="84"/>
      <c r="D4" s="84"/>
      <c r="E4" s="84"/>
      <c r="F4" s="84"/>
      <c r="G4" s="84"/>
      <c r="H4" s="91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6">
      <c r="A5" s="5" t="s">
        <v>52</v>
      </c>
      <c r="B5" s="6" t="s">
        <v>8</v>
      </c>
      <c r="C5" s="6" t="s">
        <v>53</v>
      </c>
      <c r="D5" s="6" t="s">
        <v>54</v>
      </c>
      <c r="E5" s="6"/>
      <c r="F5" s="6" t="s">
        <v>55</v>
      </c>
      <c r="G5" s="6" t="s">
        <v>56</v>
      </c>
      <c r="H5" s="7" t="s">
        <v>8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>
      <c r="A6" s="20" t="s">
        <v>57</v>
      </c>
      <c r="B6" s="4">
        <v>100</v>
      </c>
      <c r="C6" s="14" t="s">
        <v>5</v>
      </c>
      <c r="D6" s="24" t="s">
        <v>58</v>
      </c>
      <c r="E6" s="14"/>
      <c r="F6" s="14" t="s">
        <v>59</v>
      </c>
      <c r="G6" s="24">
        <f>B9*B7</f>
        <v>54</v>
      </c>
      <c r="H6" s="38">
        <f>B11*B8</f>
        <v>2671.2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20" t="s">
        <v>60</v>
      </c>
      <c r="B7" s="4">
        <v>108</v>
      </c>
      <c r="C7" s="14" t="s">
        <v>5</v>
      </c>
      <c r="D7" s="24" t="s">
        <v>58</v>
      </c>
      <c r="E7" s="14"/>
      <c r="F7" s="14" t="s">
        <v>61</v>
      </c>
      <c r="G7" s="24" t="str">
        <f ca="1">B7*B5</f>
        <v/>
      </c>
      <c r="H7" s="38">
        <f>B8*B9</f>
        <v>53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20" t="s">
        <v>4</v>
      </c>
      <c r="B8" s="4">
        <v>106</v>
      </c>
      <c r="C8" s="14" t="s">
        <v>5</v>
      </c>
      <c r="D8" s="24" t="s">
        <v>62</v>
      </c>
      <c r="E8" s="14"/>
      <c r="F8" s="14" t="s">
        <v>24</v>
      </c>
      <c r="G8" s="24">
        <f>B7*B6</f>
        <v>10800</v>
      </c>
      <c r="H8" s="38">
        <f>B8*B10</f>
        <v>2618.1999999999998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20" t="s">
        <v>63</v>
      </c>
      <c r="B9" s="4">
        <v>0.5</v>
      </c>
      <c r="C9" s="14" t="s">
        <v>11</v>
      </c>
      <c r="D9" s="24" t="s">
        <v>64</v>
      </c>
      <c r="E9" s="14"/>
      <c r="F9" s="14" t="s">
        <v>65</v>
      </c>
      <c r="G9" s="24">
        <f>B9+B10</f>
        <v>25.2</v>
      </c>
      <c r="H9" s="38">
        <f>B16</f>
        <v>28.98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20" t="s">
        <v>66</v>
      </c>
      <c r="B10" s="4">
        <v>24.7</v>
      </c>
      <c r="C10" s="14" t="s">
        <v>11</v>
      </c>
      <c r="D10" s="24" t="s">
        <v>67</v>
      </c>
      <c r="E10" s="14"/>
      <c r="F10" s="14" t="s">
        <v>68</v>
      </c>
      <c r="G10" s="24">
        <f>B13*B7</f>
        <v>145800</v>
      </c>
      <c r="H10" s="38">
        <f>B16*B8</f>
        <v>3071.88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20" t="s">
        <v>10</v>
      </c>
      <c r="B11" s="39">
        <f>SUM(B9:B10)</f>
        <v>25.2</v>
      </c>
      <c r="C11" s="14" t="s">
        <v>11</v>
      </c>
      <c r="D11" s="24" t="s">
        <v>69</v>
      </c>
      <c r="E11" s="14"/>
      <c r="F11" s="14" t="s">
        <v>26</v>
      </c>
      <c r="G11" s="24">
        <f>B11</f>
        <v>25.2</v>
      </c>
      <c r="H11" s="38">
        <f>B13</f>
        <v>1350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20" t="s">
        <v>70</v>
      </c>
      <c r="B12" s="4">
        <v>3.78</v>
      </c>
      <c r="C12" s="14" t="s">
        <v>11</v>
      </c>
      <c r="D12" s="24" t="s">
        <v>71</v>
      </c>
      <c r="E12" s="14"/>
      <c r="F12" s="14" t="s">
        <v>72</v>
      </c>
      <c r="G12" s="24">
        <f>B11/(B9*B7)</f>
        <v>0.46666666666666667</v>
      </c>
      <c r="H12" s="40">
        <f>B13/(B11*B8)</f>
        <v>0.50539083557951481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20" t="s">
        <v>26</v>
      </c>
      <c r="B13" s="4">
        <v>1350</v>
      </c>
      <c r="C13" s="14" t="s">
        <v>16</v>
      </c>
      <c r="D13" s="24" t="s">
        <v>73</v>
      </c>
      <c r="E13" s="14"/>
      <c r="F13" s="14" t="s">
        <v>74</v>
      </c>
      <c r="G13" s="24" t="str">
        <f ca="1">B5/B9</f>
        <v/>
      </c>
      <c r="H13" s="40">
        <f>B9/B11</f>
        <v>1.984126984126984E-2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20" t="s">
        <v>75</v>
      </c>
      <c r="B14" s="4">
        <v>2.5</v>
      </c>
      <c r="C14" s="14" t="s">
        <v>5</v>
      </c>
      <c r="D14" s="24" t="s">
        <v>75</v>
      </c>
      <c r="E14" s="14"/>
      <c r="F14" s="14" t="s">
        <v>76</v>
      </c>
      <c r="G14" s="24">
        <f>B6/B9</f>
        <v>200</v>
      </c>
      <c r="H14" s="40">
        <f>B10/B11</f>
        <v>0.98015873015873012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20" t="s">
        <v>77</v>
      </c>
      <c r="B15" s="4">
        <v>100</v>
      </c>
      <c r="C15" s="14" t="s">
        <v>11</v>
      </c>
      <c r="D15" s="24" t="s">
        <v>78</v>
      </c>
      <c r="E15" s="14"/>
      <c r="F15" s="14" t="s">
        <v>79</v>
      </c>
      <c r="G15" s="24" t="str">
        <f ca="1">(B12+B5)*B12</f>
        <v/>
      </c>
      <c r="H15" s="38">
        <f>(B15+B9)*B14</f>
        <v>251.25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20" t="s">
        <v>65</v>
      </c>
      <c r="B16" s="39">
        <f>B11+B12</f>
        <v>28.98</v>
      </c>
      <c r="C16" s="14" t="s">
        <v>11</v>
      </c>
      <c r="D16" s="14" t="s">
        <v>80</v>
      </c>
      <c r="E16" s="14"/>
      <c r="F16" s="14"/>
      <c r="G16" s="14"/>
      <c r="H16" s="22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27"/>
      <c r="B17" s="32"/>
      <c r="C17" s="32"/>
      <c r="D17" s="32"/>
      <c r="E17" s="32"/>
      <c r="F17" s="32"/>
      <c r="G17" s="32"/>
      <c r="H17" s="30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">
      <c r="A20" s="92" t="s">
        <v>81</v>
      </c>
      <c r="B20" s="93"/>
      <c r="C20" s="93"/>
      <c r="D20" s="93"/>
      <c r="E20" s="93"/>
      <c r="F20" s="93"/>
      <c r="G20" s="93"/>
      <c r="H20" s="9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6">
      <c r="A21" s="1" t="s">
        <v>82</v>
      </c>
      <c r="B21" s="2" t="s">
        <v>8</v>
      </c>
      <c r="C21" s="2" t="s">
        <v>53</v>
      </c>
      <c r="D21" s="2" t="s">
        <v>83</v>
      </c>
      <c r="E21" s="2"/>
      <c r="F21" s="2" t="s">
        <v>84</v>
      </c>
      <c r="G21" s="2" t="s">
        <v>8</v>
      </c>
      <c r="H21" s="3" t="s">
        <v>85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14" t="s">
        <v>86</v>
      </c>
      <c r="B22" s="8">
        <v>1.5</v>
      </c>
      <c r="C22" s="14" t="s">
        <v>87</v>
      </c>
      <c r="D22" s="14" t="s">
        <v>88</v>
      </c>
      <c r="E22" s="14"/>
      <c r="F22" s="14" t="s">
        <v>89</v>
      </c>
      <c r="G22" s="8">
        <v>1.2</v>
      </c>
      <c r="H22" s="14" t="s">
        <v>90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14" t="s">
        <v>91</v>
      </c>
      <c r="B23" s="8">
        <v>2</v>
      </c>
      <c r="C23" s="14" t="s">
        <v>87</v>
      </c>
      <c r="D23" s="14" t="s">
        <v>92</v>
      </c>
      <c r="E23" s="14"/>
      <c r="F23" s="14" t="s">
        <v>93</v>
      </c>
      <c r="G23" s="9">
        <v>0.55000000000000004</v>
      </c>
      <c r="H23" s="14" t="s">
        <v>94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14" t="s">
        <v>95</v>
      </c>
      <c r="B24" s="9">
        <v>0.08</v>
      </c>
      <c r="C24" s="14" t="s">
        <v>96</v>
      </c>
      <c r="D24" s="14" t="s">
        <v>97</v>
      </c>
      <c r="E24" s="14"/>
      <c r="F24" s="14" t="s">
        <v>98</v>
      </c>
      <c r="G24" s="9">
        <v>0.25</v>
      </c>
      <c r="H24" s="14" t="s">
        <v>99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</sheetData>
  <mergeCells count="3">
    <mergeCell ref="A1:H1"/>
    <mergeCell ref="A4:H4"/>
    <mergeCell ref="A20:H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0"/>
  <sheetViews>
    <sheetView workbookViewId="0">
      <selection sqref="A1:L1"/>
    </sheetView>
  </sheetViews>
  <sheetFormatPr baseColWidth="10" defaultColWidth="8.83203125" defaultRowHeight="14"/>
  <cols>
    <col min="1" max="1" width="28" customWidth="1"/>
    <col min="2" max="2" width="12" customWidth="1"/>
    <col min="3" max="3" width="18" customWidth="1"/>
    <col min="4" max="4" width="24" customWidth="1"/>
    <col min="5" max="6" width="13" customWidth="1"/>
    <col min="7" max="7" width="12" customWidth="1"/>
    <col min="8" max="8" width="11" customWidth="1"/>
    <col min="9" max="9" width="12" customWidth="1"/>
    <col min="10" max="10" width="10" customWidth="1"/>
    <col min="11" max="11" width="13" customWidth="1"/>
    <col min="12" max="12" width="42" customWidth="1"/>
  </cols>
  <sheetData>
    <row r="1" spans="1:26" ht="37.25" customHeight="1">
      <c r="A1" s="89" t="s">
        <v>100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">
      <c r="A2" s="15" t="s">
        <v>101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">
      <c r="A5" s="90" t="s">
        <v>102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91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32">
      <c r="A6" s="5" t="s">
        <v>103</v>
      </c>
      <c r="B6" s="6" t="s">
        <v>104</v>
      </c>
      <c r="C6" s="6" t="s">
        <v>105</v>
      </c>
      <c r="D6" s="6" t="s">
        <v>106</v>
      </c>
      <c r="E6" s="6" t="s">
        <v>107</v>
      </c>
      <c r="F6" s="6" t="s">
        <v>108</v>
      </c>
      <c r="G6" s="6" t="s">
        <v>109</v>
      </c>
      <c r="H6" s="6" t="s">
        <v>110</v>
      </c>
      <c r="I6" s="6" t="s">
        <v>111</v>
      </c>
      <c r="J6" s="6" t="s">
        <v>112</v>
      </c>
      <c r="K6" s="6" t="s">
        <v>113</v>
      </c>
      <c r="L6" s="7" t="s">
        <v>114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20" t="s">
        <v>115</v>
      </c>
      <c r="B7" s="14" t="s">
        <v>116</v>
      </c>
      <c r="C7" s="14" t="s">
        <v>117</v>
      </c>
      <c r="D7" s="14" t="s">
        <v>118</v>
      </c>
      <c r="E7" s="14" t="s">
        <v>119</v>
      </c>
      <c r="F7" s="10">
        <v>5</v>
      </c>
      <c r="G7" s="10">
        <v>5</v>
      </c>
      <c r="H7" s="10">
        <v>5</v>
      </c>
      <c r="I7" s="10">
        <v>4</v>
      </c>
      <c r="J7" s="10">
        <v>1</v>
      </c>
      <c r="K7" s="41">
        <f t="shared" ref="K7:K31" si="0">ROUND((F7*0.2+G7*0.3+H7*0.25+I7*0.15+(6-J7)*0.1)*20,0)</f>
        <v>97</v>
      </c>
      <c r="L7" s="22" t="s">
        <v>120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20" t="s">
        <v>121</v>
      </c>
      <c r="B8" s="14" t="s">
        <v>116</v>
      </c>
      <c r="C8" s="14" t="s">
        <v>122</v>
      </c>
      <c r="D8" s="14" t="s">
        <v>123</v>
      </c>
      <c r="E8" s="14" t="s">
        <v>119</v>
      </c>
      <c r="F8" s="10">
        <v>5</v>
      </c>
      <c r="G8" s="10">
        <v>5</v>
      </c>
      <c r="H8" s="10">
        <v>5</v>
      </c>
      <c r="I8" s="10">
        <v>4</v>
      </c>
      <c r="J8" s="10">
        <v>1</v>
      </c>
      <c r="K8" s="41">
        <f t="shared" si="0"/>
        <v>97</v>
      </c>
      <c r="L8" s="22" t="s">
        <v>124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20" t="s">
        <v>125</v>
      </c>
      <c r="B9" s="14" t="s">
        <v>126</v>
      </c>
      <c r="C9" s="14" t="s">
        <v>122</v>
      </c>
      <c r="D9" s="14" t="s">
        <v>127</v>
      </c>
      <c r="E9" s="14" t="s">
        <v>119</v>
      </c>
      <c r="F9" s="10">
        <v>5</v>
      </c>
      <c r="G9" s="10">
        <v>5</v>
      </c>
      <c r="H9" s="10">
        <v>5</v>
      </c>
      <c r="I9" s="10">
        <v>4</v>
      </c>
      <c r="J9" s="10">
        <v>1</v>
      </c>
      <c r="K9" s="41">
        <f t="shared" si="0"/>
        <v>97</v>
      </c>
      <c r="L9" s="22" t="s">
        <v>128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20" t="s">
        <v>129</v>
      </c>
      <c r="B10" s="14" t="s">
        <v>116</v>
      </c>
      <c r="C10" s="14" t="s">
        <v>122</v>
      </c>
      <c r="D10" s="14" t="s">
        <v>123</v>
      </c>
      <c r="E10" s="14" t="s">
        <v>119</v>
      </c>
      <c r="F10" s="10">
        <v>5</v>
      </c>
      <c r="G10" s="10">
        <v>5</v>
      </c>
      <c r="H10" s="10">
        <v>5</v>
      </c>
      <c r="I10" s="10">
        <v>4</v>
      </c>
      <c r="J10" s="10">
        <v>1</v>
      </c>
      <c r="K10" s="41">
        <f t="shared" si="0"/>
        <v>97</v>
      </c>
      <c r="L10" s="22" t="s">
        <v>130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20" t="s">
        <v>131</v>
      </c>
      <c r="B11" s="14" t="s">
        <v>132</v>
      </c>
      <c r="C11" s="14" t="s">
        <v>122</v>
      </c>
      <c r="D11" s="14" t="s">
        <v>133</v>
      </c>
      <c r="E11" s="14" t="s">
        <v>119</v>
      </c>
      <c r="F11" s="10">
        <v>4</v>
      </c>
      <c r="G11" s="10">
        <v>4</v>
      </c>
      <c r="H11" s="10">
        <v>4</v>
      </c>
      <c r="I11" s="10">
        <v>4</v>
      </c>
      <c r="J11" s="10">
        <v>2</v>
      </c>
      <c r="K11" s="41">
        <f t="shared" si="0"/>
        <v>80</v>
      </c>
      <c r="L11" s="22" t="s">
        <v>134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20" t="s">
        <v>135</v>
      </c>
      <c r="B12" s="14" t="s">
        <v>116</v>
      </c>
      <c r="C12" s="14" t="s">
        <v>117</v>
      </c>
      <c r="D12" s="14" t="s">
        <v>136</v>
      </c>
      <c r="E12" s="14" t="s">
        <v>137</v>
      </c>
      <c r="F12" s="10">
        <v>4</v>
      </c>
      <c r="G12" s="10">
        <v>5</v>
      </c>
      <c r="H12" s="10">
        <v>5</v>
      </c>
      <c r="I12" s="10">
        <v>4</v>
      </c>
      <c r="J12" s="10">
        <v>1</v>
      </c>
      <c r="K12" s="41">
        <f t="shared" si="0"/>
        <v>93</v>
      </c>
      <c r="L12" s="22" t="s">
        <v>138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20" t="s">
        <v>139</v>
      </c>
      <c r="B13" s="14" t="s">
        <v>116</v>
      </c>
      <c r="C13" s="14" t="s">
        <v>117</v>
      </c>
      <c r="D13" s="14" t="s">
        <v>123</v>
      </c>
      <c r="E13" s="14" t="s">
        <v>137</v>
      </c>
      <c r="F13" s="10">
        <v>3</v>
      </c>
      <c r="G13" s="10">
        <v>4</v>
      </c>
      <c r="H13" s="10">
        <v>5</v>
      </c>
      <c r="I13" s="10">
        <v>4</v>
      </c>
      <c r="J13" s="10">
        <v>1</v>
      </c>
      <c r="K13" s="41">
        <f t="shared" si="0"/>
        <v>83</v>
      </c>
      <c r="L13" s="22" t="s">
        <v>140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20" t="s">
        <v>141</v>
      </c>
      <c r="B14" s="14" t="s">
        <v>116</v>
      </c>
      <c r="C14" s="14" t="s">
        <v>117</v>
      </c>
      <c r="D14" s="14" t="s">
        <v>142</v>
      </c>
      <c r="E14" s="14" t="s">
        <v>137</v>
      </c>
      <c r="F14" s="10">
        <v>4</v>
      </c>
      <c r="G14" s="10">
        <v>4</v>
      </c>
      <c r="H14" s="10">
        <v>5</v>
      </c>
      <c r="I14" s="10">
        <v>4</v>
      </c>
      <c r="J14" s="10">
        <v>1</v>
      </c>
      <c r="K14" s="41">
        <f t="shared" si="0"/>
        <v>87</v>
      </c>
      <c r="L14" s="22" t="s">
        <v>143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20" t="s">
        <v>144</v>
      </c>
      <c r="B15" s="14" t="s">
        <v>116</v>
      </c>
      <c r="C15" s="14" t="s">
        <v>117</v>
      </c>
      <c r="D15" s="14" t="s">
        <v>123</v>
      </c>
      <c r="E15" s="14" t="s">
        <v>137</v>
      </c>
      <c r="F15" s="10">
        <v>3</v>
      </c>
      <c r="G15" s="10">
        <v>4</v>
      </c>
      <c r="H15" s="10">
        <v>5</v>
      </c>
      <c r="I15" s="10">
        <v>3</v>
      </c>
      <c r="J15" s="10">
        <v>1</v>
      </c>
      <c r="K15" s="41">
        <f t="shared" si="0"/>
        <v>80</v>
      </c>
      <c r="L15" s="22" t="s">
        <v>145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20" t="s">
        <v>146</v>
      </c>
      <c r="B16" s="14" t="s">
        <v>126</v>
      </c>
      <c r="C16" s="14" t="s">
        <v>117</v>
      </c>
      <c r="D16" s="14" t="s">
        <v>147</v>
      </c>
      <c r="E16" s="14" t="s">
        <v>137</v>
      </c>
      <c r="F16" s="10">
        <v>3</v>
      </c>
      <c r="G16" s="10">
        <v>4</v>
      </c>
      <c r="H16" s="10">
        <v>5</v>
      </c>
      <c r="I16" s="10">
        <v>4</v>
      </c>
      <c r="J16" s="10">
        <v>1</v>
      </c>
      <c r="K16" s="41">
        <f t="shared" si="0"/>
        <v>83</v>
      </c>
      <c r="L16" s="22" t="s">
        <v>148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20" t="s">
        <v>149</v>
      </c>
      <c r="B17" s="14" t="s">
        <v>126</v>
      </c>
      <c r="C17" s="14" t="s">
        <v>150</v>
      </c>
      <c r="D17" s="14" t="s">
        <v>147</v>
      </c>
      <c r="E17" s="14" t="s">
        <v>137</v>
      </c>
      <c r="F17" s="10">
        <v>3</v>
      </c>
      <c r="G17" s="10">
        <v>4</v>
      </c>
      <c r="H17" s="10">
        <v>4</v>
      </c>
      <c r="I17" s="10">
        <v>4</v>
      </c>
      <c r="J17" s="10">
        <v>2</v>
      </c>
      <c r="K17" s="41">
        <f t="shared" si="0"/>
        <v>76</v>
      </c>
      <c r="L17" s="22" t="s">
        <v>151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20" t="s">
        <v>152</v>
      </c>
      <c r="B18" s="14" t="s">
        <v>126</v>
      </c>
      <c r="C18" s="14" t="s">
        <v>122</v>
      </c>
      <c r="D18" s="14" t="s">
        <v>153</v>
      </c>
      <c r="E18" s="14" t="s">
        <v>137</v>
      </c>
      <c r="F18" s="10">
        <v>3</v>
      </c>
      <c r="G18" s="10">
        <v>5</v>
      </c>
      <c r="H18" s="10">
        <v>5</v>
      </c>
      <c r="I18" s="10">
        <v>4</v>
      </c>
      <c r="J18" s="10">
        <v>1</v>
      </c>
      <c r="K18" s="41">
        <f t="shared" si="0"/>
        <v>89</v>
      </c>
      <c r="L18" s="22" t="s">
        <v>154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20" t="s">
        <v>155</v>
      </c>
      <c r="B19" s="14" t="s">
        <v>156</v>
      </c>
      <c r="C19" s="14" t="s">
        <v>117</v>
      </c>
      <c r="D19" s="14" t="s">
        <v>127</v>
      </c>
      <c r="E19" s="14" t="s">
        <v>137</v>
      </c>
      <c r="F19" s="10">
        <v>3</v>
      </c>
      <c r="G19" s="10">
        <v>4</v>
      </c>
      <c r="H19" s="10">
        <v>5</v>
      </c>
      <c r="I19" s="10">
        <v>4</v>
      </c>
      <c r="J19" s="10">
        <v>1</v>
      </c>
      <c r="K19" s="41">
        <f t="shared" si="0"/>
        <v>83</v>
      </c>
      <c r="L19" s="22" t="s">
        <v>157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20" t="s">
        <v>158</v>
      </c>
      <c r="B20" s="14" t="s">
        <v>156</v>
      </c>
      <c r="C20" s="14" t="s">
        <v>117</v>
      </c>
      <c r="D20" s="14" t="s">
        <v>159</v>
      </c>
      <c r="E20" s="14" t="s">
        <v>137</v>
      </c>
      <c r="F20" s="10">
        <v>3</v>
      </c>
      <c r="G20" s="10">
        <v>4</v>
      </c>
      <c r="H20" s="10">
        <v>5</v>
      </c>
      <c r="I20" s="10">
        <v>3</v>
      </c>
      <c r="J20" s="10">
        <v>1</v>
      </c>
      <c r="K20" s="41">
        <f t="shared" si="0"/>
        <v>80</v>
      </c>
      <c r="L20" s="22" t="s">
        <v>160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20" t="s">
        <v>161</v>
      </c>
      <c r="B21" s="14" t="s">
        <v>156</v>
      </c>
      <c r="C21" s="14" t="s">
        <v>122</v>
      </c>
      <c r="D21" s="14" t="s">
        <v>162</v>
      </c>
      <c r="E21" s="14" t="s">
        <v>137</v>
      </c>
      <c r="F21" s="10">
        <v>3</v>
      </c>
      <c r="G21" s="10">
        <v>4</v>
      </c>
      <c r="H21" s="10">
        <v>4</v>
      </c>
      <c r="I21" s="10">
        <v>4</v>
      </c>
      <c r="J21" s="10">
        <v>2</v>
      </c>
      <c r="K21" s="41">
        <f t="shared" si="0"/>
        <v>76</v>
      </c>
      <c r="L21" s="22" t="s">
        <v>163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20" t="s">
        <v>164</v>
      </c>
      <c r="B22" s="14" t="s">
        <v>156</v>
      </c>
      <c r="C22" s="14" t="s">
        <v>122</v>
      </c>
      <c r="D22" s="14" t="s">
        <v>162</v>
      </c>
      <c r="E22" s="14" t="s">
        <v>137</v>
      </c>
      <c r="F22" s="10">
        <v>3</v>
      </c>
      <c r="G22" s="10">
        <v>4</v>
      </c>
      <c r="H22" s="10">
        <v>4</v>
      </c>
      <c r="I22" s="10">
        <v>4</v>
      </c>
      <c r="J22" s="10">
        <v>2</v>
      </c>
      <c r="K22" s="41">
        <f t="shared" si="0"/>
        <v>76</v>
      </c>
      <c r="L22" s="22" t="s">
        <v>165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20" t="s">
        <v>166</v>
      </c>
      <c r="B23" s="14" t="s">
        <v>167</v>
      </c>
      <c r="C23" s="14" t="s">
        <v>168</v>
      </c>
      <c r="D23" s="14" t="s">
        <v>169</v>
      </c>
      <c r="E23" s="14" t="s">
        <v>137</v>
      </c>
      <c r="F23" s="10">
        <v>3</v>
      </c>
      <c r="G23" s="10">
        <v>4</v>
      </c>
      <c r="H23" s="10">
        <v>4</v>
      </c>
      <c r="I23" s="10">
        <v>3</v>
      </c>
      <c r="J23" s="10">
        <v>2</v>
      </c>
      <c r="K23" s="41">
        <f t="shared" si="0"/>
        <v>73</v>
      </c>
      <c r="L23" s="22" t="s">
        <v>170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20" t="s">
        <v>171</v>
      </c>
      <c r="B24" s="14" t="s">
        <v>167</v>
      </c>
      <c r="C24" s="14" t="s">
        <v>168</v>
      </c>
      <c r="D24" s="14" t="s">
        <v>172</v>
      </c>
      <c r="E24" s="14" t="s">
        <v>137</v>
      </c>
      <c r="F24" s="10">
        <v>3</v>
      </c>
      <c r="G24" s="10">
        <v>4</v>
      </c>
      <c r="H24" s="10">
        <v>4</v>
      </c>
      <c r="I24" s="10">
        <v>3</v>
      </c>
      <c r="J24" s="10">
        <v>2</v>
      </c>
      <c r="K24" s="41">
        <f t="shared" si="0"/>
        <v>73</v>
      </c>
      <c r="L24" s="22" t="s">
        <v>173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20" t="s">
        <v>174</v>
      </c>
      <c r="B25" s="14" t="s">
        <v>167</v>
      </c>
      <c r="C25" s="14" t="s">
        <v>168</v>
      </c>
      <c r="D25" s="14" t="s">
        <v>175</v>
      </c>
      <c r="E25" s="14" t="s">
        <v>137</v>
      </c>
      <c r="F25" s="10">
        <v>3</v>
      </c>
      <c r="G25" s="10">
        <v>5</v>
      </c>
      <c r="H25" s="10">
        <v>5</v>
      </c>
      <c r="I25" s="10">
        <v>3</v>
      </c>
      <c r="J25" s="10">
        <v>1</v>
      </c>
      <c r="K25" s="41">
        <f t="shared" si="0"/>
        <v>86</v>
      </c>
      <c r="L25" s="22" t="s">
        <v>176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20" t="s">
        <v>177</v>
      </c>
      <c r="B26" s="14" t="s">
        <v>167</v>
      </c>
      <c r="C26" s="14" t="s">
        <v>168</v>
      </c>
      <c r="D26" s="14" t="s">
        <v>178</v>
      </c>
      <c r="E26" s="14" t="s">
        <v>137</v>
      </c>
      <c r="F26" s="10">
        <v>3</v>
      </c>
      <c r="G26" s="10">
        <v>4</v>
      </c>
      <c r="H26" s="10">
        <v>4</v>
      </c>
      <c r="I26" s="10">
        <v>3</v>
      </c>
      <c r="J26" s="10">
        <v>2</v>
      </c>
      <c r="K26" s="41">
        <f t="shared" si="0"/>
        <v>73</v>
      </c>
      <c r="L26" s="22" t="s">
        <v>179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20" t="s">
        <v>180</v>
      </c>
      <c r="B27" s="14" t="s">
        <v>126</v>
      </c>
      <c r="C27" s="14" t="s">
        <v>168</v>
      </c>
      <c r="D27" s="14" t="s">
        <v>181</v>
      </c>
      <c r="E27" s="14" t="s">
        <v>137</v>
      </c>
      <c r="F27" s="10">
        <v>3</v>
      </c>
      <c r="G27" s="10">
        <v>5</v>
      </c>
      <c r="H27" s="10">
        <v>5</v>
      </c>
      <c r="I27" s="10">
        <v>3</v>
      </c>
      <c r="J27" s="10">
        <v>1</v>
      </c>
      <c r="K27" s="41">
        <f t="shared" si="0"/>
        <v>86</v>
      </c>
      <c r="L27" s="22" t="s">
        <v>182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20" t="s">
        <v>183</v>
      </c>
      <c r="B28" s="14" t="s">
        <v>167</v>
      </c>
      <c r="C28" s="14" t="s">
        <v>184</v>
      </c>
      <c r="D28" s="14" t="s">
        <v>185</v>
      </c>
      <c r="E28" s="14" t="s">
        <v>137</v>
      </c>
      <c r="F28" s="10">
        <v>2</v>
      </c>
      <c r="G28" s="10">
        <v>2</v>
      </c>
      <c r="H28" s="10">
        <v>1</v>
      </c>
      <c r="I28" s="10">
        <v>5</v>
      </c>
      <c r="J28" s="10">
        <v>5</v>
      </c>
      <c r="K28" s="41">
        <f t="shared" si="0"/>
        <v>42</v>
      </c>
      <c r="L28" s="22" t="s">
        <v>186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20" t="s">
        <v>187</v>
      </c>
      <c r="B29" s="14" t="s">
        <v>167</v>
      </c>
      <c r="C29" s="14" t="s">
        <v>184</v>
      </c>
      <c r="D29" s="14" t="s">
        <v>188</v>
      </c>
      <c r="E29" s="14" t="s">
        <v>137</v>
      </c>
      <c r="F29" s="10">
        <v>2</v>
      </c>
      <c r="G29" s="10">
        <v>2</v>
      </c>
      <c r="H29" s="10">
        <v>1</v>
      </c>
      <c r="I29" s="10">
        <v>5</v>
      </c>
      <c r="J29" s="10">
        <v>5</v>
      </c>
      <c r="K29" s="41">
        <f t="shared" si="0"/>
        <v>42</v>
      </c>
      <c r="L29" s="22" t="s">
        <v>189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20" t="s">
        <v>190</v>
      </c>
      <c r="B30" s="14" t="s">
        <v>132</v>
      </c>
      <c r="C30" s="14" t="s">
        <v>122</v>
      </c>
      <c r="D30" s="14" t="s">
        <v>191</v>
      </c>
      <c r="E30" s="14" t="s">
        <v>137</v>
      </c>
      <c r="F30" s="10">
        <v>2</v>
      </c>
      <c r="G30" s="10">
        <v>3</v>
      </c>
      <c r="H30" s="10">
        <v>3</v>
      </c>
      <c r="I30" s="10">
        <v>4</v>
      </c>
      <c r="J30" s="10">
        <v>3</v>
      </c>
      <c r="K30" s="41">
        <f t="shared" si="0"/>
        <v>59</v>
      </c>
      <c r="L30" s="22" t="s">
        <v>192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27" t="s">
        <v>193</v>
      </c>
      <c r="B31" s="32" t="s">
        <v>167</v>
      </c>
      <c r="C31" s="32" t="s">
        <v>194</v>
      </c>
      <c r="D31" s="32" t="s">
        <v>195</v>
      </c>
      <c r="E31" s="32" t="s">
        <v>137</v>
      </c>
      <c r="F31" s="11">
        <v>3</v>
      </c>
      <c r="G31" s="11">
        <v>4</v>
      </c>
      <c r="H31" s="11">
        <v>4</v>
      </c>
      <c r="I31" s="11">
        <v>4</v>
      </c>
      <c r="J31" s="11">
        <v>2</v>
      </c>
      <c r="K31" s="42">
        <f t="shared" si="0"/>
        <v>76</v>
      </c>
      <c r="L31" s="30" t="s">
        <v>196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</sheetData>
  <mergeCells count="2">
    <mergeCell ref="A1:L1"/>
    <mergeCell ref="A5:L5"/>
  </mergeCells>
  <dataValidations count="3">
    <dataValidation type="list" sqref="B7:B31" xr:uid="{00000000-0002-0000-0200-000000000000}">
      <formula1>"Denmark,Norway,Sweden,Nordics,Global"</formula1>
    </dataValidation>
    <dataValidation type="list" sqref="C7:C31" xr:uid="{00000000-0002-0000-0200-000001000000}">
      <formula1>"Pension / Long-only,Nordic Long-only,ESG Long-only,Global Long-only,Hedge Fund,Sector Specialist"</formula1>
    </dataValidation>
    <dataValidation type="list" sqref="E7:E31" xr:uid="{00000000-0002-0000-0200-000002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0"/>
  <sheetViews>
    <sheetView workbookViewId="0">
      <selection activeCell="G36" sqref="G36"/>
    </sheetView>
  </sheetViews>
  <sheetFormatPr baseColWidth="10" defaultColWidth="8.83203125" defaultRowHeight="14"/>
  <cols>
    <col min="1" max="1" width="28" customWidth="1"/>
    <col min="2" max="2" width="18" customWidth="1"/>
    <col min="3" max="4" width="10" customWidth="1"/>
    <col min="5" max="13" width="12" customWidth="1"/>
    <col min="14" max="14" width="14" customWidth="1"/>
  </cols>
  <sheetData>
    <row r="1" spans="1:26" ht="37.25" customHeight="1">
      <c r="A1" s="89" t="s">
        <v>197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">
      <c r="A2" s="15" t="s">
        <v>198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">
      <c r="A5" s="90" t="s">
        <v>199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91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32">
      <c r="A6" s="5" t="s">
        <v>103</v>
      </c>
      <c r="B6" s="6" t="s">
        <v>105</v>
      </c>
      <c r="C6" s="6" t="s">
        <v>104</v>
      </c>
      <c r="D6" s="6" t="s">
        <v>200</v>
      </c>
      <c r="E6" s="6" t="s">
        <v>302</v>
      </c>
      <c r="F6" s="6" t="s">
        <v>303</v>
      </c>
      <c r="G6" s="6" t="s">
        <v>304</v>
      </c>
      <c r="H6" s="6" t="s">
        <v>305</v>
      </c>
      <c r="I6" s="6" t="s">
        <v>306</v>
      </c>
      <c r="J6" s="6" t="s">
        <v>307</v>
      </c>
      <c r="K6" s="6" t="s">
        <v>308</v>
      </c>
      <c r="L6" s="6" t="s">
        <v>309</v>
      </c>
      <c r="M6" s="6" t="s">
        <v>310</v>
      </c>
      <c r="N6" s="7" t="s">
        <v>201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20" t="s">
        <v>115</v>
      </c>
      <c r="B7" s="24" t="str">
        <f>INDEX('02_Investor_Master'!$C$7:$C$31,MATCH(A7,'02_Investor_Master'!$A$7:$A$31,0))</f>
        <v>Pension / Long-only</v>
      </c>
      <c r="C7" s="24" t="str">
        <f>INDEX('02_Investor_Master'!$B$7:$B$31,MATCH(A7,'02_Investor_Master'!$A$7:$A$31,0))</f>
        <v>Denmark</v>
      </c>
      <c r="D7" s="24">
        <f>INDEX('02_Investor_Master'!$K$7:$K$31,MATCH(A7,'02_Investor_Master'!$A$7:$A$31,0))</f>
        <v>97</v>
      </c>
      <c r="E7" s="12">
        <v>300</v>
      </c>
      <c r="F7" s="12">
        <v>330</v>
      </c>
      <c r="G7" s="12">
        <v>360</v>
      </c>
      <c r="H7" s="12">
        <v>380</v>
      </c>
      <c r="I7" s="12">
        <v>400</v>
      </c>
      <c r="J7" s="12">
        <v>400</v>
      </c>
      <c r="K7" s="12">
        <v>400</v>
      </c>
      <c r="L7" s="12">
        <v>400</v>
      </c>
      <c r="M7" s="12">
        <v>400</v>
      </c>
      <c r="N7" s="43">
        <f t="shared" ref="N7:N31" si="0">SUM(E7:M7)</f>
        <v>3370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20" t="s">
        <v>121</v>
      </c>
      <c r="B8" s="24" t="str">
        <f>INDEX('02_Investor_Master'!$C$7:$C$31,MATCH(A8,'02_Investor_Master'!$A$7:$A$31,0))</f>
        <v>Nordic Long-only</v>
      </c>
      <c r="C8" s="24" t="str">
        <f>INDEX('02_Investor_Master'!$B$7:$B$31,MATCH(A8,'02_Investor_Master'!$A$7:$A$31,0))</f>
        <v>Denmark</v>
      </c>
      <c r="D8" s="24">
        <f>INDEX('02_Investor_Master'!$K$7:$K$31,MATCH(A8,'02_Investor_Master'!$A$7:$A$31,0))</f>
        <v>97</v>
      </c>
      <c r="E8" s="12">
        <v>250</v>
      </c>
      <c r="F8" s="12">
        <v>275</v>
      </c>
      <c r="G8" s="12">
        <v>300</v>
      </c>
      <c r="H8" s="12">
        <v>325</v>
      </c>
      <c r="I8" s="12">
        <v>350</v>
      </c>
      <c r="J8" s="12">
        <v>350</v>
      </c>
      <c r="K8" s="12">
        <v>350</v>
      </c>
      <c r="L8" s="12">
        <v>350</v>
      </c>
      <c r="M8" s="12">
        <v>350</v>
      </c>
      <c r="N8" s="43">
        <f t="shared" si="0"/>
        <v>2900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20" t="s">
        <v>125</v>
      </c>
      <c r="B9" s="24" t="str">
        <f>INDEX('02_Investor_Master'!$C$7:$C$31,MATCH(A9,'02_Investor_Master'!$A$7:$A$31,0))</f>
        <v>Nordic Long-only</v>
      </c>
      <c r="C9" s="24" t="str">
        <f>INDEX('02_Investor_Master'!$B$7:$B$31,MATCH(A9,'02_Investor_Master'!$A$7:$A$31,0))</f>
        <v>Norway</v>
      </c>
      <c r="D9" s="24">
        <f>INDEX('02_Investor_Master'!$K$7:$K$31,MATCH(A9,'02_Investor_Master'!$A$7:$A$31,0))</f>
        <v>97</v>
      </c>
      <c r="E9" s="12">
        <v>200</v>
      </c>
      <c r="F9" s="12">
        <v>225</v>
      </c>
      <c r="G9" s="12">
        <v>250</v>
      </c>
      <c r="H9" s="12">
        <v>275</v>
      </c>
      <c r="I9" s="12">
        <v>300</v>
      </c>
      <c r="J9" s="12">
        <v>300</v>
      </c>
      <c r="K9" s="12">
        <v>300</v>
      </c>
      <c r="L9" s="12">
        <v>300</v>
      </c>
      <c r="M9" s="12">
        <v>300</v>
      </c>
      <c r="N9" s="43">
        <f t="shared" si="0"/>
        <v>2450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20" t="s">
        <v>129</v>
      </c>
      <c r="B10" s="24" t="str">
        <f>INDEX('02_Investor_Master'!$C$7:$C$31,MATCH(A10,'02_Investor_Master'!$A$7:$A$31,0))</f>
        <v>Nordic Long-only</v>
      </c>
      <c r="C10" s="24" t="str">
        <f>INDEX('02_Investor_Master'!$B$7:$B$31,MATCH(A10,'02_Investor_Master'!$A$7:$A$31,0))</f>
        <v>Denmark</v>
      </c>
      <c r="D10" s="24">
        <f>INDEX('02_Investor_Master'!$K$7:$K$31,MATCH(A10,'02_Investor_Master'!$A$7:$A$31,0))</f>
        <v>97</v>
      </c>
      <c r="E10" s="12">
        <v>250</v>
      </c>
      <c r="F10" s="12">
        <v>275</v>
      </c>
      <c r="G10" s="12">
        <v>300</v>
      </c>
      <c r="H10" s="12">
        <v>325</v>
      </c>
      <c r="I10" s="12">
        <v>350</v>
      </c>
      <c r="J10" s="12">
        <v>350</v>
      </c>
      <c r="K10" s="12">
        <v>350</v>
      </c>
      <c r="L10" s="12">
        <v>350</v>
      </c>
      <c r="M10" s="12">
        <v>350</v>
      </c>
      <c r="N10" s="43">
        <f t="shared" si="0"/>
        <v>2900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20" t="s">
        <v>131</v>
      </c>
      <c r="B11" s="24" t="str">
        <f>INDEX('02_Investor_Master'!$C$7:$C$31,MATCH(A11,'02_Investor_Master'!$A$7:$A$31,0))</f>
        <v>Nordic Long-only</v>
      </c>
      <c r="C11" s="24" t="str">
        <f>INDEX('02_Investor_Master'!$B$7:$B$31,MATCH(A11,'02_Investor_Master'!$A$7:$A$31,0))</f>
        <v>Nordics</v>
      </c>
      <c r="D11" s="24">
        <f>INDEX('02_Investor_Master'!$K$7:$K$31,MATCH(A11,'02_Investor_Master'!$A$7:$A$31,0))</f>
        <v>80</v>
      </c>
      <c r="E11" s="12">
        <v>120</v>
      </c>
      <c r="F11" s="12">
        <v>140</v>
      </c>
      <c r="G11" s="12">
        <v>150</v>
      </c>
      <c r="H11" s="12">
        <v>170</v>
      </c>
      <c r="I11" s="12">
        <v>190</v>
      </c>
      <c r="J11" s="12">
        <v>200</v>
      </c>
      <c r="K11" s="12">
        <v>200</v>
      </c>
      <c r="L11" s="12">
        <v>200</v>
      </c>
      <c r="M11" s="12">
        <v>200</v>
      </c>
      <c r="N11" s="43">
        <f t="shared" si="0"/>
        <v>1570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20" t="s">
        <v>135</v>
      </c>
      <c r="B12" s="24" t="str">
        <f>INDEX('02_Investor_Master'!$C$7:$C$31,MATCH(A12,'02_Investor_Master'!$A$7:$A$31,0))</f>
        <v>Pension / Long-only</v>
      </c>
      <c r="C12" s="24" t="str">
        <f>INDEX('02_Investor_Master'!$B$7:$B$31,MATCH(A12,'02_Investor_Master'!$A$7:$A$31,0))</f>
        <v>Denmark</v>
      </c>
      <c r="D12" s="24">
        <f>INDEX('02_Investor_Master'!$K$7:$K$31,MATCH(A12,'02_Investor_Master'!$A$7:$A$31,0))</f>
        <v>93</v>
      </c>
      <c r="E12" s="12">
        <v>150</v>
      </c>
      <c r="F12" s="12">
        <v>220</v>
      </c>
      <c r="G12" s="12">
        <v>300</v>
      </c>
      <c r="H12" s="12">
        <v>380</v>
      </c>
      <c r="I12" s="12">
        <v>450</v>
      </c>
      <c r="J12" s="12">
        <v>500</v>
      </c>
      <c r="K12" s="12">
        <v>550</v>
      </c>
      <c r="L12" s="12">
        <v>600</v>
      </c>
      <c r="M12" s="12">
        <v>650</v>
      </c>
      <c r="N12" s="43">
        <f t="shared" si="0"/>
        <v>3800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20" t="s">
        <v>139</v>
      </c>
      <c r="B13" s="24" t="str">
        <f>INDEX('02_Investor_Master'!$C$7:$C$31,MATCH(A13,'02_Investor_Master'!$A$7:$A$31,0))</f>
        <v>Pension / Long-only</v>
      </c>
      <c r="C13" s="24" t="str">
        <f>INDEX('02_Investor_Master'!$B$7:$B$31,MATCH(A13,'02_Investor_Master'!$A$7:$A$31,0))</f>
        <v>Denmark</v>
      </c>
      <c r="D13" s="24">
        <f>INDEX('02_Investor_Master'!$K$7:$K$31,MATCH(A13,'02_Investor_Master'!$A$7:$A$31,0))</f>
        <v>83</v>
      </c>
      <c r="E13" s="12">
        <v>80</v>
      </c>
      <c r="F13" s="12">
        <v>120</v>
      </c>
      <c r="G13" s="12">
        <v>180</v>
      </c>
      <c r="H13" s="12">
        <v>240</v>
      </c>
      <c r="I13" s="12">
        <v>300</v>
      </c>
      <c r="J13" s="12">
        <v>350</v>
      </c>
      <c r="K13" s="12">
        <v>400</v>
      </c>
      <c r="L13" s="12">
        <v>450</v>
      </c>
      <c r="M13" s="12">
        <v>500</v>
      </c>
      <c r="N13" s="43">
        <f t="shared" si="0"/>
        <v>2620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20" t="s">
        <v>141</v>
      </c>
      <c r="B14" s="24" t="str">
        <f>INDEX('02_Investor_Master'!$C$7:$C$31,MATCH(A14,'02_Investor_Master'!$A$7:$A$31,0))</f>
        <v>Pension / Long-only</v>
      </c>
      <c r="C14" s="24" t="str">
        <f>INDEX('02_Investor_Master'!$B$7:$B$31,MATCH(A14,'02_Investor_Master'!$A$7:$A$31,0))</f>
        <v>Denmark</v>
      </c>
      <c r="D14" s="24">
        <f>INDEX('02_Investor_Master'!$K$7:$K$31,MATCH(A14,'02_Investor_Master'!$A$7:$A$31,0))</f>
        <v>87</v>
      </c>
      <c r="E14" s="12">
        <v>100</v>
      </c>
      <c r="F14" s="12">
        <v>160</v>
      </c>
      <c r="G14" s="12">
        <v>220</v>
      </c>
      <c r="H14" s="12">
        <v>300</v>
      </c>
      <c r="I14" s="12">
        <v>380</v>
      </c>
      <c r="J14" s="12">
        <v>450</v>
      </c>
      <c r="K14" s="12">
        <v>500</v>
      </c>
      <c r="L14" s="12">
        <v>550</v>
      </c>
      <c r="M14" s="12">
        <v>600</v>
      </c>
      <c r="N14" s="43">
        <f t="shared" si="0"/>
        <v>3260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20" t="s">
        <v>144</v>
      </c>
      <c r="B15" s="24" t="str">
        <f>INDEX('02_Investor_Master'!$C$7:$C$31,MATCH(A15,'02_Investor_Master'!$A$7:$A$31,0))</f>
        <v>Pension / Long-only</v>
      </c>
      <c r="C15" s="24" t="str">
        <f>INDEX('02_Investor_Master'!$B$7:$B$31,MATCH(A15,'02_Investor_Master'!$A$7:$A$31,0))</f>
        <v>Denmark</v>
      </c>
      <c r="D15" s="24">
        <f>INDEX('02_Investor_Master'!$K$7:$K$31,MATCH(A15,'02_Investor_Master'!$A$7:$A$31,0))</f>
        <v>80</v>
      </c>
      <c r="E15" s="12">
        <v>60</v>
      </c>
      <c r="F15" s="12">
        <v>100</v>
      </c>
      <c r="G15" s="12">
        <v>150</v>
      </c>
      <c r="H15" s="12">
        <v>220</v>
      </c>
      <c r="I15" s="12">
        <v>280</v>
      </c>
      <c r="J15" s="12">
        <v>330</v>
      </c>
      <c r="K15" s="12">
        <v>380</v>
      </c>
      <c r="L15" s="12">
        <v>420</v>
      </c>
      <c r="M15" s="12">
        <v>460</v>
      </c>
      <c r="N15" s="43">
        <f t="shared" si="0"/>
        <v>2400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20" t="s">
        <v>146</v>
      </c>
      <c r="B16" s="24" t="str">
        <f>INDEX('02_Investor_Master'!$C$7:$C$31,MATCH(A16,'02_Investor_Master'!$A$7:$A$31,0))</f>
        <v>Pension / Long-only</v>
      </c>
      <c r="C16" s="24" t="str">
        <f>INDEX('02_Investor_Master'!$B$7:$B$31,MATCH(A16,'02_Investor_Master'!$A$7:$A$31,0))</f>
        <v>Norway</v>
      </c>
      <c r="D16" s="24">
        <f>INDEX('02_Investor_Master'!$K$7:$K$31,MATCH(A16,'02_Investor_Master'!$A$7:$A$31,0))</f>
        <v>83</v>
      </c>
      <c r="E16" s="12">
        <v>80</v>
      </c>
      <c r="F16" s="12">
        <v>120</v>
      </c>
      <c r="G16" s="12">
        <v>180</v>
      </c>
      <c r="H16" s="12">
        <v>250</v>
      </c>
      <c r="I16" s="12">
        <v>320</v>
      </c>
      <c r="J16" s="12">
        <v>380</v>
      </c>
      <c r="K16" s="12">
        <v>430</v>
      </c>
      <c r="L16" s="12">
        <v>480</v>
      </c>
      <c r="M16" s="12">
        <v>520</v>
      </c>
      <c r="N16" s="43">
        <f t="shared" si="0"/>
        <v>2760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20" t="s">
        <v>149</v>
      </c>
      <c r="B17" s="24" t="str">
        <f>INDEX('02_Investor_Master'!$C$7:$C$31,MATCH(A17,'02_Investor_Master'!$A$7:$A$31,0))</f>
        <v>ESG Long-only</v>
      </c>
      <c r="C17" s="24" t="str">
        <f>INDEX('02_Investor_Master'!$B$7:$B$31,MATCH(A17,'02_Investor_Master'!$A$7:$A$31,0))</f>
        <v>Norway</v>
      </c>
      <c r="D17" s="24">
        <f>INDEX('02_Investor_Master'!$K$7:$K$31,MATCH(A17,'02_Investor_Master'!$A$7:$A$31,0))</f>
        <v>76</v>
      </c>
      <c r="E17" s="12">
        <v>60</v>
      </c>
      <c r="F17" s="12">
        <v>100</v>
      </c>
      <c r="G17" s="12">
        <v>150</v>
      </c>
      <c r="H17" s="12">
        <v>220</v>
      </c>
      <c r="I17" s="12">
        <v>280</v>
      </c>
      <c r="J17" s="12">
        <v>330</v>
      </c>
      <c r="K17" s="12">
        <v>380</v>
      </c>
      <c r="L17" s="12">
        <v>420</v>
      </c>
      <c r="M17" s="12">
        <v>460</v>
      </c>
      <c r="N17" s="43">
        <f t="shared" si="0"/>
        <v>2400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20" t="s">
        <v>152</v>
      </c>
      <c r="B18" s="24" t="str">
        <f>INDEX('02_Investor_Master'!$C$7:$C$31,MATCH(A18,'02_Investor_Master'!$A$7:$A$31,0))</f>
        <v>Nordic Long-only</v>
      </c>
      <c r="C18" s="24" t="str">
        <f>INDEX('02_Investor_Master'!$B$7:$B$31,MATCH(A18,'02_Investor_Master'!$A$7:$A$31,0))</f>
        <v>Norway</v>
      </c>
      <c r="D18" s="24">
        <f>INDEX('02_Investor_Master'!$K$7:$K$31,MATCH(A18,'02_Investor_Master'!$A$7:$A$31,0))</f>
        <v>89</v>
      </c>
      <c r="E18" s="12">
        <v>100</v>
      </c>
      <c r="F18" s="12">
        <v>150</v>
      </c>
      <c r="G18" s="12">
        <v>230</v>
      </c>
      <c r="H18" s="12">
        <v>320</v>
      </c>
      <c r="I18" s="12">
        <v>420</v>
      </c>
      <c r="J18" s="12">
        <v>500</v>
      </c>
      <c r="K18" s="12">
        <v>560</v>
      </c>
      <c r="L18" s="12">
        <v>620</v>
      </c>
      <c r="M18" s="12">
        <v>680</v>
      </c>
      <c r="N18" s="43">
        <f t="shared" si="0"/>
        <v>3580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20" t="s">
        <v>155</v>
      </c>
      <c r="B19" s="24" t="str">
        <f>INDEX('02_Investor_Master'!$C$7:$C$31,MATCH(A19,'02_Investor_Master'!$A$7:$A$31,0))</f>
        <v>Pension / Long-only</v>
      </c>
      <c r="C19" s="24" t="str">
        <f>INDEX('02_Investor_Master'!$B$7:$B$31,MATCH(A19,'02_Investor_Master'!$A$7:$A$31,0))</f>
        <v>Sweden</v>
      </c>
      <c r="D19" s="24">
        <f>INDEX('02_Investor_Master'!$K$7:$K$31,MATCH(A19,'02_Investor_Master'!$A$7:$A$31,0))</f>
        <v>83</v>
      </c>
      <c r="E19" s="12">
        <v>80</v>
      </c>
      <c r="F19" s="12">
        <v>120</v>
      </c>
      <c r="G19" s="12">
        <v>170</v>
      </c>
      <c r="H19" s="12">
        <v>230</v>
      </c>
      <c r="I19" s="12">
        <v>300</v>
      </c>
      <c r="J19" s="12">
        <v>360</v>
      </c>
      <c r="K19" s="12">
        <v>420</v>
      </c>
      <c r="L19" s="12">
        <v>480</v>
      </c>
      <c r="M19" s="12">
        <v>540</v>
      </c>
      <c r="N19" s="43">
        <f t="shared" si="0"/>
        <v>2700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20" t="s">
        <v>158</v>
      </c>
      <c r="B20" s="24" t="str">
        <f>INDEX('02_Investor_Master'!$C$7:$C$31,MATCH(A20,'02_Investor_Master'!$A$7:$A$31,0))</f>
        <v>Pension / Long-only</v>
      </c>
      <c r="C20" s="24" t="str">
        <f>INDEX('02_Investor_Master'!$B$7:$B$31,MATCH(A20,'02_Investor_Master'!$A$7:$A$31,0))</f>
        <v>Sweden</v>
      </c>
      <c r="D20" s="24">
        <f>INDEX('02_Investor_Master'!$K$7:$K$31,MATCH(A20,'02_Investor_Master'!$A$7:$A$31,0))</f>
        <v>80</v>
      </c>
      <c r="E20" s="12">
        <v>60</v>
      </c>
      <c r="F20" s="12">
        <v>100</v>
      </c>
      <c r="G20" s="12">
        <v>150</v>
      </c>
      <c r="H20" s="12">
        <v>220</v>
      </c>
      <c r="I20" s="12">
        <v>300</v>
      </c>
      <c r="J20" s="12">
        <v>370</v>
      </c>
      <c r="K20" s="12">
        <v>430</v>
      </c>
      <c r="L20" s="12">
        <v>480</v>
      </c>
      <c r="M20" s="12">
        <v>520</v>
      </c>
      <c r="N20" s="43">
        <f t="shared" si="0"/>
        <v>2630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20" t="s">
        <v>161</v>
      </c>
      <c r="B21" s="24" t="str">
        <f>INDEX('02_Investor_Master'!$C$7:$C$31,MATCH(A21,'02_Investor_Master'!$A$7:$A$31,0))</f>
        <v>Nordic Long-only</v>
      </c>
      <c r="C21" s="24" t="str">
        <f>INDEX('02_Investor_Master'!$B$7:$B$31,MATCH(A21,'02_Investor_Master'!$A$7:$A$31,0))</f>
        <v>Sweden</v>
      </c>
      <c r="D21" s="24">
        <f>INDEX('02_Investor_Master'!$K$7:$K$31,MATCH(A21,'02_Investor_Master'!$A$7:$A$31,0))</f>
        <v>76</v>
      </c>
      <c r="E21" s="12">
        <v>120</v>
      </c>
      <c r="F21" s="12">
        <v>180</v>
      </c>
      <c r="G21" s="12">
        <v>250</v>
      </c>
      <c r="H21" s="12">
        <v>330</v>
      </c>
      <c r="I21" s="12">
        <v>420</v>
      </c>
      <c r="J21" s="12">
        <v>500</v>
      </c>
      <c r="K21" s="12">
        <v>580</v>
      </c>
      <c r="L21" s="12">
        <v>650</v>
      </c>
      <c r="M21" s="12">
        <v>720</v>
      </c>
      <c r="N21" s="43">
        <f t="shared" si="0"/>
        <v>3750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20" t="s">
        <v>164</v>
      </c>
      <c r="B22" s="24" t="str">
        <f>INDEX('02_Investor_Master'!$C$7:$C$31,MATCH(A22,'02_Investor_Master'!$A$7:$A$31,0))</f>
        <v>Nordic Long-only</v>
      </c>
      <c r="C22" s="24" t="str">
        <f>INDEX('02_Investor_Master'!$B$7:$B$31,MATCH(A22,'02_Investor_Master'!$A$7:$A$31,0))</f>
        <v>Sweden</v>
      </c>
      <c r="D22" s="24">
        <f>INDEX('02_Investor_Master'!$K$7:$K$31,MATCH(A22,'02_Investor_Master'!$A$7:$A$31,0))</f>
        <v>76</v>
      </c>
      <c r="E22" s="12">
        <v>90</v>
      </c>
      <c r="F22" s="12">
        <v>140</v>
      </c>
      <c r="G22" s="12">
        <v>200</v>
      </c>
      <c r="H22" s="12">
        <v>270</v>
      </c>
      <c r="I22" s="12">
        <v>350</v>
      </c>
      <c r="J22" s="12">
        <v>420</v>
      </c>
      <c r="K22" s="12">
        <v>500</v>
      </c>
      <c r="L22" s="12">
        <v>570</v>
      </c>
      <c r="M22" s="12">
        <v>640</v>
      </c>
      <c r="N22" s="43">
        <f t="shared" si="0"/>
        <v>3180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20" t="s">
        <v>166</v>
      </c>
      <c r="B23" s="24" t="str">
        <f>INDEX('02_Investor_Master'!$C$7:$C$31,MATCH(A23,'02_Investor_Master'!$A$7:$A$31,0))</f>
        <v>Global Long-only</v>
      </c>
      <c r="C23" s="24" t="str">
        <f>INDEX('02_Investor_Master'!$B$7:$B$31,MATCH(A23,'02_Investor_Master'!$A$7:$A$31,0))</f>
        <v>Global</v>
      </c>
      <c r="D23" s="24">
        <f>INDEX('02_Investor_Master'!$K$7:$K$31,MATCH(A23,'02_Investor_Master'!$A$7:$A$31,0))</f>
        <v>73</v>
      </c>
      <c r="E23" s="12">
        <v>80</v>
      </c>
      <c r="F23" s="12">
        <v>150</v>
      </c>
      <c r="G23" s="12">
        <v>250</v>
      </c>
      <c r="H23" s="12">
        <v>350</v>
      </c>
      <c r="I23" s="12">
        <v>450</v>
      </c>
      <c r="J23" s="12">
        <v>550</v>
      </c>
      <c r="K23" s="12">
        <v>650</v>
      </c>
      <c r="L23" s="12">
        <v>720</v>
      </c>
      <c r="M23" s="12">
        <v>780</v>
      </c>
      <c r="N23" s="43">
        <f t="shared" si="0"/>
        <v>3980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20" t="s">
        <v>171</v>
      </c>
      <c r="B24" s="24" t="str">
        <f>INDEX('02_Investor_Master'!$C$7:$C$31,MATCH(A24,'02_Investor_Master'!$A$7:$A$31,0))</f>
        <v>Global Long-only</v>
      </c>
      <c r="C24" s="24" t="str">
        <f>INDEX('02_Investor_Master'!$B$7:$B$31,MATCH(A24,'02_Investor_Master'!$A$7:$A$31,0))</f>
        <v>Global</v>
      </c>
      <c r="D24" s="24">
        <f>INDEX('02_Investor_Master'!$K$7:$K$31,MATCH(A24,'02_Investor_Master'!$A$7:$A$31,0))</f>
        <v>73</v>
      </c>
      <c r="E24" s="12">
        <v>80</v>
      </c>
      <c r="F24" s="12">
        <v>150</v>
      </c>
      <c r="G24" s="12">
        <v>250</v>
      </c>
      <c r="H24" s="12">
        <v>350</v>
      </c>
      <c r="I24" s="12">
        <v>450</v>
      </c>
      <c r="J24" s="12">
        <v>550</v>
      </c>
      <c r="K24" s="12">
        <v>650</v>
      </c>
      <c r="L24" s="12">
        <v>720</v>
      </c>
      <c r="M24" s="12">
        <v>780</v>
      </c>
      <c r="N24" s="43">
        <f t="shared" si="0"/>
        <v>3980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20" t="s">
        <v>174</v>
      </c>
      <c r="B25" s="24" t="str">
        <f>INDEX('02_Investor_Master'!$C$7:$C$31,MATCH(A25,'02_Investor_Master'!$A$7:$A$31,0))</f>
        <v>Global Long-only</v>
      </c>
      <c r="C25" s="24" t="str">
        <f>INDEX('02_Investor_Master'!$B$7:$B$31,MATCH(A25,'02_Investor_Master'!$A$7:$A$31,0))</f>
        <v>Global</v>
      </c>
      <c r="D25" s="24">
        <f>INDEX('02_Investor_Master'!$K$7:$K$31,MATCH(A25,'02_Investor_Master'!$A$7:$A$31,0))</f>
        <v>86</v>
      </c>
      <c r="E25" s="12">
        <v>100</v>
      </c>
      <c r="F25" s="12">
        <v>160</v>
      </c>
      <c r="G25" s="12">
        <v>260</v>
      </c>
      <c r="H25" s="12">
        <v>380</v>
      </c>
      <c r="I25" s="12">
        <v>500</v>
      </c>
      <c r="J25" s="12">
        <v>620</v>
      </c>
      <c r="K25" s="12">
        <v>740</v>
      </c>
      <c r="L25" s="12">
        <v>850</v>
      </c>
      <c r="M25" s="12">
        <v>950</v>
      </c>
      <c r="N25" s="43">
        <f t="shared" si="0"/>
        <v>4560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20" t="s">
        <v>177</v>
      </c>
      <c r="B26" s="24" t="str">
        <f>INDEX('02_Investor_Master'!$C$7:$C$31,MATCH(A26,'02_Investor_Master'!$A$7:$A$31,0))</f>
        <v>Global Long-only</v>
      </c>
      <c r="C26" s="24" t="str">
        <f>INDEX('02_Investor_Master'!$B$7:$B$31,MATCH(A26,'02_Investor_Master'!$A$7:$A$31,0))</f>
        <v>Global</v>
      </c>
      <c r="D26" s="24">
        <f>INDEX('02_Investor_Master'!$K$7:$K$31,MATCH(A26,'02_Investor_Master'!$A$7:$A$31,0))</f>
        <v>73</v>
      </c>
      <c r="E26" s="12">
        <v>70</v>
      </c>
      <c r="F26" s="12">
        <v>130</v>
      </c>
      <c r="G26" s="12">
        <v>220</v>
      </c>
      <c r="H26" s="12">
        <v>320</v>
      </c>
      <c r="I26" s="12">
        <v>430</v>
      </c>
      <c r="J26" s="12">
        <v>540</v>
      </c>
      <c r="K26" s="12">
        <v>650</v>
      </c>
      <c r="L26" s="12">
        <v>760</v>
      </c>
      <c r="M26" s="12">
        <v>850</v>
      </c>
      <c r="N26" s="43">
        <f t="shared" si="0"/>
        <v>3970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20" t="s">
        <v>180</v>
      </c>
      <c r="B27" s="24" t="str">
        <f>INDEX('02_Investor_Master'!$C$7:$C$31,MATCH(A27,'02_Investor_Master'!$A$7:$A$31,0))</f>
        <v>Global Long-only</v>
      </c>
      <c r="C27" s="24" t="str">
        <f>INDEX('02_Investor_Master'!$B$7:$B$31,MATCH(A27,'02_Investor_Master'!$A$7:$A$31,0))</f>
        <v>Norway</v>
      </c>
      <c r="D27" s="24">
        <f>INDEX('02_Investor_Master'!$K$7:$K$31,MATCH(A27,'02_Investor_Master'!$A$7:$A$31,0))</f>
        <v>86</v>
      </c>
      <c r="E27" s="12">
        <v>80</v>
      </c>
      <c r="F27" s="12">
        <v>130</v>
      </c>
      <c r="G27" s="12">
        <v>220</v>
      </c>
      <c r="H27" s="12">
        <v>320</v>
      </c>
      <c r="I27" s="12">
        <v>450</v>
      </c>
      <c r="J27" s="12">
        <v>570</v>
      </c>
      <c r="K27" s="12">
        <v>700</v>
      </c>
      <c r="L27" s="12">
        <v>820</v>
      </c>
      <c r="M27" s="12">
        <v>950</v>
      </c>
      <c r="N27" s="43">
        <f t="shared" si="0"/>
        <v>4240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20" t="s">
        <v>183</v>
      </c>
      <c r="B28" s="24" t="str">
        <f>INDEX('02_Investor_Master'!$C$7:$C$31,MATCH(A28,'02_Investor_Master'!$A$7:$A$31,0))</f>
        <v>Hedge Fund</v>
      </c>
      <c r="C28" s="24" t="str">
        <f>INDEX('02_Investor_Master'!$B$7:$B$31,MATCH(A28,'02_Investor_Master'!$A$7:$A$31,0))</f>
        <v>Global</v>
      </c>
      <c r="D28" s="24">
        <f>INDEX('02_Investor_Master'!$K$7:$K$31,MATCH(A28,'02_Investor_Master'!$A$7:$A$31,0))</f>
        <v>42</v>
      </c>
      <c r="E28" s="12">
        <v>200</v>
      </c>
      <c r="F28" s="12">
        <v>300</v>
      </c>
      <c r="G28" s="12">
        <v>450</v>
      </c>
      <c r="H28" s="12">
        <v>650</v>
      </c>
      <c r="I28" s="12">
        <v>900</v>
      </c>
      <c r="J28" s="12">
        <v>1200</v>
      </c>
      <c r="K28" s="12">
        <v>1450</v>
      </c>
      <c r="L28" s="12">
        <v>1700</v>
      </c>
      <c r="M28" s="12">
        <v>1900</v>
      </c>
      <c r="N28" s="43">
        <f t="shared" si="0"/>
        <v>8750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20" t="s">
        <v>187</v>
      </c>
      <c r="B29" s="24" t="str">
        <f>INDEX('02_Investor_Master'!$C$7:$C$31,MATCH(A29,'02_Investor_Master'!$A$7:$A$31,0))</f>
        <v>Hedge Fund</v>
      </c>
      <c r="C29" s="24" t="str">
        <f>INDEX('02_Investor_Master'!$B$7:$B$31,MATCH(A29,'02_Investor_Master'!$A$7:$A$31,0))</f>
        <v>Global</v>
      </c>
      <c r="D29" s="24">
        <f>INDEX('02_Investor_Master'!$K$7:$K$31,MATCH(A29,'02_Investor_Master'!$A$7:$A$31,0))</f>
        <v>42</v>
      </c>
      <c r="E29" s="12">
        <v>150</v>
      </c>
      <c r="F29" s="12">
        <v>250</v>
      </c>
      <c r="G29" s="12">
        <v>400</v>
      </c>
      <c r="H29" s="12">
        <v>600</v>
      </c>
      <c r="I29" s="12">
        <v>850</v>
      </c>
      <c r="J29" s="12">
        <v>1100</v>
      </c>
      <c r="K29" s="12">
        <v>1350</v>
      </c>
      <c r="L29" s="12">
        <v>1600</v>
      </c>
      <c r="M29" s="12">
        <v>1800</v>
      </c>
      <c r="N29" s="43">
        <f t="shared" si="0"/>
        <v>8100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20" t="s">
        <v>190</v>
      </c>
      <c r="B30" s="24" t="str">
        <f>INDEX('02_Investor_Master'!$C$7:$C$31,MATCH(A30,'02_Investor_Master'!$A$7:$A$31,0))</f>
        <v>Nordic Long-only</v>
      </c>
      <c r="C30" s="24" t="str">
        <f>INDEX('02_Investor_Master'!$B$7:$B$31,MATCH(A30,'02_Investor_Master'!$A$7:$A$31,0))</f>
        <v>Nordics</v>
      </c>
      <c r="D30" s="24">
        <f>INDEX('02_Investor_Master'!$K$7:$K$31,MATCH(A30,'02_Investor_Master'!$A$7:$A$31,0))</f>
        <v>59</v>
      </c>
      <c r="E30" s="12">
        <v>40</v>
      </c>
      <c r="F30" s="12">
        <v>80</v>
      </c>
      <c r="G30" s="12">
        <v>130</v>
      </c>
      <c r="H30" s="12">
        <v>190</v>
      </c>
      <c r="I30" s="12">
        <v>260</v>
      </c>
      <c r="J30" s="12">
        <v>330</v>
      </c>
      <c r="K30" s="12">
        <v>400</v>
      </c>
      <c r="L30" s="12">
        <v>470</v>
      </c>
      <c r="M30" s="12">
        <v>540</v>
      </c>
      <c r="N30" s="43">
        <f t="shared" si="0"/>
        <v>2440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20" t="s">
        <v>193</v>
      </c>
      <c r="B31" s="24" t="str">
        <f>INDEX('02_Investor_Master'!$C$7:$C$31,MATCH(A31,'02_Investor_Master'!$A$7:$A$31,0))</f>
        <v>Sector Specialist</v>
      </c>
      <c r="C31" s="24" t="str">
        <f>INDEX('02_Investor_Master'!$B$7:$B$31,MATCH(A31,'02_Investor_Master'!$A$7:$A$31,0))</f>
        <v>Global</v>
      </c>
      <c r="D31" s="24">
        <f>INDEX('02_Investor_Master'!$K$7:$K$31,MATCH(A31,'02_Investor_Master'!$A$7:$A$31,0))</f>
        <v>76</v>
      </c>
      <c r="E31" s="12">
        <v>80</v>
      </c>
      <c r="F31" s="12">
        <v>130</v>
      </c>
      <c r="G31" s="12">
        <v>220</v>
      </c>
      <c r="H31" s="12">
        <v>330</v>
      </c>
      <c r="I31" s="12">
        <v>450</v>
      </c>
      <c r="J31" s="12">
        <v>570</v>
      </c>
      <c r="K31" s="12">
        <v>700</v>
      </c>
      <c r="L31" s="12">
        <v>820</v>
      </c>
      <c r="M31" s="12">
        <v>950</v>
      </c>
      <c r="N31" s="43">
        <f t="shared" si="0"/>
        <v>4250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20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22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20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22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">
      <c r="A34" s="44" t="s">
        <v>30</v>
      </c>
      <c r="B34" s="45"/>
      <c r="C34" s="45"/>
      <c r="D34" s="45"/>
      <c r="E34" s="46">
        <f t="shared" ref="E34:M34" si="1">SUM(E7:E31)</f>
        <v>2980</v>
      </c>
      <c r="F34" s="46">
        <f t="shared" si="1"/>
        <v>4235</v>
      </c>
      <c r="G34" s="46">
        <f t="shared" si="1"/>
        <v>5940</v>
      </c>
      <c r="H34" s="46">
        <f t="shared" si="1"/>
        <v>7945</v>
      </c>
      <c r="I34" s="46">
        <f t="shared" si="1"/>
        <v>10130</v>
      </c>
      <c r="J34" s="46">
        <f t="shared" si="1"/>
        <v>12120</v>
      </c>
      <c r="K34" s="46">
        <f t="shared" si="1"/>
        <v>14020</v>
      </c>
      <c r="L34" s="46">
        <f t="shared" si="1"/>
        <v>15780</v>
      </c>
      <c r="M34" s="46">
        <f t="shared" si="1"/>
        <v>17390</v>
      </c>
      <c r="N34" s="47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">
      <c r="A35" s="48" t="s">
        <v>31</v>
      </c>
      <c r="B35" s="49"/>
      <c r="C35" s="49"/>
      <c r="D35" s="49"/>
      <c r="E35" s="50">
        <f ca="1">E6*'01_Deal_Inputs'!$B$11</f>
        <v>2721.6</v>
      </c>
      <c r="F35" s="50">
        <f ca="1">F6*'01_Deal_Inputs'!$B$11</f>
        <v>2696.4</v>
      </c>
      <c r="G35" s="50">
        <f ca="1">G6*'01_Deal_Inputs'!$B$11</f>
        <v>2671.2</v>
      </c>
      <c r="H35" s="50">
        <f ca="1">H6*'01_Deal_Inputs'!$B$11</f>
        <v>2646</v>
      </c>
      <c r="I35" s="50">
        <f ca="1">I6*'01_Deal_Inputs'!$B$11</f>
        <v>2620.7999999999997</v>
      </c>
      <c r="J35" s="50">
        <f ca="1">J6*'01_Deal_Inputs'!$B$11</f>
        <v>2595.6</v>
      </c>
      <c r="K35" s="50">
        <f ca="1">K6*'01_Deal_Inputs'!$B$11</f>
        <v>2570.4</v>
      </c>
      <c r="L35" s="50">
        <f ca="1">L6*'01_Deal_Inputs'!$B$11</f>
        <v>2545.1999999999998</v>
      </c>
      <c r="M35" s="50">
        <f ca="1">M6*'01_Deal_Inputs'!$B$11</f>
        <v>2520</v>
      </c>
      <c r="N35" s="51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">
      <c r="A36" s="48" t="s">
        <v>14</v>
      </c>
      <c r="B36" s="49"/>
      <c r="C36" s="49"/>
      <c r="D36" s="49"/>
      <c r="E36" s="52">
        <f t="shared" ref="E36:M36" ca="1" si="2">E34/E35</f>
        <v>1.0949441504997062</v>
      </c>
      <c r="F36" s="52">
        <f t="shared" ca="1" si="2"/>
        <v>1.5706126687435098</v>
      </c>
      <c r="G36" s="52">
        <f t="shared" ca="1" si="2"/>
        <v>2.2237196765498655</v>
      </c>
      <c r="H36" s="52">
        <f t="shared" ca="1" si="2"/>
        <v>3.0026455026455028</v>
      </c>
      <c r="I36" s="52">
        <f t="shared" ca="1" si="2"/>
        <v>3.8652319902319907</v>
      </c>
      <c r="J36" s="52">
        <f t="shared" ca="1" si="2"/>
        <v>4.6694405917706892</v>
      </c>
      <c r="K36" s="52">
        <f t="shared" ca="1" si="2"/>
        <v>5.4544039838157481</v>
      </c>
      <c r="L36" s="52">
        <f t="shared" ca="1" si="2"/>
        <v>6.1999057048562003</v>
      </c>
      <c r="M36" s="52">
        <f t="shared" ca="1" si="2"/>
        <v>6.9007936507936511</v>
      </c>
      <c r="N36" s="51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">
      <c r="A37" s="48" t="s">
        <v>202</v>
      </c>
      <c r="B37" s="49"/>
      <c r="C37" s="49"/>
      <c r="D37" s="49"/>
      <c r="E37" s="50">
        <f t="shared" ref="E37:M37" si="3">SUMPRODUCT(E7:E31,$D$7:$D$31)/100</f>
        <v>2436</v>
      </c>
      <c r="F37" s="50">
        <f t="shared" si="3"/>
        <v>3379.45</v>
      </c>
      <c r="G37" s="50">
        <f t="shared" si="3"/>
        <v>4644</v>
      </c>
      <c r="H37" s="50">
        <f t="shared" si="3"/>
        <v>6108.35</v>
      </c>
      <c r="I37" s="50">
        <f t="shared" si="3"/>
        <v>7676.8</v>
      </c>
      <c r="J37" s="50">
        <f t="shared" si="3"/>
        <v>9048.7000000000007</v>
      </c>
      <c r="K37" s="50">
        <f t="shared" si="3"/>
        <v>10363.9</v>
      </c>
      <c r="L37" s="50">
        <f t="shared" si="3"/>
        <v>11571.7</v>
      </c>
      <c r="M37" s="50">
        <f t="shared" si="3"/>
        <v>12699.6</v>
      </c>
      <c r="N37" s="51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">
      <c r="A38" s="48" t="s">
        <v>203</v>
      </c>
      <c r="B38" s="49"/>
      <c r="C38" s="49"/>
      <c r="D38" s="49"/>
      <c r="E38" s="52">
        <f t="shared" ref="E38:M38" ca="1" si="4">E37/E35</f>
        <v>0.89506172839506171</v>
      </c>
      <c r="F38" s="52">
        <f t="shared" ca="1" si="4"/>
        <v>1.253319240468773</v>
      </c>
      <c r="G38" s="52">
        <f t="shared" ca="1" si="4"/>
        <v>1.7385444743935312</v>
      </c>
      <c r="H38" s="52">
        <f t="shared" ca="1" si="4"/>
        <v>2.3085222978080124</v>
      </c>
      <c r="I38" s="52">
        <f t="shared" ca="1" si="4"/>
        <v>2.9291819291819294</v>
      </c>
      <c r="J38" s="52">
        <f t="shared" ca="1" si="4"/>
        <v>3.4861689012174453</v>
      </c>
      <c r="K38" s="52">
        <f t="shared" ca="1" si="4"/>
        <v>4.0320183629007156</v>
      </c>
      <c r="L38" s="52">
        <f t="shared" ca="1" si="4"/>
        <v>4.5464796479647971</v>
      </c>
      <c r="M38" s="52">
        <f t="shared" ca="1" si="4"/>
        <v>5.0395238095238097</v>
      </c>
      <c r="N38" s="51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">
      <c r="A39" s="48" t="s">
        <v>204</v>
      </c>
      <c r="B39" s="49"/>
      <c r="C39" s="49"/>
      <c r="D39" s="49"/>
      <c r="E39" s="50">
        <f t="shared" ref="E39:M39" si="5">SUMIFS(E7:E31,$B$7:$B$31,"Pension / Long-only")+SUMIFS(E7:E31,$B$7:$B$31,"Nordic Long-only")+SUMIFS(E7:E31,$B$7:$B$31,"ESG Long-only")+SUMIFS(E7:E31,$B$7:$B$31,"Global Long-only")</f>
        <v>2550</v>
      </c>
      <c r="F39" s="50">
        <f t="shared" si="5"/>
        <v>3555</v>
      </c>
      <c r="G39" s="50">
        <f t="shared" si="5"/>
        <v>4870</v>
      </c>
      <c r="H39" s="50">
        <f t="shared" si="5"/>
        <v>6365</v>
      </c>
      <c r="I39" s="50">
        <f t="shared" si="5"/>
        <v>7930</v>
      </c>
      <c r="J39" s="50">
        <f t="shared" si="5"/>
        <v>9250</v>
      </c>
      <c r="K39" s="50">
        <f t="shared" si="5"/>
        <v>10520</v>
      </c>
      <c r="L39" s="50">
        <f t="shared" si="5"/>
        <v>11660</v>
      </c>
      <c r="M39" s="50">
        <f t="shared" si="5"/>
        <v>12740</v>
      </c>
      <c r="N39" s="51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">
      <c r="A40" s="53" t="s">
        <v>205</v>
      </c>
      <c r="B40" s="54"/>
      <c r="C40" s="54"/>
      <c r="D40" s="54"/>
      <c r="E40" s="55">
        <f t="shared" ref="E40:M40" si="6">SUMIFS(E7:E31,$B$7:$B$31,"Hedge Fund")</f>
        <v>350</v>
      </c>
      <c r="F40" s="55">
        <f t="shared" si="6"/>
        <v>550</v>
      </c>
      <c r="G40" s="55">
        <f t="shared" si="6"/>
        <v>850</v>
      </c>
      <c r="H40" s="55">
        <f t="shared" si="6"/>
        <v>1250</v>
      </c>
      <c r="I40" s="55">
        <f t="shared" si="6"/>
        <v>1750</v>
      </c>
      <c r="J40" s="55">
        <f t="shared" si="6"/>
        <v>2300</v>
      </c>
      <c r="K40" s="55">
        <f t="shared" si="6"/>
        <v>2800</v>
      </c>
      <c r="L40" s="55">
        <f t="shared" si="6"/>
        <v>3300</v>
      </c>
      <c r="M40" s="55">
        <f t="shared" si="6"/>
        <v>3700</v>
      </c>
      <c r="N40" s="56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</sheetData>
  <mergeCells count="2">
    <mergeCell ref="A1:N1"/>
    <mergeCell ref="A5:N5"/>
  </mergeCells>
  <conditionalFormatting sqref="E36:M36">
    <cfRule type="cellIs" dxfId="11" priority="1" operator="lessThan">
      <formula>1</formula>
    </cfRule>
    <cfRule type="cellIs" dxfId="10" priority="2" operator="greaterThanOrEqual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0"/>
  <sheetViews>
    <sheetView workbookViewId="0">
      <selection activeCell="K10" sqref="K10"/>
    </sheetView>
  </sheetViews>
  <sheetFormatPr baseColWidth="10" defaultColWidth="8.83203125" defaultRowHeight="14"/>
  <cols>
    <col min="1" max="1" width="12" customWidth="1"/>
    <col min="2" max="3" width="16" customWidth="1"/>
    <col min="4" max="4" width="12" customWidth="1"/>
    <col min="5" max="9" width="16" customWidth="1"/>
    <col min="10" max="10" width="14" customWidth="1"/>
    <col min="11" max="11" width="22" customWidth="1"/>
  </cols>
  <sheetData>
    <row r="1" spans="1:26" ht="37.25" customHeight="1">
      <c r="A1" s="89" t="s">
        <v>206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">
      <c r="A2" s="15" t="s">
        <v>207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">
      <c r="A5" s="90" t="s">
        <v>208</v>
      </c>
      <c r="B5" s="84"/>
      <c r="C5" s="84"/>
      <c r="D5" s="84"/>
      <c r="E5" s="84"/>
      <c r="F5" s="84"/>
      <c r="G5" s="84"/>
      <c r="H5" s="84"/>
      <c r="I5" s="84"/>
      <c r="J5" s="84"/>
      <c r="K5" s="91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32">
      <c r="A6" s="5" t="s">
        <v>29</v>
      </c>
      <c r="B6" s="6" t="s">
        <v>209</v>
      </c>
      <c r="C6" s="6" t="s">
        <v>210</v>
      </c>
      <c r="D6" s="6" t="s">
        <v>14</v>
      </c>
      <c r="E6" s="6" t="s">
        <v>211</v>
      </c>
      <c r="F6" s="6" t="s">
        <v>212</v>
      </c>
      <c r="G6" s="6" t="s">
        <v>213</v>
      </c>
      <c r="H6" s="6" t="s">
        <v>214</v>
      </c>
      <c r="I6" s="6" t="s">
        <v>215</v>
      </c>
      <c r="J6" s="6" t="s">
        <v>216</v>
      </c>
      <c r="K6" s="7" t="s">
        <v>36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20">
        <v>108</v>
      </c>
      <c r="B7" s="23">
        <f>'03_Order_Book'!E34</f>
        <v>2980</v>
      </c>
      <c r="C7" s="23">
        <f>A7*'01_Deal_Inputs'!$B$11</f>
        <v>2721.6</v>
      </c>
      <c r="D7" s="25">
        <f t="shared" ref="D7:D15" si="0">B7/C7</f>
        <v>1.0949441504997062</v>
      </c>
      <c r="E7" s="21">
        <f t="shared" ref="E7:E15" si="1">B7/A7</f>
        <v>27.592592592592592</v>
      </c>
      <c r="F7" s="25">
        <f ca="1">'03_Order_Book'!E38</f>
        <v>0.89506172839506171</v>
      </c>
      <c r="G7" s="26">
        <f>SUMPRODUCT('03_Order_Book'!$E$7:$E$31,--('02_Investor_Master'!$H$7:$H$31&gt;=4))/B7</f>
        <v>0.86912751677852351</v>
      </c>
      <c r="H7" s="23">
        <f>'03_Order_Book'!E39</f>
        <v>2550</v>
      </c>
      <c r="I7" s="23">
        <f>'03_Order_Book'!E40</f>
        <v>350</v>
      </c>
      <c r="J7" s="26">
        <f>0</f>
        <v>0</v>
      </c>
      <c r="K7" s="34" t="str">
        <f ca="1">IF(D7&lt;1,"Not covered",IF(AND(D7&gt;='01_Deal_Inputs'!$B$23,F7&gt;='01_Deal_Inputs'!$G$22,G7&gt;='01_Deal_Inputs'!$G$23),"Good balance",IF(D7&gt;4,"Likely underpriced","Usable / judgement")))</f>
        <v>Usable / judgement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20">
        <v>107</v>
      </c>
      <c r="B8" s="23">
        <f>'03_Order_Book'!F34</f>
        <v>4235</v>
      </c>
      <c r="C8" s="23">
        <f>A8*'01_Deal_Inputs'!$B$11</f>
        <v>2696.4</v>
      </c>
      <c r="D8" s="25">
        <f t="shared" si="0"/>
        <v>1.5706126687435098</v>
      </c>
      <c r="E8" s="21">
        <f t="shared" si="1"/>
        <v>39.579439252336449</v>
      </c>
      <c r="F8" s="25">
        <f ca="1">'03_Order_Book'!F38</f>
        <v>1.253319240468773</v>
      </c>
      <c r="G8" s="26">
        <f>SUMPRODUCT('03_Order_Book'!$F$7:$F$31,--('02_Investor_Master'!$H$7:$H$31&gt;=4))/B8</f>
        <v>0.85123966942148765</v>
      </c>
      <c r="H8" s="23">
        <f>'03_Order_Book'!F39</f>
        <v>3555</v>
      </c>
      <c r="I8" s="23">
        <f>'03_Order_Book'!F40</f>
        <v>550</v>
      </c>
      <c r="J8" s="26">
        <f t="shared" ref="J8:J15" si="2">B8/B7-1</f>
        <v>0.42114093959731536</v>
      </c>
      <c r="K8" s="34" t="str">
        <f ca="1">IF(D8&lt;1,"Not covered",IF(AND(D8&gt;='01_Deal_Inputs'!$B$23,F8&gt;='01_Deal_Inputs'!$G$22,G8&gt;='01_Deal_Inputs'!$G$23),"Good balance",IF(D8&gt;4,"Likely underpriced","Usable / judgement")))</f>
        <v>Usable / judgement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20">
        <v>106</v>
      </c>
      <c r="B9" s="23">
        <f>'03_Order_Book'!G34</f>
        <v>5940</v>
      </c>
      <c r="C9" s="23">
        <f>A9*'01_Deal_Inputs'!$B$11</f>
        <v>2671.2</v>
      </c>
      <c r="D9" s="25">
        <f t="shared" si="0"/>
        <v>2.2237196765498655</v>
      </c>
      <c r="E9" s="21">
        <f t="shared" si="1"/>
        <v>56.037735849056602</v>
      </c>
      <c r="F9" s="25">
        <f ca="1">'03_Order_Book'!G38</f>
        <v>1.7385444743935312</v>
      </c>
      <c r="G9" s="26">
        <f>SUMPRODUCT('03_Order_Book'!$G$7:$G$31,--('02_Investor_Master'!$H$7:$H$31&gt;=4))/B9</f>
        <v>0.83501683501683499</v>
      </c>
      <c r="H9" s="23">
        <f>'03_Order_Book'!G39</f>
        <v>4870</v>
      </c>
      <c r="I9" s="23">
        <f>'03_Order_Book'!G40</f>
        <v>850</v>
      </c>
      <c r="J9" s="26">
        <f t="shared" si="2"/>
        <v>0.40259740259740262</v>
      </c>
      <c r="K9" s="34" t="str">
        <f ca="1">IF(D9&lt;1,"Not covered",IF(AND(D9&gt;='01_Deal_Inputs'!$B$23,F9&gt;='01_Deal_Inputs'!$G$22,G9&gt;='01_Deal_Inputs'!$G$23),"Good balance",IF(D9&gt;4,"Likely underpriced","Usable / judgement")))</f>
        <v>Good balance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20">
        <v>105</v>
      </c>
      <c r="B10" s="23">
        <f>'03_Order_Book'!H34</f>
        <v>7945</v>
      </c>
      <c r="C10" s="23">
        <f>A10*'01_Deal_Inputs'!$B$11</f>
        <v>2646</v>
      </c>
      <c r="D10" s="25">
        <f t="shared" si="0"/>
        <v>3.0026455026455028</v>
      </c>
      <c r="E10" s="21">
        <f t="shared" si="1"/>
        <v>75.666666666666671</v>
      </c>
      <c r="F10" s="25">
        <f ca="1">'03_Order_Book'!H38</f>
        <v>2.3085222978080124</v>
      </c>
      <c r="G10" s="26">
        <f>SUMPRODUCT('03_Order_Book'!$H$7:$H$31,--('02_Investor_Master'!$H$7:$H$31&gt;=4))/B10</f>
        <v>0.81875393329137824</v>
      </c>
      <c r="H10" s="23">
        <f>'03_Order_Book'!H39</f>
        <v>6365</v>
      </c>
      <c r="I10" s="23">
        <f>'03_Order_Book'!H40</f>
        <v>1250</v>
      </c>
      <c r="J10" s="26">
        <f t="shared" si="2"/>
        <v>0.33754208754208759</v>
      </c>
      <c r="K10" s="34" t="str">
        <f ca="1">IF(D10&lt;1,"Not covered",IF(AND(D10&gt;='01_Deal_Inputs'!$B$23,F10&gt;='01_Deal_Inputs'!$G$22,G10&gt;='01_Deal_Inputs'!$G$23),"Good balance",IF(D10&gt;4,"Likely underpriced","Usable / judgement")))</f>
        <v>Good balance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20">
        <v>104</v>
      </c>
      <c r="B11" s="23">
        <f>'03_Order_Book'!I34</f>
        <v>10130</v>
      </c>
      <c r="C11" s="23">
        <f>A11*'01_Deal_Inputs'!$B$11</f>
        <v>2620.7999999999997</v>
      </c>
      <c r="D11" s="25">
        <f t="shared" si="0"/>
        <v>3.8652319902319907</v>
      </c>
      <c r="E11" s="21">
        <f t="shared" si="1"/>
        <v>97.40384615384616</v>
      </c>
      <c r="F11" s="25">
        <f ca="1">'03_Order_Book'!I38</f>
        <v>2.9291819291819294</v>
      </c>
      <c r="G11" s="26">
        <f>SUMPRODUCT('03_Order_Book'!$I$7:$I$31,--('02_Investor_Master'!$H$7:$H$31&gt;=4))/B11</f>
        <v>0.80157946692991111</v>
      </c>
      <c r="H11" s="23">
        <f>'03_Order_Book'!I39</f>
        <v>7930</v>
      </c>
      <c r="I11" s="23">
        <f>'03_Order_Book'!I40</f>
        <v>1750</v>
      </c>
      <c r="J11" s="26">
        <f t="shared" si="2"/>
        <v>0.27501573316551298</v>
      </c>
      <c r="K11" s="34" t="str">
        <f ca="1">IF(D11&lt;1,"Not covered",IF(AND(D11&gt;='01_Deal_Inputs'!$B$23,F11&gt;='01_Deal_Inputs'!$G$22,G11&gt;='01_Deal_Inputs'!$G$23),"Good balance",IF(D11&gt;4,"Likely underpriced","Usable / judgement")))</f>
        <v>Good balance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20">
        <v>103</v>
      </c>
      <c r="B12" s="23">
        <f>'03_Order_Book'!J34</f>
        <v>12120</v>
      </c>
      <c r="C12" s="23">
        <f>A12*'01_Deal_Inputs'!$B$11</f>
        <v>2595.6</v>
      </c>
      <c r="D12" s="25">
        <f t="shared" si="0"/>
        <v>4.6694405917706892</v>
      </c>
      <c r="E12" s="21">
        <f t="shared" si="1"/>
        <v>117.66990291262135</v>
      </c>
      <c r="F12" s="25">
        <f ca="1">'03_Order_Book'!J38</f>
        <v>3.4861689012174453</v>
      </c>
      <c r="G12" s="26">
        <f>SUMPRODUCT('03_Order_Book'!$J$7:$J$31,--('02_Investor_Master'!$H$7:$H$31&gt;=4))/B12</f>
        <v>0.78300330033003296</v>
      </c>
      <c r="H12" s="23">
        <f>'03_Order_Book'!J39</f>
        <v>9250</v>
      </c>
      <c r="I12" s="23">
        <f>'03_Order_Book'!J40</f>
        <v>2300</v>
      </c>
      <c r="J12" s="26">
        <f t="shared" si="2"/>
        <v>0.19644619940769981</v>
      </c>
      <c r="K12" s="34" t="str">
        <f ca="1">IF(D12&lt;1,"Not covered",IF(AND(D12&gt;='01_Deal_Inputs'!$B$23,F12&gt;='01_Deal_Inputs'!$G$22,G12&gt;='01_Deal_Inputs'!$G$23),"Good balance",IF(D12&gt;4,"Likely underpriced","Usable / judgement")))</f>
        <v>Good balance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20">
        <v>102</v>
      </c>
      <c r="B13" s="23">
        <f>'03_Order_Book'!K34</f>
        <v>14020</v>
      </c>
      <c r="C13" s="23">
        <f>A13*'01_Deal_Inputs'!$B$11</f>
        <v>2570.4</v>
      </c>
      <c r="D13" s="25">
        <f t="shared" si="0"/>
        <v>5.4544039838157481</v>
      </c>
      <c r="E13" s="21">
        <f t="shared" si="1"/>
        <v>137.45098039215685</v>
      </c>
      <c r="F13" s="25">
        <f ca="1">'03_Order_Book'!K38</f>
        <v>4.0320183629007156</v>
      </c>
      <c r="G13" s="26">
        <f>SUMPRODUCT('03_Order_Book'!$K$7:$K$31,--('02_Investor_Master'!$H$7:$H$31&gt;=4))/B13</f>
        <v>0.77175463623395146</v>
      </c>
      <c r="H13" s="23">
        <f>'03_Order_Book'!K39</f>
        <v>10520</v>
      </c>
      <c r="I13" s="23">
        <f>'03_Order_Book'!K40</f>
        <v>2800</v>
      </c>
      <c r="J13" s="26">
        <f t="shared" si="2"/>
        <v>0.15676567656765683</v>
      </c>
      <c r="K13" s="34" t="str">
        <f ca="1">IF(D13&lt;1,"Not covered",IF(AND(D13&gt;='01_Deal_Inputs'!$B$23,F13&gt;='01_Deal_Inputs'!$G$22,G13&gt;='01_Deal_Inputs'!$G$23),"Good balance",IF(D13&gt;4,"Likely underpriced","Usable / judgement")))</f>
        <v>Good balance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20">
        <v>101</v>
      </c>
      <c r="B14" s="23">
        <f>'03_Order_Book'!L34</f>
        <v>15780</v>
      </c>
      <c r="C14" s="23">
        <f>A14*'01_Deal_Inputs'!$B$11</f>
        <v>2545.1999999999998</v>
      </c>
      <c r="D14" s="25">
        <f t="shared" si="0"/>
        <v>6.1999057048562003</v>
      </c>
      <c r="E14" s="21">
        <f t="shared" si="1"/>
        <v>156.23762376237624</v>
      </c>
      <c r="F14" s="25">
        <f ca="1">'03_Order_Book'!L38</f>
        <v>4.5464796479647971</v>
      </c>
      <c r="G14" s="26">
        <f>SUMPRODUCT('03_Order_Book'!$L$7:$L$31,--('02_Investor_Master'!$H$7:$H$31&gt;=4))/B14</f>
        <v>0.76108998732572875</v>
      </c>
      <c r="H14" s="23">
        <f>'03_Order_Book'!L39</f>
        <v>11660</v>
      </c>
      <c r="I14" s="23">
        <f>'03_Order_Book'!L40</f>
        <v>3300</v>
      </c>
      <c r="J14" s="26">
        <f t="shared" si="2"/>
        <v>0.12553495007132676</v>
      </c>
      <c r="K14" s="34" t="str">
        <f ca="1">IF(D14&lt;1,"Not covered",IF(AND(D14&gt;='01_Deal_Inputs'!$B$23,F14&gt;='01_Deal_Inputs'!$G$22,G14&gt;='01_Deal_Inputs'!$G$23),"Good balance",IF(D14&gt;4,"Likely underpriced","Usable / judgement")))</f>
        <v>Good balance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27">
        <v>100</v>
      </c>
      <c r="B15" s="31">
        <f>'03_Order_Book'!M34</f>
        <v>17390</v>
      </c>
      <c r="C15" s="31">
        <f>A15*'01_Deal_Inputs'!$B$11</f>
        <v>2520</v>
      </c>
      <c r="D15" s="36">
        <f t="shared" si="0"/>
        <v>6.9007936507936511</v>
      </c>
      <c r="E15" s="57">
        <f t="shared" si="1"/>
        <v>173.9</v>
      </c>
      <c r="F15" s="36">
        <f ca="1">'03_Order_Book'!M38</f>
        <v>5.0395238095238097</v>
      </c>
      <c r="G15" s="28">
        <f>SUMPRODUCT('03_Order_Book'!$M$7:$M$31,--('02_Investor_Master'!$H$7:$H$31&gt;=4))/B15</f>
        <v>0.75618171362852216</v>
      </c>
      <c r="H15" s="31">
        <f>'03_Order_Book'!M39</f>
        <v>12740</v>
      </c>
      <c r="I15" s="31">
        <f>'03_Order_Book'!M40</f>
        <v>3700</v>
      </c>
      <c r="J15" s="28">
        <f t="shared" si="2"/>
        <v>0.10202788339670477</v>
      </c>
      <c r="K15" s="37" t="str">
        <f ca="1">IF(D15&lt;1,"Not covered",IF(AND(D15&gt;='01_Deal_Inputs'!$B$23,F15&gt;='01_Deal_Inputs'!$G$22,G15&gt;='01_Deal_Inputs'!$G$23),"Good balance",IF(D15&gt;4,"Likely underpriced","Usable / judgement")))</f>
        <v>Good balance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</sheetData>
  <mergeCells count="2">
    <mergeCell ref="A1:K1"/>
    <mergeCell ref="A5:K5"/>
  </mergeCells>
  <conditionalFormatting sqref="D7:D15">
    <cfRule type="cellIs" dxfId="9" priority="1" operator="lessThan">
      <formula>1</formula>
    </cfRule>
    <cfRule type="cellIs" dxfId="8" priority="2" operator="greaterThanOrEqual">
      <formula>2</formula>
    </cfRule>
  </conditionalFormatting>
  <conditionalFormatting sqref="K7:K15">
    <cfRule type="expression" dxfId="7" priority="3">
      <formula>K7="Good balance"</formula>
    </cfRule>
    <cfRule type="expression" dxfId="6" priority="4">
      <formula>K7="Not covered"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80"/>
  <sheetViews>
    <sheetView workbookViewId="0">
      <selection activeCell="I38" sqref="I38"/>
    </sheetView>
  </sheetViews>
  <sheetFormatPr baseColWidth="10" defaultColWidth="8.83203125" defaultRowHeight="14"/>
  <cols>
    <col min="1" max="1" width="28" customWidth="1"/>
    <col min="2" max="2" width="18" customWidth="1"/>
    <col min="3" max="3" width="10" customWidth="1"/>
    <col min="4" max="4" width="16" customWidth="1"/>
    <col min="5" max="5" width="10" customWidth="1"/>
    <col min="6" max="8" width="16" customWidth="1"/>
    <col min="9" max="10" width="12" customWidth="1"/>
    <col min="11" max="11" width="16" customWidth="1"/>
    <col min="12" max="12" width="28" customWidth="1"/>
  </cols>
  <sheetData>
    <row r="1" spans="1:26" ht="37.25" customHeight="1">
      <c r="A1" s="89" t="s">
        <v>217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">
      <c r="A2" s="15" t="s">
        <v>218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>
      <c r="A4" s="90" t="s">
        <v>219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91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>
      <c r="A5" s="16" t="s">
        <v>4</v>
      </c>
      <c r="B5" s="17">
        <f>'01_Deal_Inputs'!$B$8</f>
        <v>106</v>
      </c>
      <c r="C5" s="18" t="s">
        <v>5</v>
      </c>
      <c r="D5" s="19" t="s">
        <v>220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>
      <c r="A6" s="20" t="s">
        <v>15</v>
      </c>
      <c r="B6" s="23">
        <f>B5*'01_Deal_Inputs'!$B$11</f>
        <v>2671.2</v>
      </c>
      <c r="C6" s="14" t="s">
        <v>16</v>
      </c>
      <c r="D6" s="22" t="s">
        <v>221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27" t="s">
        <v>10</v>
      </c>
      <c r="B7" s="57">
        <f>'01_Deal_Inputs'!$B$11</f>
        <v>25.2</v>
      </c>
      <c r="C7" s="32" t="s">
        <v>11</v>
      </c>
      <c r="D7" s="30" t="s">
        <v>69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>
      <c r="A10" s="90" t="s">
        <v>222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91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32">
      <c r="A11" s="5" t="s">
        <v>103</v>
      </c>
      <c r="B11" s="6" t="s">
        <v>105</v>
      </c>
      <c r="C11" s="6" t="s">
        <v>200</v>
      </c>
      <c r="D11" s="6" t="s">
        <v>223</v>
      </c>
      <c r="E11" s="6" t="s">
        <v>224</v>
      </c>
      <c r="F11" s="6" t="s">
        <v>225</v>
      </c>
      <c r="G11" s="6" t="s">
        <v>226</v>
      </c>
      <c r="H11" s="6" t="s">
        <v>227</v>
      </c>
      <c r="I11" s="6" t="s">
        <v>228</v>
      </c>
      <c r="J11" s="6" t="s">
        <v>229</v>
      </c>
      <c r="K11" s="6" t="s">
        <v>230</v>
      </c>
      <c r="L11" s="7" t="s">
        <v>231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20" t="s">
        <v>115</v>
      </c>
      <c r="B12" s="24" t="str">
        <f>INDEX('02_Investor_Master'!$C$7:$C$31,MATCH(A12,'02_Investor_Master'!$A$7:$A$31,0))</f>
        <v>Pension / Long-only</v>
      </c>
      <c r="C12" s="58">
        <f>INDEX('02_Investor_Master'!$K$7:$K$31,MATCH(A12,'02_Investor_Master'!$A$7:$A$31,0))</f>
        <v>97</v>
      </c>
      <c r="D12" s="59">
        <f ca="1">SUMPRODUCT(('03_Order_Book'!$E$6:$M$6=$B$5)*'03_Order_Book'!$E7:$M7)</f>
        <v>360</v>
      </c>
      <c r="E12" s="59" t="str">
        <f t="shared" ref="E12:E36" ca="1" si="0">IF(D12&gt;0,"Yes","No")</f>
        <v>Yes</v>
      </c>
      <c r="F12" s="59">
        <f t="shared" ref="F12:F36" ca="1" si="1">D12*C12/100</f>
        <v>349.2</v>
      </c>
      <c r="G12" s="59">
        <f t="shared" ref="G12:G36" ca="1" si="2">IF(D12=0,0,$B$6*F12/SUM($F$12:$F$36))</f>
        <v>200.85767441860466</v>
      </c>
      <c r="H12" s="39">
        <f t="shared" ref="H12:H36" ca="1" si="3">G12/$B$5</f>
        <v>1.8948837209302327</v>
      </c>
      <c r="I12" s="60">
        <f t="shared" ref="I12:I36" ca="1" si="4">H12/$B$7</f>
        <v>7.5193798449612409E-2</v>
      </c>
      <c r="J12" s="60">
        <f t="shared" ref="J12:J36" ca="1" si="5">IF(D12=0,0,G12/D12)</f>
        <v>0.55793798449612408</v>
      </c>
      <c r="K12" s="61" t="str">
        <f t="shared" ref="K12:K36" ca="1" si="6">IF(G12=0,"Out",IF(J12&gt;0.75,"High allocation",IF(J12&gt;0.35,"Core allocation","Scaled allocation")))</f>
        <v>Core allocation</v>
      </c>
      <c r="L12" s="34" t="str">
        <f t="shared" ref="L12:L36" si="7">IF(B12="Hedge Fund","Cap if book is strong",IF(C12&gt;=85,"Prioritise sticky capital","Standard scaling"))</f>
        <v>Prioritise sticky capital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20" t="s">
        <v>121</v>
      </c>
      <c r="B13" s="24" t="str">
        <f>INDEX('02_Investor_Master'!$C$7:$C$31,MATCH(A13,'02_Investor_Master'!$A$7:$A$31,0))</f>
        <v>Nordic Long-only</v>
      </c>
      <c r="C13" s="58">
        <f>INDEX('02_Investor_Master'!$K$7:$K$31,MATCH(A13,'02_Investor_Master'!$A$7:$A$31,0))</f>
        <v>97</v>
      </c>
      <c r="D13" s="59">
        <f ca="1">SUMPRODUCT(('03_Order_Book'!$E$6:$M$6=$B$5)*'03_Order_Book'!$E8:$M8)</f>
        <v>300</v>
      </c>
      <c r="E13" s="59" t="str">
        <f t="shared" ca="1" si="0"/>
        <v>Yes</v>
      </c>
      <c r="F13" s="59">
        <f t="shared" ca="1" si="1"/>
        <v>291</v>
      </c>
      <c r="G13" s="59">
        <f t="shared" ca="1" si="2"/>
        <v>167.38139534883723</v>
      </c>
      <c r="H13" s="39">
        <f t="shared" ca="1" si="3"/>
        <v>1.5790697674418606</v>
      </c>
      <c r="I13" s="60">
        <f t="shared" ca="1" si="4"/>
        <v>6.2661498708010341E-2</v>
      </c>
      <c r="J13" s="60">
        <f t="shared" ca="1" si="5"/>
        <v>0.55793798449612408</v>
      </c>
      <c r="K13" s="61" t="str">
        <f t="shared" ca="1" si="6"/>
        <v>Core allocation</v>
      </c>
      <c r="L13" s="34" t="str">
        <f t="shared" si="7"/>
        <v>Prioritise sticky capital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20" t="s">
        <v>125</v>
      </c>
      <c r="B14" s="24" t="str">
        <f>INDEX('02_Investor_Master'!$C$7:$C$31,MATCH(A14,'02_Investor_Master'!$A$7:$A$31,0))</f>
        <v>Nordic Long-only</v>
      </c>
      <c r="C14" s="58">
        <f>INDEX('02_Investor_Master'!$K$7:$K$31,MATCH(A14,'02_Investor_Master'!$A$7:$A$31,0))</f>
        <v>97</v>
      </c>
      <c r="D14" s="59">
        <f ca="1">SUMPRODUCT(('03_Order_Book'!$E$6:$M$6=$B$5)*'03_Order_Book'!$E9:$M9)</f>
        <v>250</v>
      </c>
      <c r="E14" s="59" t="str">
        <f t="shared" ca="1" si="0"/>
        <v>Yes</v>
      </c>
      <c r="F14" s="59">
        <f t="shared" ca="1" si="1"/>
        <v>242.5</v>
      </c>
      <c r="G14" s="59">
        <f t="shared" ca="1" si="2"/>
        <v>139.48449612403104</v>
      </c>
      <c r="H14" s="39">
        <f t="shared" ca="1" si="3"/>
        <v>1.3158914728682174</v>
      </c>
      <c r="I14" s="60">
        <f t="shared" ca="1" si="4"/>
        <v>5.2217915590008629E-2</v>
      </c>
      <c r="J14" s="60">
        <f t="shared" ca="1" si="5"/>
        <v>0.5579379844961242</v>
      </c>
      <c r="K14" s="61" t="str">
        <f t="shared" ca="1" si="6"/>
        <v>Core allocation</v>
      </c>
      <c r="L14" s="34" t="str">
        <f t="shared" si="7"/>
        <v>Prioritise sticky capital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20" t="s">
        <v>129</v>
      </c>
      <c r="B15" s="24" t="str">
        <f>INDEX('02_Investor_Master'!$C$7:$C$31,MATCH(A15,'02_Investor_Master'!$A$7:$A$31,0))</f>
        <v>Nordic Long-only</v>
      </c>
      <c r="C15" s="58">
        <f>INDEX('02_Investor_Master'!$K$7:$K$31,MATCH(A15,'02_Investor_Master'!$A$7:$A$31,0))</f>
        <v>97</v>
      </c>
      <c r="D15" s="59">
        <f ca="1">SUMPRODUCT(('03_Order_Book'!$E$6:$M$6=$B$5)*'03_Order_Book'!$E10:$M10)</f>
        <v>300</v>
      </c>
      <c r="E15" s="59" t="str">
        <f t="shared" ca="1" si="0"/>
        <v>Yes</v>
      </c>
      <c r="F15" s="59">
        <f t="shared" ca="1" si="1"/>
        <v>291</v>
      </c>
      <c r="G15" s="59">
        <f t="shared" ca="1" si="2"/>
        <v>167.38139534883723</v>
      </c>
      <c r="H15" s="39">
        <f t="shared" ca="1" si="3"/>
        <v>1.5790697674418606</v>
      </c>
      <c r="I15" s="60">
        <f t="shared" ca="1" si="4"/>
        <v>6.2661498708010341E-2</v>
      </c>
      <c r="J15" s="60">
        <f t="shared" ca="1" si="5"/>
        <v>0.55793798449612408</v>
      </c>
      <c r="K15" s="61" t="str">
        <f t="shared" ca="1" si="6"/>
        <v>Core allocation</v>
      </c>
      <c r="L15" s="34" t="str">
        <f t="shared" si="7"/>
        <v>Prioritise sticky capital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20" t="s">
        <v>131</v>
      </c>
      <c r="B16" s="24" t="str">
        <f>INDEX('02_Investor_Master'!$C$7:$C$31,MATCH(A16,'02_Investor_Master'!$A$7:$A$31,0))</f>
        <v>Nordic Long-only</v>
      </c>
      <c r="C16" s="58">
        <f>INDEX('02_Investor_Master'!$K$7:$K$31,MATCH(A16,'02_Investor_Master'!$A$7:$A$31,0))</f>
        <v>80</v>
      </c>
      <c r="D16" s="59">
        <f ca="1">SUMPRODUCT(('03_Order_Book'!$E$6:$M$6=$B$5)*'03_Order_Book'!$E11:$M11)</f>
        <v>150</v>
      </c>
      <c r="E16" s="59" t="str">
        <f t="shared" ca="1" si="0"/>
        <v>Yes</v>
      </c>
      <c r="F16" s="59">
        <f t="shared" ca="1" si="1"/>
        <v>120</v>
      </c>
      <c r="G16" s="59">
        <f t="shared" ca="1" si="2"/>
        <v>69.023255813953497</v>
      </c>
      <c r="H16" s="39">
        <f t="shared" ca="1" si="3"/>
        <v>0.65116279069767447</v>
      </c>
      <c r="I16" s="60">
        <f t="shared" ca="1" si="4"/>
        <v>2.5839793281653749E-2</v>
      </c>
      <c r="J16" s="60">
        <f t="shared" ca="1" si="5"/>
        <v>0.46015503875968999</v>
      </c>
      <c r="K16" s="61" t="str">
        <f t="shared" ca="1" si="6"/>
        <v>Core allocation</v>
      </c>
      <c r="L16" s="34" t="str">
        <f t="shared" si="7"/>
        <v>Standard scaling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20" t="s">
        <v>135</v>
      </c>
      <c r="B17" s="24" t="str">
        <f>INDEX('02_Investor_Master'!$C$7:$C$31,MATCH(A17,'02_Investor_Master'!$A$7:$A$31,0))</f>
        <v>Pension / Long-only</v>
      </c>
      <c r="C17" s="58">
        <f>INDEX('02_Investor_Master'!$K$7:$K$31,MATCH(A17,'02_Investor_Master'!$A$7:$A$31,0))</f>
        <v>93</v>
      </c>
      <c r="D17" s="59">
        <f ca="1">SUMPRODUCT(('03_Order_Book'!$E$6:$M$6=$B$5)*'03_Order_Book'!$E12:$M12)</f>
        <v>300</v>
      </c>
      <c r="E17" s="59" t="str">
        <f t="shared" ca="1" si="0"/>
        <v>Yes</v>
      </c>
      <c r="F17" s="59">
        <f t="shared" ca="1" si="1"/>
        <v>279</v>
      </c>
      <c r="G17" s="59">
        <f t="shared" ca="1" si="2"/>
        <v>160.47906976744187</v>
      </c>
      <c r="H17" s="39">
        <f t="shared" ca="1" si="3"/>
        <v>1.5139534883720931</v>
      </c>
      <c r="I17" s="60">
        <f t="shared" ca="1" si="4"/>
        <v>6.0077519379844964E-2</v>
      </c>
      <c r="J17" s="60">
        <f t="shared" ca="1" si="5"/>
        <v>0.53493023255813954</v>
      </c>
      <c r="K17" s="61" t="str">
        <f t="shared" ca="1" si="6"/>
        <v>Core allocation</v>
      </c>
      <c r="L17" s="34" t="str">
        <f t="shared" si="7"/>
        <v>Prioritise sticky capital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20" t="s">
        <v>139</v>
      </c>
      <c r="B18" s="24" t="str">
        <f>INDEX('02_Investor_Master'!$C$7:$C$31,MATCH(A18,'02_Investor_Master'!$A$7:$A$31,0))</f>
        <v>Pension / Long-only</v>
      </c>
      <c r="C18" s="58">
        <f>INDEX('02_Investor_Master'!$K$7:$K$31,MATCH(A18,'02_Investor_Master'!$A$7:$A$31,0))</f>
        <v>83</v>
      </c>
      <c r="D18" s="59">
        <f ca="1">SUMPRODUCT(('03_Order_Book'!$E$6:$M$6=$B$5)*'03_Order_Book'!$E13:$M13)</f>
        <v>180</v>
      </c>
      <c r="E18" s="59" t="str">
        <f t="shared" ca="1" si="0"/>
        <v>Yes</v>
      </c>
      <c r="F18" s="59">
        <f t="shared" ca="1" si="1"/>
        <v>149.4</v>
      </c>
      <c r="G18" s="59">
        <f t="shared" ca="1" si="2"/>
        <v>85.933953488372097</v>
      </c>
      <c r="H18" s="39">
        <f t="shared" ca="1" si="3"/>
        <v>0.81069767441860474</v>
      </c>
      <c r="I18" s="60">
        <f t="shared" ca="1" si="4"/>
        <v>3.2170542635658918E-2</v>
      </c>
      <c r="J18" s="60">
        <f t="shared" ca="1" si="5"/>
        <v>0.47741085271317829</v>
      </c>
      <c r="K18" s="61" t="str">
        <f t="shared" ca="1" si="6"/>
        <v>Core allocation</v>
      </c>
      <c r="L18" s="34" t="str">
        <f t="shared" si="7"/>
        <v>Standard scaling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20" t="s">
        <v>141</v>
      </c>
      <c r="B19" s="24" t="str">
        <f>INDEX('02_Investor_Master'!$C$7:$C$31,MATCH(A19,'02_Investor_Master'!$A$7:$A$31,0))</f>
        <v>Pension / Long-only</v>
      </c>
      <c r="C19" s="58">
        <f>INDEX('02_Investor_Master'!$K$7:$K$31,MATCH(A19,'02_Investor_Master'!$A$7:$A$31,0))</f>
        <v>87</v>
      </c>
      <c r="D19" s="59">
        <f ca="1">SUMPRODUCT(('03_Order_Book'!$E$6:$M$6=$B$5)*'03_Order_Book'!$E14:$M14)</f>
        <v>220</v>
      </c>
      <c r="E19" s="59" t="str">
        <f t="shared" ca="1" si="0"/>
        <v>Yes</v>
      </c>
      <c r="F19" s="59">
        <f t="shared" ca="1" si="1"/>
        <v>191.4</v>
      </c>
      <c r="G19" s="59">
        <f t="shared" ca="1" si="2"/>
        <v>110.09209302325583</v>
      </c>
      <c r="H19" s="39">
        <f t="shared" ca="1" si="3"/>
        <v>1.0386046511627909</v>
      </c>
      <c r="I19" s="60">
        <f t="shared" ca="1" si="4"/>
        <v>4.1214470284237734E-2</v>
      </c>
      <c r="J19" s="60">
        <f t="shared" ca="1" si="5"/>
        <v>0.50041860465116283</v>
      </c>
      <c r="K19" s="61" t="str">
        <f t="shared" ca="1" si="6"/>
        <v>Core allocation</v>
      </c>
      <c r="L19" s="34" t="str">
        <f t="shared" si="7"/>
        <v>Prioritise sticky capital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20" t="s">
        <v>144</v>
      </c>
      <c r="B20" s="24" t="str">
        <f>INDEX('02_Investor_Master'!$C$7:$C$31,MATCH(A20,'02_Investor_Master'!$A$7:$A$31,0))</f>
        <v>Pension / Long-only</v>
      </c>
      <c r="C20" s="58">
        <f>INDEX('02_Investor_Master'!$K$7:$K$31,MATCH(A20,'02_Investor_Master'!$A$7:$A$31,0))</f>
        <v>80</v>
      </c>
      <c r="D20" s="59">
        <f ca="1">SUMPRODUCT(('03_Order_Book'!$E$6:$M$6=$B$5)*'03_Order_Book'!$E15:$M15)</f>
        <v>150</v>
      </c>
      <c r="E20" s="59" t="str">
        <f t="shared" ca="1" si="0"/>
        <v>Yes</v>
      </c>
      <c r="F20" s="59">
        <f t="shared" ca="1" si="1"/>
        <v>120</v>
      </c>
      <c r="G20" s="59">
        <f t="shared" ca="1" si="2"/>
        <v>69.023255813953497</v>
      </c>
      <c r="H20" s="39">
        <f t="shared" ca="1" si="3"/>
        <v>0.65116279069767447</v>
      </c>
      <c r="I20" s="60">
        <f t="shared" ca="1" si="4"/>
        <v>2.5839793281653749E-2</v>
      </c>
      <c r="J20" s="60">
        <f t="shared" ca="1" si="5"/>
        <v>0.46015503875968999</v>
      </c>
      <c r="K20" s="61" t="str">
        <f t="shared" ca="1" si="6"/>
        <v>Core allocation</v>
      </c>
      <c r="L20" s="34" t="str">
        <f t="shared" si="7"/>
        <v>Standard scaling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20" t="s">
        <v>146</v>
      </c>
      <c r="B21" s="24" t="str">
        <f>INDEX('02_Investor_Master'!$C$7:$C$31,MATCH(A21,'02_Investor_Master'!$A$7:$A$31,0))</f>
        <v>Pension / Long-only</v>
      </c>
      <c r="C21" s="58">
        <f>INDEX('02_Investor_Master'!$K$7:$K$31,MATCH(A21,'02_Investor_Master'!$A$7:$A$31,0))</f>
        <v>83</v>
      </c>
      <c r="D21" s="59">
        <f ca="1">SUMPRODUCT(('03_Order_Book'!$E$6:$M$6=$B$5)*'03_Order_Book'!$E16:$M16)</f>
        <v>180</v>
      </c>
      <c r="E21" s="59" t="str">
        <f t="shared" ca="1" si="0"/>
        <v>Yes</v>
      </c>
      <c r="F21" s="59">
        <f t="shared" ca="1" si="1"/>
        <v>149.4</v>
      </c>
      <c r="G21" s="59">
        <f t="shared" ca="1" si="2"/>
        <v>85.933953488372097</v>
      </c>
      <c r="H21" s="39">
        <f t="shared" ca="1" si="3"/>
        <v>0.81069767441860474</v>
      </c>
      <c r="I21" s="60">
        <f t="shared" ca="1" si="4"/>
        <v>3.2170542635658918E-2</v>
      </c>
      <c r="J21" s="60">
        <f t="shared" ca="1" si="5"/>
        <v>0.47741085271317829</v>
      </c>
      <c r="K21" s="61" t="str">
        <f t="shared" ca="1" si="6"/>
        <v>Core allocation</v>
      </c>
      <c r="L21" s="34" t="str">
        <f t="shared" si="7"/>
        <v>Standard scaling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20" t="s">
        <v>149</v>
      </c>
      <c r="B22" s="24" t="str">
        <f>INDEX('02_Investor_Master'!$C$7:$C$31,MATCH(A22,'02_Investor_Master'!$A$7:$A$31,0))</f>
        <v>ESG Long-only</v>
      </c>
      <c r="C22" s="58">
        <f>INDEX('02_Investor_Master'!$K$7:$K$31,MATCH(A22,'02_Investor_Master'!$A$7:$A$31,0))</f>
        <v>76</v>
      </c>
      <c r="D22" s="59">
        <f ca="1">SUMPRODUCT(('03_Order_Book'!$E$6:$M$6=$B$5)*'03_Order_Book'!$E17:$M17)</f>
        <v>150</v>
      </c>
      <c r="E22" s="59" t="str">
        <f t="shared" ca="1" si="0"/>
        <v>Yes</v>
      </c>
      <c r="F22" s="59">
        <f t="shared" ca="1" si="1"/>
        <v>114</v>
      </c>
      <c r="G22" s="59">
        <f t="shared" ca="1" si="2"/>
        <v>65.572093023255817</v>
      </c>
      <c r="H22" s="39">
        <f t="shared" ca="1" si="3"/>
        <v>0.61860465116279073</v>
      </c>
      <c r="I22" s="60">
        <f t="shared" ca="1" si="4"/>
        <v>2.454780361757106E-2</v>
      </c>
      <c r="J22" s="60">
        <f t="shared" ca="1" si="5"/>
        <v>0.43714728682170545</v>
      </c>
      <c r="K22" s="61" t="str">
        <f t="shared" ca="1" si="6"/>
        <v>Core allocation</v>
      </c>
      <c r="L22" s="34" t="str">
        <f t="shared" si="7"/>
        <v>Standard scaling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20" t="s">
        <v>152</v>
      </c>
      <c r="B23" s="24" t="str">
        <f>INDEX('02_Investor_Master'!$C$7:$C$31,MATCH(A23,'02_Investor_Master'!$A$7:$A$31,0))</f>
        <v>Nordic Long-only</v>
      </c>
      <c r="C23" s="58">
        <f>INDEX('02_Investor_Master'!$K$7:$K$31,MATCH(A23,'02_Investor_Master'!$A$7:$A$31,0))</f>
        <v>89</v>
      </c>
      <c r="D23" s="59">
        <f ca="1">SUMPRODUCT(('03_Order_Book'!$E$6:$M$6=$B$5)*'03_Order_Book'!$E18:$M18)</f>
        <v>230</v>
      </c>
      <c r="E23" s="59" t="str">
        <f t="shared" ca="1" si="0"/>
        <v>Yes</v>
      </c>
      <c r="F23" s="59">
        <f t="shared" ca="1" si="1"/>
        <v>204.7</v>
      </c>
      <c r="G23" s="59">
        <f t="shared" ca="1" si="2"/>
        <v>117.74217054263566</v>
      </c>
      <c r="H23" s="39">
        <f t="shared" ca="1" si="3"/>
        <v>1.1107751937984496</v>
      </c>
      <c r="I23" s="60">
        <f t="shared" ca="1" si="4"/>
        <v>4.4078380706287681E-2</v>
      </c>
      <c r="J23" s="60">
        <f t="shared" ca="1" si="5"/>
        <v>0.51192248062015511</v>
      </c>
      <c r="K23" s="61" t="str">
        <f t="shared" ca="1" si="6"/>
        <v>Core allocation</v>
      </c>
      <c r="L23" s="34" t="str">
        <f t="shared" si="7"/>
        <v>Prioritise sticky capital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20" t="s">
        <v>155</v>
      </c>
      <c r="B24" s="24" t="str">
        <f>INDEX('02_Investor_Master'!$C$7:$C$31,MATCH(A24,'02_Investor_Master'!$A$7:$A$31,0))</f>
        <v>Pension / Long-only</v>
      </c>
      <c r="C24" s="58">
        <f>INDEX('02_Investor_Master'!$K$7:$K$31,MATCH(A24,'02_Investor_Master'!$A$7:$A$31,0))</f>
        <v>83</v>
      </c>
      <c r="D24" s="59">
        <f ca="1">SUMPRODUCT(('03_Order_Book'!$E$6:$M$6=$B$5)*'03_Order_Book'!$E19:$M19)</f>
        <v>170</v>
      </c>
      <c r="E24" s="59" t="str">
        <f t="shared" ca="1" si="0"/>
        <v>Yes</v>
      </c>
      <c r="F24" s="59">
        <f t="shared" ca="1" si="1"/>
        <v>141.1</v>
      </c>
      <c r="G24" s="59">
        <f t="shared" ca="1" si="2"/>
        <v>81.15984496124031</v>
      </c>
      <c r="H24" s="39">
        <f t="shared" ca="1" si="3"/>
        <v>0.76565891472868219</v>
      </c>
      <c r="I24" s="60">
        <f t="shared" ca="1" si="4"/>
        <v>3.0383290267011198E-2</v>
      </c>
      <c r="J24" s="60">
        <f t="shared" ca="1" si="5"/>
        <v>0.47741085271317829</v>
      </c>
      <c r="K24" s="61" t="str">
        <f t="shared" ca="1" si="6"/>
        <v>Core allocation</v>
      </c>
      <c r="L24" s="34" t="str">
        <f t="shared" si="7"/>
        <v>Standard scaling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20" t="s">
        <v>158</v>
      </c>
      <c r="B25" s="24" t="str">
        <f>INDEX('02_Investor_Master'!$C$7:$C$31,MATCH(A25,'02_Investor_Master'!$A$7:$A$31,0))</f>
        <v>Pension / Long-only</v>
      </c>
      <c r="C25" s="58">
        <f>INDEX('02_Investor_Master'!$K$7:$K$31,MATCH(A25,'02_Investor_Master'!$A$7:$A$31,0))</f>
        <v>80</v>
      </c>
      <c r="D25" s="59">
        <f ca="1">SUMPRODUCT(('03_Order_Book'!$E$6:$M$6=$B$5)*'03_Order_Book'!$E20:$M20)</f>
        <v>150</v>
      </c>
      <c r="E25" s="59" t="str">
        <f t="shared" ca="1" si="0"/>
        <v>Yes</v>
      </c>
      <c r="F25" s="59">
        <f t="shared" ca="1" si="1"/>
        <v>120</v>
      </c>
      <c r="G25" s="59">
        <f t="shared" ca="1" si="2"/>
        <v>69.023255813953497</v>
      </c>
      <c r="H25" s="39">
        <f t="shared" ca="1" si="3"/>
        <v>0.65116279069767447</v>
      </c>
      <c r="I25" s="60">
        <f t="shared" ca="1" si="4"/>
        <v>2.5839793281653749E-2</v>
      </c>
      <c r="J25" s="60">
        <f t="shared" ca="1" si="5"/>
        <v>0.46015503875968999</v>
      </c>
      <c r="K25" s="61" t="str">
        <f t="shared" ca="1" si="6"/>
        <v>Core allocation</v>
      </c>
      <c r="L25" s="34" t="str">
        <f t="shared" si="7"/>
        <v>Standard scaling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20" t="s">
        <v>161</v>
      </c>
      <c r="B26" s="24" t="str">
        <f>INDEX('02_Investor_Master'!$C$7:$C$31,MATCH(A26,'02_Investor_Master'!$A$7:$A$31,0))</f>
        <v>Nordic Long-only</v>
      </c>
      <c r="C26" s="58">
        <f>INDEX('02_Investor_Master'!$K$7:$K$31,MATCH(A26,'02_Investor_Master'!$A$7:$A$31,0))</f>
        <v>76</v>
      </c>
      <c r="D26" s="59">
        <f ca="1">SUMPRODUCT(('03_Order_Book'!$E$6:$M$6=$B$5)*'03_Order_Book'!$E21:$M21)</f>
        <v>250</v>
      </c>
      <c r="E26" s="59" t="str">
        <f t="shared" ca="1" si="0"/>
        <v>Yes</v>
      </c>
      <c r="F26" s="59">
        <f t="shared" ca="1" si="1"/>
        <v>190</v>
      </c>
      <c r="G26" s="59">
        <f t="shared" ca="1" si="2"/>
        <v>109.28682170542636</v>
      </c>
      <c r="H26" s="39">
        <f t="shared" ca="1" si="3"/>
        <v>1.0310077519379846</v>
      </c>
      <c r="I26" s="60">
        <f t="shared" ca="1" si="4"/>
        <v>4.0913006029285104E-2</v>
      </c>
      <c r="J26" s="60">
        <f t="shared" ca="1" si="5"/>
        <v>0.43714728682170545</v>
      </c>
      <c r="K26" s="61" t="str">
        <f t="shared" ca="1" si="6"/>
        <v>Core allocation</v>
      </c>
      <c r="L26" s="34" t="str">
        <f t="shared" si="7"/>
        <v>Standard scaling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20" t="s">
        <v>164</v>
      </c>
      <c r="B27" s="24" t="str">
        <f>INDEX('02_Investor_Master'!$C$7:$C$31,MATCH(A27,'02_Investor_Master'!$A$7:$A$31,0))</f>
        <v>Nordic Long-only</v>
      </c>
      <c r="C27" s="58">
        <f>INDEX('02_Investor_Master'!$K$7:$K$31,MATCH(A27,'02_Investor_Master'!$A$7:$A$31,0))</f>
        <v>76</v>
      </c>
      <c r="D27" s="59">
        <f ca="1">SUMPRODUCT(('03_Order_Book'!$E$6:$M$6=$B$5)*'03_Order_Book'!$E22:$M22)</f>
        <v>200</v>
      </c>
      <c r="E27" s="59" t="str">
        <f t="shared" ca="1" si="0"/>
        <v>Yes</v>
      </c>
      <c r="F27" s="59">
        <f t="shared" ca="1" si="1"/>
        <v>152</v>
      </c>
      <c r="G27" s="59">
        <f t="shared" ca="1" si="2"/>
        <v>87.42945736434109</v>
      </c>
      <c r="H27" s="39">
        <f t="shared" ca="1" si="3"/>
        <v>0.82480620155038764</v>
      </c>
      <c r="I27" s="60">
        <f t="shared" ca="1" si="4"/>
        <v>3.273040482342808E-2</v>
      </c>
      <c r="J27" s="60">
        <f t="shared" ca="1" si="5"/>
        <v>0.43714728682170545</v>
      </c>
      <c r="K27" s="61" t="str">
        <f t="shared" ca="1" si="6"/>
        <v>Core allocation</v>
      </c>
      <c r="L27" s="34" t="str">
        <f t="shared" si="7"/>
        <v>Standard scaling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20" t="s">
        <v>166</v>
      </c>
      <c r="B28" s="24" t="str">
        <f>INDEX('02_Investor_Master'!$C$7:$C$31,MATCH(A28,'02_Investor_Master'!$A$7:$A$31,0))</f>
        <v>Global Long-only</v>
      </c>
      <c r="C28" s="58">
        <f>INDEX('02_Investor_Master'!$K$7:$K$31,MATCH(A28,'02_Investor_Master'!$A$7:$A$31,0))</f>
        <v>73</v>
      </c>
      <c r="D28" s="59">
        <f ca="1">SUMPRODUCT(('03_Order_Book'!$E$6:$M$6=$B$5)*'03_Order_Book'!$E23:$M23)</f>
        <v>250</v>
      </c>
      <c r="E28" s="59" t="str">
        <f t="shared" ca="1" si="0"/>
        <v>Yes</v>
      </c>
      <c r="F28" s="59">
        <f t="shared" ca="1" si="1"/>
        <v>182.5</v>
      </c>
      <c r="G28" s="59">
        <f t="shared" ca="1" si="2"/>
        <v>104.97286821705427</v>
      </c>
      <c r="H28" s="39">
        <f t="shared" ca="1" si="3"/>
        <v>0.99031007751937994</v>
      </c>
      <c r="I28" s="60">
        <f t="shared" ca="1" si="4"/>
        <v>3.9298018949181744E-2</v>
      </c>
      <c r="J28" s="60">
        <f t="shared" ca="1" si="5"/>
        <v>0.4198914728682171</v>
      </c>
      <c r="K28" s="61" t="str">
        <f t="shared" ca="1" si="6"/>
        <v>Core allocation</v>
      </c>
      <c r="L28" s="34" t="str">
        <f t="shared" si="7"/>
        <v>Standard scaling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20" t="s">
        <v>171</v>
      </c>
      <c r="B29" s="24" t="str">
        <f>INDEX('02_Investor_Master'!$C$7:$C$31,MATCH(A29,'02_Investor_Master'!$A$7:$A$31,0))</f>
        <v>Global Long-only</v>
      </c>
      <c r="C29" s="58">
        <f>INDEX('02_Investor_Master'!$K$7:$K$31,MATCH(A29,'02_Investor_Master'!$A$7:$A$31,0))</f>
        <v>73</v>
      </c>
      <c r="D29" s="59">
        <f ca="1">SUMPRODUCT(('03_Order_Book'!$E$6:$M$6=$B$5)*'03_Order_Book'!$E24:$M24)</f>
        <v>250</v>
      </c>
      <c r="E29" s="59" t="str">
        <f t="shared" ca="1" si="0"/>
        <v>Yes</v>
      </c>
      <c r="F29" s="59">
        <f t="shared" ca="1" si="1"/>
        <v>182.5</v>
      </c>
      <c r="G29" s="59">
        <f t="shared" ca="1" si="2"/>
        <v>104.97286821705427</v>
      </c>
      <c r="H29" s="39">
        <f t="shared" ca="1" si="3"/>
        <v>0.99031007751937994</v>
      </c>
      <c r="I29" s="60">
        <f t="shared" ca="1" si="4"/>
        <v>3.9298018949181744E-2</v>
      </c>
      <c r="J29" s="60">
        <f t="shared" ca="1" si="5"/>
        <v>0.4198914728682171</v>
      </c>
      <c r="K29" s="61" t="str">
        <f t="shared" ca="1" si="6"/>
        <v>Core allocation</v>
      </c>
      <c r="L29" s="34" t="str">
        <f t="shared" si="7"/>
        <v>Standard scaling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20" t="s">
        <v>174</v>
      </c>
      <c r="B30" s="24" t="str">
        <f>INDEX('02_Investor_Master'!$C$7:$C$31,MATCH(A30,'02_Investor_Master'!$A$7:$A$31,0))</f>
        <v>Global Long-only</v>
      </c>
      <c r="C30" s="58">
        <f>INDEX('02_Investor_Master'!$K$7:$K$31,MATCH(A30,'02_Investor_Master'!$A$7:$A$31,0))</f>
        <v>86</v>
      </c>
      <c r="D30" s="59">
        <f ca="1">SUMPRODUCT(('03_Order_Book'!$E$6:$M$6=$B$5)*'03_Order_Book'!$E25:$M25)</f>
        <v>260</v>
      </c>
      <c r="E30" s="59" t="str">
        <f t="shared" ca="1" si="0"/>
        <v>Yes</v>
      </c>
      <c r="F30" s="59">
        <f t="shared" ca="1" si="1"/>
        <v>223.6</v>
      </c>
      <c r="G30" s="59">
        <f t="shared" ca="1" si="2"/>
        <v>128.61333333333334</v>
      </c>
      <c r="H30" s="39">
        <f t="shared" ca="1" si="3"/>
        <v>1.2133333333333334</v>
      </c>
      <c r="I30" s="60">
        <f t="shared" ca="1" si="4"/>
        <v>4.8148148148148148E-2</v>
      </c>
      <c r="J30" s="60">
        <f t="shared" ca="1" si="5"/>
        <v>0.4946666666666667</v>
      </c>
      <c r="K30" s="61" t="str">
        <f t="shared" ca="1" si="6"/>
        <v>Core allocation</v>
      </c>
      <c r="L30" s="34" t="str">
        <f t="shared" si="7"/>
        <v>Prioritise sticky capital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20" t="s">
        <v>177</v>
      </c>
      <c r="B31" s="24" t="str">
        <f>INDEX('02_Investor_Master'!$C$7:$C$31,MATCH(A31,'02_Investor_Master'!$A$7:$A$31,0))</f>
        <v>Global Long-only</v>
      </c>
      <c r="C31" s="58">
        <f>INDEX('02_Investor_Master'!$K$7:$K$31,MATCH(A31,'02_Investor_Master'!$A$7:$A$31,0))</f>
        <v>73</v>
      </c>
      <c r="D31" s="59">
        <f ca="1">SUMPRODUCT(('03_Order_Book'!$E$6:$M$6=$B$5)*'03_Order_Book'!$E26:$M26)</f>
        <v>220</v>
      </c>
      <c r="E31" s="59" t="str">
        <f t="shared" ca="1" si="0"/>
        <v>Yes</v>
      </c>
      <c r="F31" s="59">
        <f t="shared" ca="1" si="1"/>
        <v>160.6</v>
      </c>
      <c r="G31" s="59">
        <f t="shared" ca="1" si="2"/>
        <v>92.376124031007762</v>
      </c>
      <c r="H31" s="39">
        <f t="shared" ca="1" si="3"/>
        <v>0.87147286821705439</v>
      </c>
      <c r="I31" s="60">
        <f t="shared" ca="1" si="4"/>
        <v>3.4582256675279935E-2</v>
      </c>
      <c r="J31" s="60">
        <f t="shared" ca="1" si="5"/>
        <v>0.4198914728682171</v>
      </c>
      <c r="K31" s="61" t="str">
        <f t="shared" ca="1" si="6"/>
        <v>Core allocation</v>
      </c>
      <c r="L31" s="34" t="str">
        <f t="shared" si="7"/>
        <v>Standard scaling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20" t="s">
        <v>180</v>
      </c>
      <c r="B32" s="24" t="str">
        <f>INDEX('02_Investor_Master'!$C$7:$C$31,MATCH(A32,'02_Investor_Master'!$A$7:$A$31,0))</f>
        <v>Global Long-only</v>
      </c>
      <c r="C32" s="58">
        <f>INDEX('02_Investor_Master'!$K$7:$K$31,MATCH(A32,'02_Investor_Master'!$A$7:$A$31,0))</f>
        <v>86</v>
      </c>
      <c r="D32" s="59">
        <f ca="1">SUMPRODUCT(('03_Order_Book'!$E$6:$M$6=$B$5)*'03_Order_Book'!$E27:$M27)</f>
        <v>220</v>
      </c>
      <c r="E32" s="59" t="str">
        <f t="shared" ca="1" si="0"/>
        <v>Yes</v>
      </c>
      <c r="F32" s="59">
        <f t="shared" ca="1" si="1"/>
        <v>189.2</v>
      </c>
      <c r="G32" s="59">
        <f t="shared" ca="1" si="2"/>
        <v>108.82666666666667</v>
      </c>
      <c r="H32" s="39">
        <f t="shared" ca="1" si="3"/>
        <v>1.0266666666666666</v>
      </c>
      <c r="I32" s="60">
        <f t="shared" ca="1" si="4"/>
        <v>4.0740740740740737E-2</v>
      </c>
      <c r="J32" s="60">
        <f t="shared" ca="1" si="5"/>
        <v>0.4946666666666667</v>
      </c>
      <c r="K32" s="61" t="str">
        <f t="shared" ca="1" si="6"/>
        <v>Core allocation</v>
      </c>
      <c r="L32" s="34" t="str">
        <f t="shared" si="7"/>
        <v>Prioritise sticky capital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20" t="s">
        <v>183</v>
      </c>
      <c r="B33" s="24" t="str">
        <f>INDEX('02_Investor_Master'!$C$7:$C$31,MATCH(A33,'02_Investor_Master'!$A$7:$A$31,0))</f>
        <v>Hedge Fund</v>
      </c>
      <c r="C33" s="58">
        <f>INDEX('02_Investor_Master'!$K$7:$K$31,MATCH(A33,'02_Investor_Master'!$A$7:$A$31,0))</f>
        <v>42</v>
      </c>
      <c r="D33" s="59">
        <f ca="1">SUMPRODUCT(('03_Order_Book'!$E$6:$M$6=$B$5)*'03_Order_Book'!$E28:$M28)</f>
        <v>450</v>
      </c>
      <c r="E33" s="59" t="str">
        <f t="shared" ca="1" si="0"/>
        <v>Yes</v>
      </c>
      <c r="F33" s="59">
        <f t="shared" ca="1" si="1"/>
        <v>189</v>
      </c>
      <c r="G33" s="59">
        <f t="shared" ca="1" si="2"/>
        <v>108.71162790697676</v>
      </c>
      <c r="H33" s="39">
        <f t="shared" ca="1" si="3"/>
        <v>1.0255813953488373</v>
      </c>
      <c r="I33" s="60">
        <f t="shared" ca="1" si="4"/>
        <v>4.0697674418604654E-2</v>
      </c>
      <c r="J33" s="60">
        <f t="shared" ca="1" si="5"/>
        <v>0.24158139534883724</v>
      </c>
      <c r="K33" s="61" t="str">
        <f t="shared" ca="1" si="6"/>
        <v>Scaled allocation</v>
      </c>
      <c r="L33" s="34" t="str">
        <f t="shared" si="7"/>
        <v>Cap if book is strong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20" t="s">
        <v>187</v>
      </c>
      <c r="B34" s="24" t="str">
        <f>INDEX('02_Investor_Master'!$C$7:$C$31,MATCH(A34,'02_Investor_Master'!$A$7:$A$31,0))</f>
        <v>Hedge Fund</v>
      </c>
      <c r="C34" s="58">
        <f>INDEX('02_Investor_Master'!$K$7:$K$31,MATCH(A34,'02_Investor_Master'!$A$7:$A$31,0))</f>
        <v>42</v>
      </c>
      <c r="D34" s="59">
        <f ca="1">SUMPRODUCT(('03_Order_Book'!$E$6:$M$6=$B$5)*'03_Order_Book'!$E29:$M29)</f>
        <v>400</v>
      </c>
      <c r="E34" s="59" t="str">
        <f t="shared" ca="1" si="0"/>
        <v>Yes</v>
      </c>
      <c r="F34" s="59">
        <f t="shared" ca="1" si="1"/>
        <v>168</v>
      </c>
      <c r="G34" s="59">
        <f t="shared" ca="1" si="2"/>
        <v>96.632558139534893</v>
      </c>
      <c r="H34" s="39">
        <f t="shared" ca="1" si="3"/>
        <v>0.91162790697674423</v>
      </c>
      <c r="I34" s="60">
        <f t="shared" ca="1" si="4"/>
        <v>3.617571059431525E-2</v>
      </c>
      <c r="J34" s="60">
        <f t="shared" ca="1" si="5"/>
        <v>0.24158139534883724</v>
      </c>
      <c r="K34" s="61" t="str">
        <f t="shared" ca="1" si="6"/>
        <v>Scaled allocation</v>
      </c>
      <c r="L34" s="34" t="str">
        <f t="shared" si="7"/>
        <v>Cap if book is strong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20" t="s">
        <v>190</v>
      </c>
      <c r="B35" s="24" t="str">
        <f>INDEX('02_Investor_Master'!$C$7:$C$31,MATCH(A35,'02_Investor_Master'!$A$7:$A$31,0))</f>
        <v>Nordic Long-only</v>
      </c>
      <c r="C35" s="58">
        <f>INDEX('02_Investor_Master'!$K$7:$K$31,MATCH(A35,'02_Investor_Master'!$A$7:$A$31,0))</f>
        <v>59</v>
      </c>
      <c r="D35" s="59">
        <f ca="1">SUMPRODUCT(('03_Order_Book'!$E$6:$M$6=$B$5)*'03_Order_Book'!$E30:$M30)</f>
        <v>130</v>
      </c>
      <c r="E35" s="59" t="str">
        <f t="shared" ca="1" si="0"/>
        <v>Yes</v>
      </c>
      <c r="F35" s="59">
        <f t="shared" ca="1" si="1"/>
        <v>76.7</v>
      </c>
      <c r="G35" s="59">
        <f t="shared" ca="1" si="2"/>
        <v>44.117364341085285</v>
      </c>
      <c r="H35" s="39">
        <f t="shared" ca="1" si="3"/>
        <v>0.41620155038759704</v>
      </c>
      <c r="I35" s="60">
        <f t="shared" ca="1" si="4"/>
        <v>1.6515934539190359E-2</v>
      </c>
      <c r="J35" s="60">
        <f t="shared" ca="1" si="5"/>
        <v>0.33936434108527141</v>
      </c>
      <c r="K35" s="61" t="str">
        <f t="shared" ca="1" si="6"/>
        <v>Scaled allocation</v>
      </c>
      <c r="L35" s="34" t="str">
        <f t="shared" si="7"/>
        <v>Standard scaling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20" t="s">
        <v>193</v>
      </c>
      <c r="B36" s="24" t="str">
        <f>INDEX('02_Investor_Master'!$C$7:$C$31,MATCH(A36,'02_Investor_Master'!$A$7:$A$31,0))</f>
        <v>Sector Specialist</v>
      </c>
      <c r="C36" s="58">
        <f>INDEX('02_Investor_Master'!$K$7:$K$31,MATCH(A36,'02_Investor_Master'!$A$7:$A$31,0))</f>
        <v>76</v>
      </c>
      <c r="D36" s="59">
        <f ca="1">SUMPRODUCT(('03_Order_Book'!$E$6:$M$6=$B$5)*'03_Order_Book'!$E31:$M31)</f>
        <v>220</v>
      </c>
      <c r="E36" s="59" t="str">
        <f t="shared" ca="1" si="0"/>
        <v>Yes</v>
      </c>
      <c r="F36" s="59">
        <f t="shared" ca="1" si="1"/>
        <v>167.2</v>
      </c>
      <c r="G36" s="59">
        <f t="shared" ca="1" si="2"/>
        <v>96.172403100775199</v>
      </c>
      <c r="H36" s="39">
        <f t="shared" ca="1" si="3"/>
        <v>0.90728682170542641</v>
      </c>
      <c r="I36" s="60">
        <f t="shared" ca="1" si="4"/>
        <v>3.600344530577089E-2</v>
      </c>
      <c r="J36" s="60">
        <f t="shared" ca="1" si="5"/>
        <v>0.43714728682170545</v>
      </c>
      <c r="K36" s="61" t="str">
        <f t="shared" ca="1" si="6"/>
        <v>Core allocation</v>
      </c>
      <c r="L36" s="34" t="str">
        <f t="shared" si="7"/>
        <v>Standard scaling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20"/>
      <c r="B37" s="14"/>
      <c r="C37" s="14"/>
      <c r="D37" s="62"/>
      <c r="E37" s="62"/>
      <c r="F37" s="62"/>
      <c r="G37" s="62"/>
      <c r="H37" s="63"/>
      <c r="I37" s="64"/>
      <c r="J37" s="64"/>
      <c r="K37" s="14"/>
      <c r="L37" s="22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">
      <c r="A38" s="44" t="s">
        <v>232</v>
      </c>
      <c r="B38" s="45"/>
      <c r="C38" s="45"/>
      <c r="D38" s="65">
        <f ca="1">SUM(D12:D36)</f>
        <v>5940</v>
      </c>
      <c r="E38" s="65"/>
      <c r="F38" s="65">
        <f ca="1">SUM(F12:F36)</f>
        <v>4643.9999999999991</v>
      </c>
      <c r="G38" s="65">
        <f ca="1">SUM(G12:G36)</f>
        <v>2671.2000000000003</v>
      </c>
      <c r="H38" s="66">
        <f ca="1">SUM(H12:H36)</f>
        <v>25.2</v>
      </c>
      <c r="I38" s="67">
        <f ca="1">SUM(I12:I36)</f>
        <v>1</v>
      </c>
      <c r="J38" s="67">
        <f ca="1">G38/D38</f>
        <v>0.44969696969696976</v>
      </c>
      <c r="K38" s="45"/>
      <c r="L38" s="47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20" t="s">
        <v>233</v>
      </c>
      <c r="B39" s="14"/>
      <c r="C39" s="14"/>
      <c r="D39" s="62"/>
      <c r="E39" s="62"/>
      <c r="F39" s="62"/>
      <c r="G39" s="62">
        <f ca="1">G38-$B$6</f>
        <v>4.5474735088646412E-13</v>
      </c>
      <c r="H39" s="63">
        <f ca="1">H38-$B$7</f>
        <v>0</v>
      </c>
      <c r="I39" s="64"/>
      <c r="J39" s="64"/>
      <c r="K39" s="14"/>
      <c r="L39" s="22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27" t="s">
        <v>234</v>
      </c>
      <c r="B40" s="32"/>
      <c r="C40" s="32"/>
      <c r="D40" s="68"/>
      <c r="E40" s="68"/>
      <c r="F40" s="68"/>
      <c r="G40" s="68">
        <f ca="1">$B$6-G38</f>
        <v>-4.5474735088646412E-13</v>
      </c>
      <c r="H40" s="69">
        <f ca="1">$B$7-H38</f>
        <v>0</v>
      </c>
      <c r="I40" s="70"/>
      <c r="J40" s="70"/>
      <c r="K40" s="32"/>
      <c r="L40" s="30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</sheetData>
  <mergeCells count="3">
    <mergeCell ref="A1:L1"/>
    <mergeCell ref="A4:L4"/>
    <mergeCell ref="A10:L10"/>
  </mergeCells>
  <conditionalFormatting sqref="K12:K36">
    <cfRule type="expression" dxfId="5" priority="1">
      <formula>K12="High allocation"</formula>
    </cfRule>
    <cfRule type="expression" dxfId="4" priority="2">
      <formula>K12="Out"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0"/>
  <sheetViews>
    <sheetView workbookViewId="0">
      <selection activeCell="K16" sqref="K16"/>
    </sheetView>
  </sheetViews>
  <sheetFormatPr baseColWidth="10" defaultColWidth="8.83203125" defaultRowHeight="14"/>
  <cols>
    <col min="1" max="2" width="12" customWidth="1"/>
    <col min="3" max="3" width="13" customWidth="1"/>
    <col min="4" max="4" width="16" customWidth="1"/>
    <col min="5" max="8" width="12" customWidth="1"/>
    <col min="9" max="9" width="13" customWidth="1"/>
    <col min="10" max="10" width="22" customWidth="1"/>
    <col min="11" max="11" width="12" customWidth="1"/>
  </cols>
  <sheetData>
    <row r="1" spans="1:26" ht="37.25" customHeight="1">
      <c r="A1" s="89" t="s">
        <v>235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">
      <c r="A2" s="15" t="s">
        <v>236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>
      <c r="A4" s="90" t="s">
        <v>237</v>
      </c>
      <c r="B4" s="84"/>
      <c r="C4" s="84"/>
      <c r="D4" s="91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32">
      <c r="A5" s="5" t="s">
        <v>238</v>
      </c>
      <c r="B5" s="6" t="s">
        <v>239</v>
      </c>
      <c r="C5" s="6" t="s">
        <v>240</v>
      </c>
      <c r="D5" s="7" t="s">
        <v>241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>
      <c r="A6" s="20" t="s">
        <v>242</v>
      </c>
      <c r="B6" s="9">
        <v>0.3</v>
      </c>
      <c r="C6" s="14" t="s">
        <v>119</v>
      </c>
      <c r="D6" s="22" t="s">
        <v>243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20" t="s">
        <v>203</v>
      </c>
      <c r="B7" s="9">
        <v>0.3</v>
      </c>
      <c r="C7" s="14" t="s">
        <v>119</v>
      </c>
      <c r="D7" s="22" t="s">
        <v>244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20" t="s">
        <v>19</v>
      </c>
      <c r="B8" s="9">
        <v>0.2</v>
      </c>
      <c r="C8" s="14" t="s">
        <v>119</v>
      </c>
      <c r="D8" s="22" t="s">
        <v>245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27" t="s">
        <v>246</v>
      </c>
      <c r="B9" s="13">
        <v>0.2</v>
      </c>
      <c r="C9" s="32" t="s">
        <v>119</v>
      </c>
      <c r="D9" s="30" t="s">
        <v>247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>
      <c r="A12" s="90" t="s">
        <v>248</v>
      </c>
      <c r="B12" s="84"/>
      <c r="C12" s="84"/>
      <c r="D12" s="84"/>
      <c r="E12" s="84"/>
      <c r="F12" s="84"/>
      <c r="G12" s="84"/>
      <c r="H12" s="84"/>
      <c r="I12" s="84"/>
      <c r="J12" s="84"/>
      <c r="K12" s="91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32">
      <c r="A13" s="5" t="s">
        <v>29</v>
      </c>
      <c r="B13" s="6" t="s">
        <v>14</v>
      </c>
      <c r="C13" s="6" t="s">
        <v>249</v>
      </c>
      <c r="D13" s="6" t="s">
        <v>212</v>
      </c>
      <c r="E13" s="6" t="s">
        <v>109</v>
      </c>
      <c r="F13" s="6" t="s">
        <v>250</v>
      </c>
      <c r="G13" s="6" t="s">
        <v>251</v>
      </c>
      <c r="H13" s="6" t="s">
        <v>252</v>
      </c>
      <c r="I13" s="6" t="s">
        <v>253</v>
      </c>
      <c r="J13" s="6" t="s">
        <v>36</v>
      </c>
      <c r="K13" s="7" t="s">
        <v>254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20">
        <v>108</v>
      </c>
      <c r="B14" s="25">
        <f>'04_Demand_Curve'!D7</f>
        <v>1.0949441504997062</v>
      </c>
      <c r="C14" s="26">
        <f>MIN(B14/'01_Deal_Inputs'!$B$23,1)</f>
        <v>0.54747207524985309</v>
      </c>
      <c r="D14" s="25">
        <f ca="1">'04_Demand_Curve'!F7</f>
        <v>0.89506172839506171</v>
      </c>
      <c r="E14" s="26">
        <f ca="1">MIN(D14/'01_Deal_Inputs'!$G$22,1)</f>
        <v>0.74588477366255146</v>
      </c>
      <c r="F14" s="26">
        <f>'04_Demand_Curve'!G7</f>
        <v>0.86912751677852351</v>
      </c>
      <c r="G14" s="26">
        <f>MIN(F14/'01_Deal_Inputs'!$G$23,1)</f>
        <v>1</v>
      </c>
      <c r="H14" s="26">
        <f>(A14-'01_Deal_Inputs'!$B$6)/('01_Deal_Inputs'!$B$7-'01_Deal_Inputs'!$B$6)</f>
        <v>1</v>
      </c>
      <c r="I14" s="26">
        <f t="shared" ref="I14:I22" ca="1" si="0">C14*$B$6+E14*$B$7+G14*$B$8+H14*$B$9</f>
        <v>0.78800705467372123</v>
      </c>
      <c r="J14" s="24" t="str">
        <f t="shared" ref="J14:J22" ca="1" si="1">IF(B14&lt;1,"Reject: not covered",IF(I14=MAX($I$14:$I$22),"Model-implied best",IF(B14&lt;1.5,"Thin",IF(B14&gt;4,"Potentially cheap","Acceptable"))))</f>
        <v>Thin</v>
      </c>
      <c r="K14" s="34" t="str">
        <f ca="1">IF(A14='01_Deal_Inputs'!$B$8,"Selected","")</f>
        <v/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20">
        <v>107</v>
      </c>
      <c r="B15" s="25">
        <f>'04_Demand_Curve'!D8</f>
        <v>1.5706126687435098</v>
      </c>
      <c r="C15" s="26">
        <f>MIN(B15/'01_Deal_Inputs'!$B$23,1)</f>
        <v>0.7853063343717549</v>
      </c>
      <c r="D15" s="25">
        <f ca="1">'04_Demand_Curve'!F8</f>
        <v>1.253319240468773</v>
      </c>
      <c r="E15" s="26">
        <f ca="1">MIN(D15/'01_Deal_Inputs'!$G$22,1)</f>
        <v>1</v>
      </c>
      <c r="F15" s="26">
        <f>'04_Demand_Curve'!G8</f>
        <v>0.85123966942148765</v>
      </c>
      <c r="G15" s="26">
        <f>MIN(F15/'01_Deal_Inputs'!$G$23,1)</f>
        <v>1</v>
      </c>
      <c r="H15" s="26">
        <f>(A15-'01_Deal_Inputs'!$B$6)/('01_Deal_Inputs'!$B$7-'01_Deal_Inputs'!$B$6)</f>
        <v>0.875</v>
      </c>
      <c r="I15" s="26">
        <f t="shared" ca="1" si="0"/>
        <v>0.91059190031152659</v>
      </c>
      <c r="J15" s="24" t="str">
        <f t="shared" ca="1" si="1"/>
        <v>Acceptable</v>
      </c>
      <c r="K15" s="34" t="str">
        <f ca="1">IF(A15='01_Deal_Inputs'!$B$8,"Selected","")</f>
        <v/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20">
        <v>106</v>
      </c>
      <c r="B16" s="25">
        <f>'04_Demand_Curve'!D9</f>
        <v>2.2237196765498655</v>
      </c>
      <c r="C16" s="26">
        <f>MIN(B16/'01_Deal_Inputs'!$B$23,1)</f>
        <v>1</v>
      </c>
      <c r="D16" s="25">
        <f ca="1">'04_Demand_Curve'!F9</f>
        <v>1.7385444743935312</v>
      </c>
      <c r="E16" s="26">
        <f ca="1">MIN(D16/'01_Deal_Inputs'!$G$22,1)</f>
        <v>1</v>
      </c>
      <c r="F16" s="26">
        <f>'04_Demand_Curve'!G9</f>
        <v>0.83501683501683499</v>
      </c>
      <c r="G16" s="26">
        <f>MIN(F16/'01_Deal_Inputs'!$G$23,1)</f>
        <v>1</v>
      </c>
      <c r="H16" s="26">
        <f>(A16-'01_Deal_Inputs'!$B$6)/('01_Deal_Inputs'!$B$7-'01_Deal_Inputs'!$B$6)</f>
        <v>0.75</v>
      </c>
      <c r="I16" s="26">
        <f t="shared" ca="1" si="0"/>
        <v>0.95000000000000007</v>
      </c>
      <c r="J16" s="24" t="str">
        <f t="shared" ca="1" si="1"/>
        <v>Model-implied best</v>
      </c>
      <c r="K16" s="34" t="str">
        <f>IF(A16='01_Deal_Inputs'!$B$8,"Selected","")</f>
        <v>Selected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20">
        <v>105</v>
      </c>
      <c r="B17" s="25">
        <f>'04_Demand_Curve'!D10</f>
        <v>3.0026455026455028</v>
      </c>
      <c r="C17" s="26">
        <f>MIN(B17/'01_Deal_Inputs'!$B$23,1)</f>
        <v>1</v>
      </c>
      <c r="D17" s="25">
        <f ca="1">'04_Demand_Curve'!F10</f>
        <v>2.3085222978080124</v>
      </c>
      <c r="E17" s="26">
        <f ca="1">MIN(D17/'01_Deal_Inputs'!$G$22,1)</f>
        <v>1</v>
      </c>
      <c r="F17" s="26">
        <f>'04_Demand_Curve'!G10</f>
        <v>0.81875393329137824</v>
      </c>
      <c r="G17" s="26">
        <f>MIN(F17/'01_Deal_Inputs'!$G$23,1)</f>
        <v>1</v>
      </c>
      <c r="H17" s="26">
        <f>(A17-'01_Deal_Inputs'!$B$6)/('01_Deal_Inputs'!$B$7-'01_Deal_Inputs'!$B$6)</f>
        <v>0.625</v>
      </c>
      <c r="I17" s="26">
        <f t="shared" ca="1" si="0"/>
        <v>0.92500000000000004</v>
      </c>
      <c r="J17" s="24" t="str">
        <f t="shared" ca="1" si="1"/>
        <v>Acceptable</v>
      </c>
      <c r="K17" s="34" t="str">
        <f ca="1">IF(A17='01_Deal_Inputs'!$B$8,"Selected","")</f>
        <v/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20">
        <v>104</v>
      </c>
      <c r="B18" s="25">
        <f>'04_Demand_Curve'!D11</f>
        <v>3.8652319902319907</v>
      </c>
      <c r="C18" s="26">
        <f>MIN(B18/'01_Deal_Inputs'!$B$23,1)</f>
        <v>1</v>
      </c>
      <c r="D18" s="25">
        <f ca="1">'04_Demand_Curve'!F11</f>
        <v>2.9291819291819294</v>
      </c>
      <c r="E18" s="26">
        <f ca="1">MIN(D18/'01_Deal_Inputs'!$G$22,1)</f>
        <v>1</v>
      </c>
      <c r="F18" s="26">
        <f>'04_Demand_Curve'!G11</f>
        <v>0.80157946692991111</v>
      </c>
      <c r="G18" s="26">
        <f>MIN(F18/'01_Deal_Inputs'!$G$23,1)</f>
        <v>1</v>
      </c>
      <c r="H18" s="26">
        <f>(A18-'01_Deal_Inputs'!$B$6)/('01_Deal_Inputs'!$B$7-'01_Deal_Inputs'!$B$6)</f>
        <v>0.5</v>
      </c>
      <c r="I18" s="26">
        <f t="shared" ca="1" si="0"/>
        <v>0.9</v>
      </c>
      <c r="J18" s="24" t="str">
        <f t="shared" ca="1" si="1"/>
        <v>Acceptable</v>
      </c>
      <c r="K18" s="34" t="str">
        <f ca="1">IF(A18='01_Deal_Inputs'!$B$8,"Selected","")</f>
        <v/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20">
        <v>103</v>
      </c>
      <c r="B19" s="25">
        <f>'04_Demand_Curve'!D12</f>
        <v>4.6694405917706892</v>
      </c>
      <c r="C19" s="26">
        <f>MIN(B19/'01_Deal_Inputs'!$B$23,1)</f>
        <v>1</v>
      </c>
      <c r="D19" s="25">
        <f ca="1">'04_Demand_Curve'!F12</f>
        <v>3.4861689012174453</v>
      </c>
      <c r="E19" s="26">
        <f ca="1">MIN(D19/'01_Deal_Inputs'!$G$22,1)</f>
        <v>1</v>
      </c>
      <c r="F19" s="26">
        <f>'04_Demand_Curve'!G12</f>
        <v>0.78300330033003296</v>
      </c>
      <c r="G19" s="26">
        <f>MIN(F19/'01_Deal_Inputs'!$G$23,1)</f>
        <v>1</v>
      </c>
      <c r="H19" s="26">
        <f>(A19-'01_Deal_Inputs'!$B$6)/('01_Deal_Inputs'!$B$7-'01_Deal_Inputs'!$B$6)</f>
        <v>0.375</v>
      </c>
      <c r="I19" s="26">
        <f t="shared" ca="1" si="0"/>
        <v>0.875</v>
      </c>
      <c r="J19" s="24" t="str">
        <f t="shared" ca="1" si="1"/>
        <v>Potentially cheap</v>
      </c>
      <c r="K19" s="34" t="str">
        <f ca="1">IF(A19='01_Deal_Inputs'!$B$8,"Selected","")</f>
        <v/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20">
        <v>102</v>
      </c>
      <c r="B20" s="25">
        <f>'04_Demand_Curve'!D13</f>
        <v>5.4544039838157481</v>
      </c>
      <c r="C20" s="26">
        <f>MIN(B20/'01_Deal_Inputs'!$B$23,1)</f>
        <v>1</v>
      </c>
      <c r="D20" s="25">
        <f ca="1">'04_Demand_Curve'!F13</f>
        <v>4.0320183629007156</v>
      </c>
      <c r="E20" s="26">
        <f ca="1">MIN(D20/'01_Deal_Inputs'!$G$22,1)</f>
        <v>1</v>
      </c>
      <c r="F20" s="26">
        <f>'04_Demand_Curve'!G13</f>
        <v>0.77175463623395146</v>
      </c>
      <c r="G20" s="26">
        <f>MIN(F20/'01_Deal_Inputs'!$G$23,1)</f>
        <v>1</v>
      </c>
      <c r="H20" s="26">
        <f>(A20-'01_Deal_Inputs'!$B$6)/('01_Deal_Inputs'!$B$7-'01_Deal_Inputs'!$B$6)</f>
        <v>0.25</v>
      </c>
      <c r="I20" s="26">
        <f t="shared" ca="1" si="0"/>
        <v>0.85000000000000009</v>
      </c>
      <c r="J20" s="24" t="str">
        <f t="shared" ca="1" si="1"/>
        <v>Potentially cheap</v>
      </c>
      <c r="K20" s="34" t="str">
        <f ca="1">IF(A20='01_Deal_Inputs'!$B$8,"Selected","")</f>
        <v/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20">
        <v>101</v>
      </c>
      <c r="B21" s="25">
        <f>'04_Demand_Curve'!D14</f>
        <v>6.1999057048562003</v>
      </c>
      <c r="C21" s="26">
        <f>MIN(B21/'01_Deal_Inputs'!$B$23,1)</f>
        <v>1</v>
      </c>
      <c r="D21" s="25">
        <f ca="1">'04_Demand_Curve'!F14</f>
        <v>4.5464796479647971</v>
      </c>
      <c r="E21" s="26">
        <f ca="1">MIN(D21/'01_Deal_Inputs'!$G$22,1)</f>
        <v>1</v>
      </c>
      <c r="F21" s="26">
        <f>'04_Demand_Curve'!G14</f>
        <v>0.76108998732572875</v>
      </c>
      <c r="G21" s="26">
        <f>MIN(F21/'01_Deal_Inputs'!$G$23,1)</f>
        <v>1</v>
      </c>
      <c r="H21" s="26">
        <f>(A21-'01_Deal_Inputs'!$B$6)/('01_Deal_Inputs'!$B$7-'01_Deal_Inputs'!$B$6)</f>
        <v>0.125</v>
      </c>
      <c r="I21" s="26">
        <f t="shared" ca="1" si="0"/>
        <v>0.82500000000000007</v>
      </c>
      <c r="J21" s="24" t="str">
        <f t="shared" ca="1" si="1"/>
        <v>Potentially cheap</v>
      </c>
      <c r="K21" s="34" t="str">
        <f ca="1">IF(A21='01_Deal_Inputs'!$B$8,"Selected","")</f>
        <v/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27">
        <v>100</v>
      </c>
      <c r="B22" s="36">
        <f>'04_Demand_Curve'!D15</f>
        <v>6.9007936507936511</v>
      </c>
      <c r="C22" s="28">
        <f>MIN(B22/'01_Deal_Inputs'!$B$23,1)</f>
        <v>1</v>
      </c>
      <c r="D22" s="36">
        <f ca="1">'04_Demand_Curve'!F15</f>
        <v>5.0395238095238097</v>
      </c>
      <c r="E22" s="28">
        <f ca="1">MIN(D22/'01_Deal_Inputs'!$G$22,1)</f>
        <v>1</v>
      </c>
      <c r="F22" s="28">
        <f>'04_Demand_Curve'!G15</f>
        <v>0.75618171362852216</v>
      </c>
      <c r="G22" s="28">
        <f>MIN(F22/'01_Deal_Inputs'!$G$23,1)</f>
        <v>1</v>
      </c>
      <c r="H22" s="28">
        <f>(A22-'01_Deal_Inputs'!$B$6)/('01_Deal_Inputs'!$B$7-'01_Deal_Inputs'!$B$6)</f>
        <v>0</v>
      </c>
      <c r="I22" s="28">
        <f t="shared" ca="1" si="0"/>
        <v>0.8</v>
      </c>
      <c r="J22" s="29" t="str">
        <f t="shared" ca="1" si="1"/>
        <v>Potentially cheap</v>
      </c>
      <c r="K22" s="37" t="str">
        <f ca="1">IF(A22='01_Deal_Inputs'!$B$8,"Selected","")</f>
        <v/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</sheetData>
  <mergeCells count="3">
    <mergeCell ref="A1:K1"/>
    <mergeCell ref="A4:D4"/>
    <mergeCell ref="A12:K12"/>
  </mergeCells>
  <conditionalFormatting sqref="I14:I22">
    <cfRule type="dataBar" priority="1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{71BF40E3-FF18-703E-82B9-53D4AB95F28A}</x14:id>
        </ext>
      </extLst>
    </cfRule>
  </conditionalFormatting>
  <conditionalFormatting sqref="J14:J22">
    <cfRule type="expression" dxfId="3" priority="2">
      <formula>J14="Model-implied best"</formula>
    </cfRule>
  </conditionalFormatting>
  <conditionalFormatting sqref="K14:K22">
    <cfRule type="expression" dxfId="2" priority="3">
      <formula>K14="Selected"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BF40E3-FF18-703E-82B9-53D4AB95F28A}">
            <x14:dataBar>
              <x14:cfvo type="min"/>
              <x14:cfvo type="max"/>
              <x14:negativeFillColor auto="1"/>
              <x14:axisColor auto="1"/>
            </x14:dataBar>
          </x14:cfRule>
          <xm:sqref>I14:I22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0"/>
  <sheetViews>
    <sheetView workbookViewId="0">
      <selection sqref="A1:F1"/>
    </sheetView>
  </sheetViews>
  <sheetFormatPr baseColWidth="10" defaultColWidth="8.83203125" defaultRowHeight="14"/>
  <cols>
    <col min="1" max="1" width="28" customWidth="1"/>
    <col min="2" max="2" width="42" customWidth="1"/>
    <col min="3" max="3" width="16" customWidth="1"/>
    <col min="4" max="4" width="14" customWidth="1"/>
    <col min="5" max="5" width="12" customWidth="1"/>
    <col min="6" max="6" width="36" customWidth="1"/>
  </cols>
  <sheetData>
    <row r="1" spans="1:26" ht="37.25" customHeight="1">
      <c r="A1" s="89" t="s">
        <v>255</v>
      </c>
      <c r="B1" s="89"/>
      <c r="C1" s="89"/>
      <c r="D1" s="89"/>
      <c r="E1" s="89"/>
      <c r="F1" s="89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>
      <c r="A4" s="90" t="s">
        <v>256</v>
      </c>
      <c r="B4" s="84"/>
      <c r="C4" s="84"/>
      <c r="D4" s="84"/>
      <c r="E4" s="84"/>
      <c r="F4" s="91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6">
      <c r="A5" s="5" t="s">
        <v>257</v>
      </c>
      <c r="B5" s="6" t="s">
        <v>258</v>
      </c>
      <c r="C5" s="6" t="s">
        <v>8</v>
      </c>
      <c r="D5" s="6" t="s">
        <v>259</v>
      </c>
      <c r="E5" s="6" t="s">
        <v>230</v>
      </c>
      <c r="F5" s="7" t="s">
        <v>231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>
      <c r="A6" s="20" t="s">
        <v>260</v>
      </c>
      <c r="B6" s="14" t="s">
        <v>261</v>
      </c>
      <c r="C6" s="21">
        <f>'01_Deal_Inputs'!B11-SUM('01_Deal_Inputs'!B9:B10)</f>
        <v>0</v>
      </c>
      <c r="D6" s="21">
        <v>1E-3</v>
      </c>
      <c r="E6" s="24" t="str">
        <f>IF(ABS(C6)&lt;=D6,"PASS","FAIL")</f>
        <v>PASS</v>
      </c>
      <c r="F6" s="22" t="s">
        <v>262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20" t="s">
        <v>263</v>
      </c>
      <c r="B7" s="14" t="s">
        <v>264</v>
      </c>
      <c r="C7" s="21">
        <f>'01_Deal_Inputs'!B16-'01_Deal_Inputs'!B11-'01_Deal_Inputs'!B12</f>
        <v>1.3322676295501878E-15</v>
      </c>
      <c r="D7" s="21">
        <v>1E-3</v>
      </c>
      <c r="E7" s="24" t="str">
        <f>IF(ABS(C7)&lt;=D7,"PASS","FAIL")</f>
        <v>PASS</v>
      </c>
      <c r="F7" s="22" t="s">
        <v>262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20" t="s">
        <v>265</v>
      </c>
      <c r="B8" s="14" t="s">
        <v>266</v>
      </c>
      <c r="C8" s="21" t="b">
        <f>AND('01_Deal_Inputs'!B8&gt;='01_Deal_Inputs'!B6,'01_Deal_Inputs'!B8&lt;='01_Deal_Inputs'!B7)</f>
        <v>1</v>
      </c>
      <c r="D8" s="21">
        <v>0</v>
      </c>
      <c r="E8" s="24" t="str">
        <f>IF(C8=TRUE,"PASS","FAIL")</f>
        <v>PASS</v>
      </c>
      <c r="F8" s="22" t="s">
        <v>267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20" t="s">
        <v>268</v>
      </c>
      <c r="B9" s="14" t="s">
        <v>269</v>
      </c>
      <c r="C9" s="21">
        <f ca="1">'05_Allocation'!G38-'05_Allocation'!B6</f>
        <v>4.5474735088646412E-13</v>
      </c>
      <c r="D9" s="21">
        <v>0.1</v>
      </c>
      <c r="E9" s="24" t="str">
        <f ca="1">IF(ABS(C9)&lt;=D9,"PASS","FAIL")</f>
        <v>PASS</v>
      </c>
      <c r="F9" s="22" t="s">
        <v>270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20" t="s">
        <v>271</v>
      </c>
      <c r="B10" s="14" t="s">
        <v>272</v>
      </c>
      <c r="C10" s="21">
        <f ca="1">'05_Allocation'!H38-'05_Allocation'!B7</f>
        <v>0</v>
      </c>
      <c r="D10" s="21">
        <v>1E-3</v>
      </c>
      <c r="E10" s="24" t="str">
        <f ca="1">IF(ABS(C10)&lt;=D10,"PASS","FAIL")</f>
        <v>PASS</v>
      </c>
      <c r="F10" s="22" t="s">
        <v>270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20" t="s">
        <v>273</v>
      </c>
      <c r="B11" s="14" t="s">
        <v>274</v>
      </c>
      <c r="C11" s="25">
        <f>INDEX('04_Demand_Curve'!D7:D15,MATCH('01_Deal_Inputs'!B8,'04_Demand_Curve'!A7:A15,0))</f>
        <v>2.2237196765498655</v>
      </c>
      <c r="D11" s="25">
        <v>1</v>
      </c>
      <c r="E11" s="24" t="str">
        <f>IF(C11&gt;=D11,"PASS","FAIL")</f>
        <v>PASS</v>
      </c>
      <c r="F11" s="22" t="s">
        <v>275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20" t="s">
        <v>276</v>
      </c>
      <c r="B12" s="14" t="s">
        <v>277</v>
      </c>
      <c r="C12" s="21">
        <f>MIN('02_Investor_Master'!F7:J31)</f>
        <v>1</v>
      </c>
      <c r="D12" s="21">
        <v>1</v>
      </c>
      <c r="E12" s="24" t="str">
        <f>IF(C12&gt;=D12,"PASS","FAIL")</f>
        <v>PASS</v>
      </c>
      <c r="F12" s="22" t="s">
        <v>267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20" t="s">
        <v>278</v>
      </c>
      <c r="B13" s="14" t="s">
        <v>279</v>
      </c>
      <c r="C13" s="21">
        <f>MAX('02_Investor_Master'!F7:J31)</f>
        <v>5</v>
      </c>
      <c r="D13" s="21">
        <v>5</v>
      </c>
      <c r="E13" s="24" t="str">
        <f>IF(C13&lt;=D13,"PASS","FAIL")</f>
        <v>PASS</v>
      </c>
      <c r="F13" s="22" t="s">
        <v>267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27" t="s">
        <v>280</v>
      </c>
      <c r="B14" s="32" t="s">
        <v>281</v>
      </c>
      <c r="C14" s="28">
        <f>SUM('06_Pricing_Scorecard'!B6:B9)-1</f>
        <v>0</v>
      </c>
      <c r="D14" s="28">
        <v>1E-3</v>
      </c>
      <c r="E14" s="29" t="str">
        <f>IF(ABS(C14)&lt;=D14,"PASS","FAIL")</f>
        <v>PASS</v>
      </c>
      <c r="F14" s="30" t="s">
        <v>262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</sheetData>
  <mergeCells count="2">
    <mergeCell ref="A1:F1"/>
    <mergeCell ref="A4:F4"/>
  </mergeCells>
  <conditionalFormatting sqref="E6:E14">
    <cfRule type="expression" dxfId="1" priority="1">
      <formula>E6="PASS"</formula>
    </cfRule>
    <cfRule type="expression" dxfId="0" priority="2">
      <formula>E6="FAIL"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80"/>
  <sheetViews>
    <sheetView workbookViewId="0">
      <selection sqref="A1:E1"/>
    </sheetView>
  </sheetViews>
  <sheetFormatPr baseColWidth="10" defaultColWidth="8.83203125" defaultRowHeight="14"/>
  <cols>
    <col min="1" max="1" width="34" customWidth="1"/>
    <col min="2" max="2" width="18" customWidth="1"/>
    <col min="3" max="4" width="42" customWidth="1"/>
    <col min="5" max="5" width="52" customWidth="1"/>
  </cols>
  <sheetData>
    <row r="1" spans="1:26" ht="37.25" customHeight="1">
      <c r="A1" s="89" t="s">
        <v>282</v>
      </c>
      <c r="B1" s="89"/>
      <c r="C1" s="89"/>
      <c r="D1" s="89"/>
      <c r="E1" s="89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>
      <c r="A4" s="90" t="s">
        <v>283</v>
      </c>
      <c r="B4" s="84"/>
      <c r="C4" s="84"/>
      <c r="D4" s="84"/>
      <c r="E4" s="91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6">
      <c r="A5" s="5" t="s">
        <v>284</v>
      </c>
      <c r="B5" s="6" t="s">
        <v>105</v>
      </c>
      <c r="C5" s="6" t="s">
        <v>285</v>
      </c>
      <c r="D5" s="6" t="s">
        <v>286</v>
      </c>
      <c r="E5" s="7" t="s">
        <v>114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>
      <c r="A6" s="20" t="s">
        <v>287</v>
      </c>
      <c r="B6" s="14" t="s">
        <v>288</v>
      </c>
      <c r="C6" s="14" t="s">
        <v>289</v>
      </c>
      <c r="D6" s="24" t="s">
        <v>290</v>
      </c>
      <c r="E6" s="22" t="s">
        <v>291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20" t="s">
        <v>292</v>
      </c>
      <c r="B7" s="14" t="s">
        <v>293</v>
      </c>
      <c r="C7" s="14" t="s">
        <v>294</v>
      </c>
      <c r="D7" s="24" t="s">
        <v>295</v>
      </c>
      <c r="E7" s="22" t="s">
        <v>296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27" t="s">
        <v>297</v>
      </c>
      <c r="B8" s="32" t="s">
        <v>298</v>
      </c>
      <c r="C8" s="32" t="s">
        <v>299</v>
      </c>
      <c r="D8" s="29" t="s">
        <v>300</v>
      </c>
      <c r="E8" s="30" t="s">
        <v>301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</sheetData>
  <mergeCells count="2">
    <mergeCell ref="A1:E1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00_Dashboard</vt:lpstr>
      <vt:lpstr>01_Deal_Inputs</vt:lpstr>
      <vt:lpstr>02_Investor_Master</vt:lpstr>
      <vt:lpstr>03_Order_Book</vt:lpstr>
      <vt:lpstr>04_Demand_Curve</vt:lpstr>
      <vt:lpstr>05_Allocation</vt:lpstr>
      <vt:lpstr>06_Pricing_Scorecard</vt:lpstr>
      <vt:lpstr>90_Checks</vt:lpstr>
      <vt:lpstr>99_Sources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Jonatan Larsen Koefoed</cp:lastModifiedBy>
  <dcterms:created xsi:type="dcterms:W3CDTF">2026-05-20T08:30:26Z</dcterms:created>
  <dcterms:modified xsi:type="dcterms:W3CDTF">2026-05-20T08:30:26Z</dcterms:modified>
</cp:coreProperties>
</file>