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onatanlarsenkoefoed/Documents/3.1 Investment banking prep/"/>
    </mc:Choice>
  </mc:AlternateContent>
  <xr:revisionPtr revIDLastSave="0" documentId="8_{2C5ED016-96C2-DD41-8997-9B88F255D908}" xr6:coauthVersionLast="47" xr6:coauthVersionMax="47" xr10:uidLastSave="{00000000-0000-0000-0000-000000000000}"/>
  <bookViews>
    <workbookView xWindow="380" yWindow="620" windowWidth="28040" windowHeight="16940" xr2:uid="{89D271DE-DA75-B746-BE07-B446B33D0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E19" i="1" s="1"/>
  <c r="F19" i="1" s="1"/>
  <c r="G19" i="1" s="1"/>
  <c r="H19" i="1" s="1"/>
  <c r="I19" i="1" s="1"/>
  <c r="J19" i="1" s="1"/>
  <c r="K19" i="1" s="1"/>
  <c r="D18" i="1"/>
  <c r="E18" i="1" s="1"/>
  <c r="F18" i="1" s="1"/>
  <c r="G18" i="1" s="1"/>
  <c r="H18" i="1" s="1"/>
  <c r="I18" i="1" s="1"/>
  <c r="J18" i="1" s="1"/>
  <c r="K18" i="1" s="1"/>
  <c r="D17" i="1"/>
  <c r="E17" i="1" s="1"/>
  <c r="F17" i="1" s="1"/>
  <c r="G17" i="1" s="1"/>
  <c r="H17" i="1" s="1"/>
  <c r="I17" i="1" s="1"/>
  <c r="J17" i="1" s="1"/>
  <c r="K17" i="1" s="1"/>
  <c r="D16" i="1"/>
  <c r="E16" i="1" s="1"/>
  <c r="F16" i="1" s="1"/>
  <c r="G16" i="1" s="1"/>
  <c r="H16" i="1" s="1"/>
  <c r="I16" i="1" s="1"/>
  <c r="J16" i="1" s="1"/>
  <c r="K16" i="1" s="1"/>
  <c r="D15" i="1"/>
  <c r="E15" i="1" s="1"/>
  <c r="F15" i="1" s="1"/>
  <c r="G15" i="1" s="1"/>
  <c r="H15" i="1" s="1"/>
  <c r="I15" i="1" s="1"/>
  <c r="J15" i="1" s="1"/>
  <c r="K15" i="1" s="1"/>
  <c r="D14" i="1"/>
  <c r="E14" i="1" s="1"/>
  <c r="F14" i="1" s="1"/>
  <c r="G14" i="1" s="1"/>
  <c r="H14" i="1" s="1"/>
  <c r="I14" i="1" s="1"/>
  <c r="J14" i="1" s="1"/>
  <c r="K14" i="1" s="1"/>
  <c r="D13" i="1"/>
  <c r="E13" i="1" s="1"/>
  <c r="F13" i="1" s="1"/>
  <c r="G13" i="1" s="1"/>
  <c r="H13" i="1" s="1"/>
  <c r="I13" i="1" s="1"/>
  <c r="J13" i="1" s="1"/>
  <c r="K13" i="1" s="1"/>
  <c r="D12" i="1"/>
  <c r="E12" i="1" s="1"/>
  <c r="F12" i="1" s="1"/>
  <c r="G12" i="1" s="1"/>
  <c r="H12" i="1" s="1"/>
  <c r="I12" i="1" s="1"/>
  <c r="J12" i="1" s="1"/>
  <c r="K12" i="1" s="1"/>
  <c r="D11" i="1"/>
  <c r="E11" i="1" s="1"/>
  <c r="F11" i="1" s="1"/>
  <c r="G11" i="1" s="1"/>
  <c r="H11" i="1" s="1"/>
  <c r="I11" i="1" s="1"/>
  <c r="J11" i="1" s="1"/>
  <c r="K11" i="1" s="1"/>
  <c r="D10" i="1"/>
  <c r="E10" i="1" s="1"/>
  <c r="F10" i="1" s="1"/>
  <c r="G10" i="1" s="1"/>
  <c r="H10" i="1" s="1"/>
  <c r="I10" i="1" s="1"/>
  <c r="J10" i="1" s="1"/>
  <c r="K10" i="1" s="1"/>
  <c r="D9" i="1"/>
  <c r="E9" i="1" s="1"/>
  <c r="F9" i="1" s="1"/>
  <c r="G9" i="1" s="1"/>
  <c r="H9" i="1" s="1"/>
  <c r="I9" i="1" s="1"/>
  <c r="J9" i="1" s="1"/>
  <c r="K9" i="1" s="1"/>
  <c r="D8" i="1"/>
  <c r="E7" i="1"/>
  <c r="F7" i="1" s="1"/>
  <c r="G7" i="1" s="1"/>
  <c r="H7" i="1" s="1"/>
  <c r="I7" i="1" s="1"/>
  <c r="J7" i="1" s="1"/>
  <c r="K7" i="1" s="1"/>
  <c r="D4" i="1"/>
  <c r="D20" i="1" l="1"/>
  <c r="D21" i="1" s="1"/>
  <c r="E8" i="1"/>
  <c r="E20" i="1" l="1"/>
  <c r="E21" i="1" s="1"/>
  <c r="F8" i="1"/>
  <c r="F20" i="1" s="1"/>
  <c r="F21" i="1" l="1"/>
  <c r="G8" i="1"/>
  <c r="H8" i="1" l="1"/>
  <c r="I8" i="1" s="1"/>
  <c r="J8" i="1" s="1"/>
  <c r="K8" i="1" s="1"/>
  <c r="I20" i="1"/>
  <c r="I21" i="1" s="1"/>
  <c r="G20" i="1"/>
  <c r="K20" i="1"/>
  <c r="K21" i="1" s="1"/>
  <c r="H20" i="1"/>
  <c r="H21" i="1" s="1"/>
  <c r="J20" i="1"/>
  <c r="J21" i="1" s="1"/>
  <c r="G21" i="1"/>
</calcChain>
</file>

<file path=xl/sharedStrings.xml><?xml version="1.0" encoding="utf-8"?>
<sst xmlns="http://schemas.openxmlformats.org/spreadsheetml/2006/main" count="19" uniqueCount="19">
  <si>
    <t xml:space="preserve">Investor </t>
  </si>
  <si>
    <t>ATP</t>
  </si>
  <si>
    <t xml:space="preserve">Danske Bank </t>
  </si>
  <si>
    <t>DNB</t>
  </si>
  <si>
    <t>New shares</t>
  </si>
  <si>
    <t>Existing shares</t>
  </si>
  <si>
    <t>Total offering</t>
  </si>
  <si>
    <t>Nykredit</t>
  </si>
  <si>
    <t>TIND</t>
  </si>
  <si>
    <t>PFA</t>
  </si>
  <si>
    <t xml:space="preserve">Velliv </t>
  </si>
  <si>
    <t>Danica Pension</t>
  </si>
  <si>
    <t xml:space="preserve">Sampension </t>
  </si>
  <si>
    <t xml:space="preserve">KLP </t>
  </si>
  <si>
    <t xml:space="preserve">BlackRock </t>
  </si>
  <si>
    <t xml:space="preserve">Fidelity </t>
  </si>
  <si>
    <t>Coverage</t>
  </si>
  <si>
    <t>mDKK demand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</si>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</sst>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\x"/>
  </numFmts>
  <fonts count="3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169" fontId="0" fillId="2" borderId="1" xfId="0" applyNumberFormat="1" applyFill="1" applyBorder="1" applyAlignment="1">
      <alignment horizontal="center"/>
    </xf>
    <xf numFmtId="0" fontId="1" fillId="2" borderId="2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CIP">
      <a:dk1>
        <a:sysClr val="windowText" lastClr="000000"/>
      </a:dk1>
      <a:lt1>
        <a:srgbClr val="FFFFFF"/>
      </a:lt1>
      <a:dk2>
        <a:srgbClr val="183A68"/>
      </a:dk2>
      <a:lt2>
        <a:srgbClr val="FFFFFF"/>
      </a:lt2>
      <a:accent1>
        <a:srgbClr val="557D9B"/>
      </a:accent1>
      <a:accent2>
        <a:srgbClr val="9BC3D2"/>
      </a:accent2>
      <a:accent3>
        <a:srgbClr val="44546A"/>
      </a:accent3>
      <a:accent4>
        <a:srgbClr val="CBB883"/>
      </a:accent4>
      <a:accent5>
        <a:srgbClr val="6E9600"/>
      </a:accent5>
      <a:accent6>
        <a:srgbClr val="465C00"/>
      </a:accent6>
      <a:hlink>
        <a:srgbClr val="557D9B"/>
      </a:hlink>
      <a:folHlink>
        <a:srgbClr val="EC6608"/>
      </a:folHlink>
    </a:clrScheme>
    <a:fontScheme name="Copenhagen Infrastructure Partner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3175">
          <a:solidFill>
            <a:srgbClr val="646464"/>
          </a:solidFill>
        </a:ln>
      </a:spPr>
      <a:bodyPr lIns="72000" tIns="72000" rIns="72000" bIns="72000" rtlCol="0" anchor="t"/>
      <a:lstStyle>
        <a:defPPr algn="l">
          <a:spcAft>
            <a:spcPts val="200"/>
          </a:spcAft>
          <a:defRPr sz="1000" dirty="0" err="1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3175">
          <a:solidFill>
            <a:srgbClr val="646464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 w="9525">
          <a:noFill/>
        </a:ln>
      </a:spPr>
      <a:bodyPr wrap="square" lIns="0" tIns="0" rIns="0" bIns="0" rtlCol="0" anchor="t">
        <a:spAutoFit/>
      </a:bodyPr>
      <a:lstStyle>
        <a:defPPr marL="0" indent="0" algn="l">
          <a:spcAft>
            <a:spcPts val="200"/>
          </a:spcAft>
          <a:buNone/>
          <a:defRPr sz="1000" dirty="0" err="1" smtClean="0">
            <a:solidFill>
              <a:schemeClr val="tx1"/>
            </a:solidFill>
            <a:sym typeface="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txDef>
  </a:objectDefaults>
  <a:extraClrSchemeLst/>
  <a:custClrLst>
    <a:custClr name="CIP Dark Blue++">
      <a:srgbClr val="191E3C"/>
    </a:custClr>
    <a:custClr name="CIP Dark Blue+">
      <a:srgbClr val="232D55"/>
    </a:custClr>
    <a:custClr name="CIP Dark Blue">
      <a:srgbClr val="183A68"/>
    </a:custClr>
    <a:custClr name="CIP Blue">
      <a:srgbClr val="557D9B"/>
    </a:custClr>
    <a:custClr name="CIP Light Blue+">
      <a:srgbClr val="82A0B9"/>
    </a:custClr>
    <a:custClr name="CIP Light Blue">
      <a:srgbClr val="9BC3D2"/>
    </a:custClr>
    <a:custClr name="CIP Faded Blue">
      <a:srgbClr val="CDE1EB"/>
    </a:custClr>
    <a:custClr>
      <a:srgbClr val="FFFFFF"/>
    </a:custClr>
    <a:custClr>
      <a:srgbClr val="FFFFFF"/>
    </a:custClr>
    <a:custClr name="CIP Orange">
      <a:srgbClr val="EC6608"/>
    </a:custClr>
    <a:custClr name="CIP Dark Green++">
      <a:srgbClr val="232D00"/>
    </a:custClr>
    <a:custClr name="CIP Dark Green+">
      <a:srgbClr val="324100"/>
    </a:custClr>
    <a:custClr name="CIP Dark Green">
      <a:srgbClr val="465C00"/>
    </a:custClr>
    <a:custClr name="CIP Medium Green">
      <a:srgbClr val="5A7300"/>
    </a:custClr>
    <a:custClr name="CIP Green">
      <a:srgbClr val="6E9600"/>
    </a:custClr>
    <a:custClr name="CIP Light Green">
      <a:srgbClr val="96B400"/>
    </a:custClr>
    <a:custClr name="CIP Faded Green">
      <a:srgbClr val="B4CD7D"/>
    </a:custClr>
    <a:custClr name="CIP Faded Green">
      <a:srgbClr val="FFFFFF"/>
    </a:custClr>
    <a:custClr name="CIP Faded Green">
      <a:srgbClr val="FFFFFF"/>
    </a:custClr>
    <a:custClr name="CIP Faded Green">
      <a:srgbClr val="FFFFFF"/>
    </a:custClr>
    <a:custClr name="CIP Dark Sand++">
      <a:srgbClr val="645532"/>
    </a:custClr>
    <a:custClr name="CIP Dark Sand+">
      <a:srgbClr val="826E41"/>
    </a:custClr>
    <a:custClr name="CIP Dark Sand">
      <a:srgbClr val="96824B"/>
    </a:custClr>
    <a:custClr name="CIP Medium Sand">
      <a:srgbClr val="B4A064"/>
    </a:custClr>
    <a:custClr name="CIP Sand">
      <a:srgbClr val="CBB883"/>
    </a:custClr>
    <a:custClr name="CIP Light Sand">
      <a:srgbClr val="D7C8A5"/>
    </a:custClr>
    <a:custClr name="CIP Faded Sand">
      <a:srgbClr val="E6DCC8"/>
    </a:custClr>
    <a:custClr name="CIP Faded Sand">
      <a:srgbClr val="FFFFFF"/>
    </a:custClr>
    <a:custClr name="CIP Faded Sand">
      <a:srgbClr val="FFFFFF"/>
    </a:custClr>
    <a:custClr name="CIP Faded Sand">
      <a:srgbClr val="FFFFFF"/>
    </a:custClr>
    <a:custClr name="CIP Dark Grey++">
      <a:srgbClr val="4B4B4B"/>
    </a:custClr>
    <a:custClr name="CIP Dark Grey+">
      <a:srgbClr val="646464"/>
    </a:custClr>
    <a:custClr name="CIP Dark Grey">
      <a:srgbClr val="7D7D7D"/>
    </a:custClr>
    <a:custClr name="CIP Medium Grey">
      <a:srgbClr val="A0A0A0"/>
    </a:custClr>
    <a:custClr name="CIP Grey">
      <a:srgbClr val="D7D7D7"/>
    </a:custClr>
    <a:custClr name="CIP Light Grey">
      <a:srgbClr val="F0F0F0"/>
    </a:custClr>
    <a:custClr name="CIP Faded Grey">
      <a:srgbClr val="F7F7F7"/>
    </a:custClr>
    <a:custClr name="BLANK">
      <a:srgbClr val="FFFFFF"/>
    </a:custClr>
    <a:custClr name="BLANK">
      <a:srgbClr val="FFFFFF"/>
    </a:custClr>
    <a:custClr name="BLANK">
      <a:srgbClr val="FFFFFF"/>
    </a:custClr>
    <a:custClr name="CIP Traffic Green">
      <a:srgbClr val="6E9600"/>
    </a:custClr>
    <a:custClr name="CIP Traffic Yellow">
      <a:srgbClr val="FFC000"/>
    </a:custClr>
    <a:custClr name="CIP Traffic Red">
      <a:srgbClr val="B90000"/>
    </a:custClr>
  </a:custClrLst>
  <a:extLst>
    <a:ext uri="{05A4C25C-085E-4340-85A3-A5531E510DB2}">
      <thm15:themeFamily xmlns:thm15="http://schemas.microsoft.com/office/thememl/2012/main" name="Copenhagen Infrastructure Partners" id="{252DD506-168E-46A5-8D60-71BCA663D6D1}" vid="{A6F43CDE-F7A7-44C5-8F54-1B0A112CDB98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1A4F-39C1-A047-9BFA-5C5BD746A06E}">
  <dimension ref="C1:K24"/>
  <sheetViews>
    <sheetView showGridLines="0" tabSelected="1" zoomScale="112" workbookViewId="0">
      <selection activeCell="M17" sqref="M17"/>
    </sheetView>
  </sheetViews>
  <sheetFormatPr baseColWidth="10" defaultRowHeight="16" x14ac:dyDescent="0.2"/>
  <cols>
    <col min="1" max="2" width="2.85546875" customWidth="1"/>
    <col min="3" max="3" width="16.5703125" customWidth="1"/>
    <col min="4" max="11" width="12.140625" customWidth="1"/>
  </cols>
  <sheetData>
    <row r="1" spans="3:11" ht="17" thickBot="1" x14ac:dyDescent="0.25">
      <c r="C1" s="2"/>
      <c r="D1" s="2"/>
      <c r="E1" s="3"/>
    </row>
    <row r="2" spans="3:11" x14ac:dyDescent="0.2">
      <c r="C2" s="3" t="s">
        <v>4</v>
      </c>
      <c r="D2" s="3">
        <v>0.5</v>
      </c>
      <c r="E2" s="3"/>
    </row>
    <row r="3" spans="3:11" ht="17" thickBot="1" x14ac:dyDescent="0.25">
      <c r="C3" s="2" t="s">
        <v>5</v>
      </c>
      <c r="D3" s="2">
        <v>24.7</v>
      </c>
      <c r="E3" s="3"/>
    </row>
    <row r="4" spans="3:11" s="3" customFormat="1" ht="17" thickBot="1" x14ac:dyDescent="0.25">
      <c r="C4" s="1" t="s">
        <v>6</v>
      </c>
      <c r="D4" s="1">
        <f>+SUM(D2:D3)</f>
        <v>25.2</v>
      </c>
    </row>
    <row r="6" spans="3:11" ht="17" thickBot="1" x14ac:dyDescent="0.25">
      <c r="C6" s="8" t="s">
        <v>17</v>
      </c>
      <c r="D6" s="2"/>
      <c r="E6" s="2"/>
      <c r="F6" s="2"/>
      <c r="G6" s="2"/>
      <c r="H6" s="2"/>
      <c r="I6" s="2"/>
      <c r="J6" s="2"/>
      <c r="K6" s="2"/>
    </row>
    <row r="7" spans="3:11" s="6" customFormat="1" ht="26" customHeight="1" thickBot="1" x14ac:dyDescent="0.25">
      <c r="C7" s="15" t="s">
        <v>0</v>
      </c>
      <c r="D7" s="16">
        <v>108</v>
      </c>
      <c r="E7" s="16">
        <f>+D7-1</f>
        <v>107</v>
      </c>
      <c r="F7" s="16">
        <f t="shared" ref="F7:K7" si="0">+E7-1</f>
        <v>106</v>
      </c>
      <c r="G7" s="16">
        <f t="shared" si="0"/>
        <v>105</v>
      </c>
      <c r="H7" s="16">
        <f t="shared" si="0"/>
        <v>104</v>
      </c>
      <c r="I7" s="16">
        <f t="shared" si="0"/>
        <v>103</v>
      </c>
      <c r="J7" s="16">
        <f t="shared" si="0"/>
        <v>102</v>
      </c>
      <c r="K7" s="16">
        <f t="shared" si="0"/>
        <v>101</v>
      </c>
    </row>
    <row r="8" spans="3:11" x14ac:dyDescent="0.2">
      <c r="C8" t="s">
        <v>1</v>
      </c>
      <c r="D8" s="4">
        <f ca="1">+RANDBETWEEN(1,3)</f>
        <v>3</v>
      </c>
      <c r="E8" s="9">
        <f ca="1">+D8*1.25</f>
        <v>3.75</v>
      </c>
      <c r="F8" s="9">
        <f t="shared" ref="F8:K8" ca="1" si="1">+E8*1.25</f>
        <v>4.6875</v>
      </c>
      <c r="G8" s="9">
        <f t="shared" ca="1" si="1"/>
        <v>5.859375</v>
      </c>
      <c r="H8" s="9">
        <f t="shared" ca="1" si="1"/>
        <v>7.32421875</v>
      </c>
      <c r="I8" s="9">
        <f t="shared" ca="1" si="1"/>
        <v>9.1552734375</v>
      </c>
      <c r="J8" s="9">
        <f t="shared" ca="1" si="1"/>
        <v>11.444091796875</v>
      </c>
      <c r="K8" s="9">
        <f t="shared" ca="1" si="1"/>
        <v>14.30511474609375</v>
      </c>
    </row>
    <row r="9" spans="3:11" x14ac:dyDescent="0.2">
      <c r="C9" t="s">
        <v>2</v>
      </c>
      <c r="D9" s="4">
        <f t="shared" ref="D9:D19" ca="1" si="2">+RANDBETWEEN(1,3)</f>
        <v>2</v>
      </c>
      <c r="E9" s="9">
        <f t="shared" ref="E9:K9" ca="1" si="3">+D9*1.25</f>
        <v>2.5</v>
      </c>
      <c r="F9" s="9">
        <f t="shared" ca="1" si="3"/>
        <v>3.125</v>
      </c>
      <c r="G9" s="9">
        <f t="shared" ca="1" si="3"/>
        <v>3.90625</v>
      </c>
      <c r="H9" s="9">
        <f t="shared" ca="1" si="3"/>
        <v>4.8828125</v>
      </c>
      <c r="I9" s="9">
        <f t="shared" ca="1" si="3"/>
        <v>6.103515625</v>
      </c>
      <c r="J9" s="9">
        <f t="shared" ca="1" si="3"/>
        <v>7.62939453125</v>
      </c>
      <c r="K9" s="9">
        <f t="shared" ca="1" si="3"/>
        <v>9.5367431640625</v>
      </c>
    </row>
    <row r="10" spans="3:11" x14ac:dyDescent="0.2">
      <c r="C10" t="s">
        <v>3</v>
      </c>
      <c r="D10" s="4">
        <f t="shared" ca="1" si="2"/>
        <v>1</v>
      </c>
      <c r="E10" s="9">
        <f t="shared" ref="E10:K10" ca="1" si="4">+D10*1.25</f>
        <v>1.25</v>
      </c>
      <c r="F10" s="9">
        <f t="shared" ca="1" si="4"/>
        <v>1.5625</v>
      </c>
      <c r="G10" s="9">
        <f t="shared" ca="1" si="4"/>
        <v>1.953125</v>
      </c>
      <c r="H10" s="9">
        <f t="shared" ca="1" si="4"/>
        <v>2.44140625</v>
      </c>
      <c r="I10" s="9">
        <f t="shared" ca="1" si="4"/>
        <v>3.0517578125</v>
      </c>
      <c r="J10" s="9">
        <f t="shared" ca="1" si="4"/>
        <v>3.814697265625</v>
      </c>
      <c r="K10" s="9">
        <f t="shared" ca="1" si="4"/>
        <v>4.76837158203125</v>
      </c>
    </row>
    <row r="11" spans="3:11" x14ac:dyDescent="0.2">
      <c r="C11" t="s">
        <v>7</v>
      </c>
      <c r="D11" s="4">
        <f t="shared" ca="1" si="2"/>
        <v>2</v>
      </c>
      <c r="E11" s="9">
        <f t="shared" ref="E11:K11" ca="1" si="5">+D11*1.25</f>
        <v>2.5</v>
      </c>
      <c r="F11" s="9">
        <f t="shared" ca="1" si="5"/>
        <v>3.125</v>
      </c>
      <c r="G11" s="9">
        <f t="shared" ca="1" si="5"/>
        <v>3.90625</v>
      </c>
      <c r="H11" s="9">
        <f t="shared" ca="1" si="5"/>
        <v>4.8828125</v>
      </c>
      <c r="I11" s="9">
        <f t="shared" ca="1" si="5"/>
        <v>6.103515625</v>
      </c>
      <c r="J11" s="9">
        <f t="shared" ca="1" si="5"/>
        <v>7.62939453125</v>
      </c>
      <c r="K11" s="9">
        <f t="shared" ca="1" si="5"/>
        <v>9.5367431640625</v>
      </c>
    </row>
    <row r="12" spans="3:11" x14ac:dyDescent="0.2">
      <c r="C12" t="s">
        <v>8</v>
      </c>
      <c r="D12" s="4">
        <f t="shared" ca="1" si="2"/>
        <v>1</v>
      </c>
      <c r="E12" s="9">
        <f t="shared" ref="E12:K12" ca="1" si="6">+D12*1.25</f>
        <v>1.25</v>
      </c>
      <c r="F12" s="9">
        <f t="shared" ca="1" si="6"/>
        <v>1.5625</v>
      </c>
      <c r="G12" s="9">
        <f t="shared" ca="1" si="6"/>
        <v>1.953125</v>
      </c>
      <c r="H12" s="9">
        <f t="shared" ca="1" si="6"/>
        <v>2.44140625</v>
      </c>
      <c r="I12" s="9">
        <f t="shared" ca="1" si="6"/>
        <v>3.0517578125</v>
      </c>
      <c r="J12" s="9">
        <f t="shared" ca="1" si="6"/>
        <v>3.814697265625</v>
      </c>
      <c r="K12" s="9">
        <f t="shared" ca="1" si="6"/>
        <v>4.76837158203125</v>
      </c>
    </row>
    <row r="13" spans="3:11" x14ac:dyDescent="0.2">
      <c r="C13" t="s">
        <v>9</v>
      </c>
      <c r="D13" s="4">
        <f t="shared" ca="1" si="2"/>
        <v>1</v>
      </c>
      <c r="E13" s="9">
        <f t="shared" ref="E13:K13" ca="1" si="7">+D13*1.25</f>
        <v>1.25</v>
      </c>
      <c r="F13" s="9">
        <f t="shared" ca="1" si="7"/>
        <v>1.5625</v>
      </c>
      <c r="G13" s="9">
        <f t="shared" ca="1" si="7"/>
        <v>1.953125</v>
      </c>
      <c r="H13" s="9">
        <f t="shared" ca="1" si="7"/>
        <v>2.44140625</v>
      </c>
      <c r="I13" s="9">
        <f t="shared" ca="1" si="7"/>
        <v>3.0517578125</v>
      </c>
      <c r="J13" s="9">
        <f t="shared" ca="1" si="7"/>
        <v>3.814697265625</v>
      </c>
      <c r="K13" s="9">
        <f t="shared" ca="1" si="7"/>
        <v>4.76837158203125</v>
      </c>
    </row>
    <row r="14" spans="3:11" x14ac:dyDescent="0.2">
      <c r="C14" t="s">
        <v>10</v>
      </c>
      <c r="D14" s="4">
        <f t="shared" ca="1" si="2"/>
        <v>1</v>
      </c>
      <c r="E14" s="9">
        <f t="shared" ref="E14:K14" ca="1" si="8">+D14*1.25</f>
        <v>1.25</v>
      </c>
      <c r="F14" s="9">
        <f t="shared" ca="1" si="8"/>
        <v>1.5625</v>
      </c>
      <c r="G14" s="9">
        <f t="shared" ca="1" si="8"/>
        <v>1.953125</v>
      </c>
      <c r="H14" s="9">
        <f t="shared" ca="1" si="8"/>
        <v>2.44140625</v>
      </c>
      <c r="I14" s="9">
        <f t="shared" ca="1" si="8"/>
        <v>3.0517578125</v>
      </c>
      <c r="J14" s="9">
        <f t="shared" ca="1" si="8"/>
        <v>3.814697265625</v>
      </c>
      <c r="K14" s="9">
        <f t="shared" ca="1" si="8"/>
        <v>4.76837158203125</v>
      </c>
    </row>
    <row r="15" spans="3:11" x14ac:dyDescent="0.2">
      <c r="C15" t="s">
        <v>11</v>
      </c>
      <c r="D15" s="4">
        <f t="shared" ca="1" si="2"/>
        <v>3</v>
      </c>
      <c r="E15" s="9">
        <f t="shared" ref="E15:K15" ca="1" si="9">+D15*1.25</f>
        <v>3.75</v>
      </c>
      <c r="F15" s="9">
        <f t="shared" ca="1" si="9"/>
        <v>4.6875</v>
      </c>
      <c r="G15" s="9">
        <f t="shared" ca="1" si="9"/>
        <v>5.859375</v>
      </c>
      <c r="H15" s="9">
        <f t="shared" ca="1" si="9"/>
        <v>7.32421875</v>
      </c>
      <c r="I15" s="9">
        <f t="shared" ca="1" si="9"/>
        <v>9.1552734375</v>
      </c>
      <c r="J15" s="9">
        <f t="shared" ca="1" si="9"/>
        <v>11.444091796875</v>
      </c>
      <c r="K15" s="9">
        <f t="shared" ca="1" si="9"/>
        <v>14.30511474609375</v>
      </c>
    </row>
    <row r="16" spans="3:11" x14ac:dyDescent="0.2">
      <c r="C16" t="s">
        <v>12</v>
      </c>
      <c r="D16" s="4">
        <f t="shared" ca="1" si="2"/>
        <v>2</v>
      </c>
      <c r="E16" s="9">
        <f t="shared" ref="E16:K16" ca="1" si="10">+D16*1.25</f>
        <v>2.5</v>
      </c>
      <c r="F16" s="9">
        <f t="shared" ca="1" si="10"/>
        <v>3.125</v>
      </c>
      <c r="G16" s="9">
        <f t="shared" ca="1" si="10"/>
        <v>3.90625</v>
      </c>
      <c r="H16" s="9">
        <f t="shared" ca="1" si="10"/>
        <v>4.8828125</v>
      </c>
      <c r="I16" s="9">
        <f t="shared" ca="1" si="10"/>
        <v>6.103515625</v>
      </c>
      <c r="J16" s="9">
        <f t="shared" ca="1" si="10"/>
        <v>7.62939453125</v>
      </c>
      <c r="K16" s="9">
        <f t="shared" ca="1" si="10"/>
        <v>9.5367431640625</v>
      </c>
    </row>
    <row r="17" spans="3:11" x14ac:dyDescent="0.2">
      <c r="C17" t="s">
        <v>13</v>
      </c>
      <c r="D17" s="4">
        <f t="shared" ca="1" si="2"/>
        <v>2</v>
      </c>
      <c r="E17" s="9">
        <f t="shared" ref="E17:K17" ca="1" si="11">+D17*1.25</f>
        <v>2.5</v>
      </c>
      <c r="F17" s="9">
        <f t="shared" ca="1" si="11"/>
        <v>3.125</v>
      </c>
      <c r="G17" s="9">
        <f t="shared" ca="1" si="11"/>
        <v>3.90625</v>
      </c>
      <c r="H17" s="9">
        <f t="shared" ca="1" si="11"/>
        <v>4.8828125</v>
      </c>
      <c r="I17" s="9">
        <f t="shared" ca="1" si="11"/>
        <v>6.103515625</v>
      </c>
      <c r="J17" s="9">
        <f t="shared" ca="1" si="11"/>
        <v>7.62939453125</v>
      </c>
      <c r="K17" s="9">
        <f t="shared" ca="1" si="11"/>
        <v>9.5367431640625</v>
      </c>
    </row>
    <row r="18" spans="3:11" x14ac:dyDescent="0.2">
      <c r="C18" t="s">
        <v>14</v>
      </c>
      <c r="D18" s="4">
        <f t="shared" ca="1" si="2"/>
        <v>2</v>
      </c>
      <c r="E18" s="9">
        <f t="shared" ref="E18:K18" ca="1" si="12">+D18*1.25</f>
        <v>2.5</v>
      </c>
      <c r="F18" s="9">
        <f t="shared" ca="1" si="12"/>
        <v>3.125</v>
      </c>
      <c r="G18" s="9">
        <f t="shared" ca="1" si="12"/>
        <v>3.90625</v>
      </c>
      <c r="H18" s="9">
        <f t="shared" ca="1" si="12"/>
        <v>4.8828125</v>
      </c>
      <c r="I18" s="9">
        <f t="shared" ca="1" si="12"/>
        <v>6.103515625</v>
      </c>
      <c r="J18" s="9">
        <f t="shared" ca="1" si="12"/>
        <v>7.62939453125</v>
      </c>
      <c r="K18" s="9">
        <f t="shared" ca="1" si="12"/>
        <v>9.5367431640625</v>
      </c>
    </row>
    <row r="19" spans="3:11" ht="17" thickBot="1" x14ac:dyDescent="0.25">
      <c r="C19" s="2" t="s">
        <v>15</v>
      </c>
      <c r="D19" s="5">
        <f t="shared" ca="1" si="2"/>
        <v>2</v>
      </c>
      <c r="E19" s="10">
        <f t="shared" ref="E19:K20" ca="1" si="13">+D19*1.25</f>
        <v>2.5</v>
      </c>
      <c r="F19" s="10">
        <f t="shared" ca="1" si="13"/>
        <v>3.125</v>
      </c>
      <c r="G19" s="10">
        <f t="shared" ca="1" si="13"/>
        <v>3.90625</v>
      </c>
      <c r="H19" s="10">
        <f t="shared" ca="1" si="13"/>
        <v>4.8828125</v>
      </c>
      <c r="I19" s="10">
        <f t="shared" ca="1" si="13"/>
        <v>6.103515625</v>
      </c>
      <c r="J19" s="10">
        <f t="shared" ca="1" si="13"/>
        <v>7.62939453125</v>
      </c>
      <c r="K19" s="10">
        <f t="shared" ca="1" si="13"/>
        <v>9.5367431640625</v>
      </c>
    </row>
    <row r="20" spans="3:11" x14ac:dyDescent="0.2">
      <c r="C20" s="13" t="s">
        <v>18</v>
      </c>
      <c r="D20" s="11">
        <f ca="1">+SUM($D$8:D19)</f>
        <v>22</v>
      </c>
      <c r="E20" s="11">
        <f ca="1">+ROUND(SUM($D$8:E19),0)</f>
        <v>50</v>
      </c>
      <c r="F20" s="11">
        <f ca="1">+ROUND(SUM($D$8:F19),0)</f>
        <v>84</v>
      </c>
      <c r="G20" s="11">
        <f ca="1">+ROUND(SUM($D$8:G19),0)</f>
        <v>127</v>
      </c>
      <c r="H20" s="11">
        <f ca="1">+ROUND(SUM($D$8:H19),0)</f>
        <v>181</v>
      </c>
      <c r="I20" s="11">
        <f ca="1">+ROUND(SUM($D$8:I19),0)</f>
        <v>248</v>
      </c>
      <c r="J20" s="11">
        <f ca="1">+ROUND(SUM($D$8:J19),0)</f>
        <v>332</v>
      </c>
      <c r="K20" s="11">
        <f ca="1">+ROUND(SUM($D$8:K19),0)</f>
        <v>437</v>
      </c>
    </row>
    <row r="21" spans="3:11" ht="17" thickBot="1" x14ac:dyDescent="0.25">
      <c r="C21" s="14" t="s">
        <v>16</v>
      </c>
      <c r="D21" s="12">
        <f ca="1">+D20/$D$4</f>
        <v>0.87301587301587302</v>
      </c>
      <c r="E21" s="12">
        <f t="shared" ref="E21:K21" ca="1" si="14">+E20/$D$4</f>
        <v>1.9841269841269842</v>
      </c>
      <c r="F21" s="12">
        <f t="shared" ca="1" si="14"/>
        <v>3.3333333333333335</v>
      </c>
      <c r="G21" s="12">
        <f t="shared" ca="1" si="14"/>
        <v>5.0396825396825395</v>
      </c>
      <c r="H21" s="12">
        <f t="shared" ca="1" si="14"/>
        <v>7.1825396825396828</v>
      </c>
      <c r="I21" s="12">
        <f t="shared" ca="1" si="14"/>
        <v>9.8412698412698418</v>
      </c>
      <c r="J21" s="12">
        <f t="shared" ca="1" si="14"/>
        <v>13.174603174603176</v>
      </c>
      <c r="K21" s="12">
        <f t="shared" ca="1" si="14"/>
        <v>17.341269841269842</v>
      </c>
    </row>
    <row r="22" spans="3:11" x14ac:dyDescent="0.2">
      <c r="C22" s="17"/>
      <c r="D22" s="17"/>
      <c r="E22" s="17"/>
      <c r="F22" s="17"/>
      <c r="G22" s="17"/>
      <c r="H22" s="17"/>
      <c r="I22" s="17"/>
      <c r="J22" s="17"/>
      <c r="K22" s="17"/>
    </row>
    <row r="23" spans="3:11" x14ac:dyDescent="0.2">
      <c r="C23" s="17"/>
      <c r="D23" s="17"/>
      <c r="E23" s="17"/>
      <c r="F23" s="17"/>
      <c r="G23" s="17"/>
      <c r="H23" s="17"/>
      <c r="I23" s="17"/>
      <c r="J23" s="17"/>
      <c r="K23" s="17"/>
    </row>
    <row r="24" spans="3:11" x14ac:dyDescent="0.2">
      <c r="C24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Larsen Koefoed</dc:creator>
  <cp:lastModifiedBy>Jonatan Larsen Koefoed</cp:lastModifiedBy>
  <dcterms:created xsi:type="dcterms:W3CDTF">2025-02-09T11:55:16Z</dcterms:created>
  <dcterms:modified xsi:type="dcterms:W3CDTF">2026-05-20T08:06:45Z</dcterms:modified>
</cp:coreProperties>
</file>