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jonatanlarsenkoefoed/Downloads/"/>
    </mc:Choice>
  </mc:AlternateContent>
  <xr:revisionPtr revIDLastSave="0" documentId="13_ncr:20001_{89504E5F-6399-684B-B15F-DBA130E96E2D}" xr6:coauthVersionLast="47" xr6:coauthVersionMax="47" xr10:uidLastSave="{00000000-0000-0000-0000-000000000000}"/>
  <bookViews>
    <workbookView xWindow="0" yWindow="620" windowWidth="28800" windowHeight="17380" activeTab="1" xr2:uid="{00000000-000D-0000-FFFF-FFFF00000000}"/>
  </bookViews>
  <sheets>
    <sheet name="README" sheetId="1" r:id="rId1"/>
    <sheet name="Design_Tokens" sheetId="2" r:id="rId2"/>
    <sheet name="Styles_Katalog" sheetId="3" r:id="rId3"/>
    <sheet name="Number_Formats" sheetId="4" r:id="rId4"/>
    <sheet name="Layout_Patterns" sheetId="5" r:id="rId5"/>
    <sheet name="Inputs_Block_Template" sheetId="6" r:id="rId6"/>
    <sheet name="QA_Checklist" sheetId="7" r:id="rId7"/>
    <sheet name="Lint_Rules" sheetId="8" r:id="rId8"/>
    <sheet name="Agent_Skill_Prompt" sheetId="9" r:id="rId9"/>
    <sheet name="Mini_Example_Model" sheetId="10" r:id="rId10"/>
    <sheet name="IB_Borders_Rules" sheetId="11" r:id="rId11"/>
    <sheet name="IB_Sizing_Rules" sheetId="12" r:id="rId12"/>
    <sheet name="IB_Spacing_Grid_Rules" sheetId="13" r:id="rId13"/>
    <sheet name="IB_TimeSeries_Rules" sheetId="14" r:id="rId14"/>
    <sheet name="Inputs_Layout_Spec" sheetId="15" r:id="rId15"/>
    <sheet name="IB_Hide_Show_Rules" sheetId="16" r:id="rId16"/>
  </sheets>
  <calcPr calcId="0" calcCompleted="0" calcOnSave="0"/>
  <fileRecoveryPr repairLoad="1"/>
</workbook>
</file>

<file path=xl/calcChain.xml><?xml version="1.0" encoding="utf-8"?>
<calcChain xmlns="http://schemas.openxmlformats.org/spreadsheetml/2006/main">
  <c r="A19" i="10" l="1"/>
  <c r="B14" i="10"/>
  <c r="B13" i="10"/>
  <c r="B12" i="10"/>
  <c r="B16" i="5"/>
  <c r="B14" i="5"/>
  <c r="D13" i="5"/>
  <c r="C13" i="5"/>
  <c r="B13" i="5"/>
</calcChain>
</file>

<file path=xl/sharedStrings.xml><?xml version="1.0" encoding="utf-8"?>
<sst xmlns="http://schemas.openxmlformats.org/spreadsheetml/2006/main" count="868" uniqueCount="682">
  <si>
    <t>IB Excel Formatting Skillbook (Template + regler)</t>
  </si>
  <si>
    <t>Formål</t>
  </si>
  <si>
    <t>Denne workbook er en 'skillbook' til en AI agent: design-system (tokens), stilkatalog, layout-patterns og QA-tjekliste, så modeller kan leveres som rådgiver-/investment banking-standard.</t>
  </si>
  <si>
    <t>Brug (for agenten)</t>
  </si>
  <si>
    <t>1) Klassificér hver fane: Inputs, Beregninger, Output/Dashboard.</t>
  </si>
  <si>
    <t>2) Skjul gridlines, freeze panes, og brug sektion-headers (mørk blå) til at opdele logik.</t>
  </si>
  <si>
    <t>3) Farver: Inputs = blå tekst. Formler = sort. Links = grøn. Flags = lys rød baggrund.</t>
  </si>
  <si>
    <t>4) Talformater: DKK / DKK pr. m² / % / pr. måned. 0 vises som '-', negative i røde parenteser.</t>
  </si>
  <si>
    <t>5) Borders: Ingen 'kasse-om-alt'. Kun tabel-rammer og total-linje (tyk top-border).</t>
  </si>
  <si>
    <t>6) Enheder i headers eller separat enhedskolonne.</t>
  </si>
  <si>
    <t>7) QA: Ingen hardcodes i beregningsfaner. Ingen #REF/#DIV/0. Kontrolfelter tydelige.</t>
  </si>
  <si>
    <t>7) Spacing/Grid: Kolonne A er altid blank margin. Alle blokke starter i kolonne B. Præcis 1 spacer-række (h=9) mellem blokke.</t>
  </si>
  <si>
    <t>8) Time series: Cashflows og tidsserier modelleres altid horisontalt (tid i kolonner).</t>
  </si>
  <si>
    <t>1.0</t>
  </si>
  <si>
    <t>Dato</t>
  </si>
  <si>
    <t>Design Tokens (farver, typografi, borders, number formats)</t>
  </si>
  <si>
    <t>Tokens</t>
  </si>
  <si>
    <t>Kategori</t>
  </si>
  <si>
    <t>Token</t>
  </si>
  <si>
    <t>Værdi</t>
  </si>
  <si>
    <t>Anvendelse</t>
  </si>
  <si>
    <t>Eksempel</t>
  </si>
  <si>
    <t>Farve</t>
  </si>
  <si>
    <t>HEADER_FILL</t>
  </si>
  <si>
    <t>#1F4E79</t>
  </si>
  <si>
    <t>Sektion- og titelbjælker</t>
  </si>
  <si>
    <t>Titel/sektion</t>
  </si>
  <si>
    <t>SECTION_FILL</t>
  </si>
  <si>
    <t>#2F5597</t>
  </si>
  <si>
    <t>Undersektioner</t>
  </si>
  <si>
    <t>Inputs/Outputs</t>
  </si>
  <si>
    <t>TABLE_HEADER_FILL</t>
  </si>
  <si>
    <t>#F2F2F2</t>
  </si>
  <si>
    <t>Kolonne-headers</t>
  </si>
  <si>
    <t>Tabeller</t>
  </si>
  <si>
    <t>INPUT_FONT_COLOR</t>
  </si>
  <si>
    <t>#0000FF</t>
  </si>
  <si>
    <t>Alle input-celler</t>
  </si>
  <si>
    <t>Blå tal</t>
  </si>
  <si>
    <t>LINK_FONT_COLOR</t>
  </si>
  <si>
    <t>#008000</t>
  </si>
  <si>
    <t>Cell links mellem faner</t>
  </si>
  <si>
    <t>Grøn tal</t>
  </si>
  <si>
    <t>FLAG_FILL</t>
  </si>
  <si>
    <t>#F8CBAD</t>
  </si>
  <si>
    <t>Fejl/flags/cautions</t>
  </si>
  <si>
    <t>Rød baggrund</t>
  </si>
  <si>
    <t>Typografi</t>
  </si>
  <si>
    <t>FONT_BASE</t>
  </si>
  <si>
    <t>Calibri 11</t>
  </si>
  <si>
    <t>Standard label/tekst</t>
  </si>
  <si>
    <t>Labels</t>
  </si>
  <si>
    <t>FONT_HEADER</t>
  </si>
  <si>
    <t>Calibri 14 bold</t>
  </si>
  <si>
    <t>Titel</t>
  </si>
  <si>
    <t>Topbar</t>
  </si>
  <si>
    <t>Borders</t>
  </si>
  <si>
    <t>BORDER_THIN</t>
  </si>
  <si>
    <t>D0D0D0</t>
  </si>
  <si>
    <t>Tabelrammer/inddeling</t>
  </si>
  <si>
    <t>Let ramme</t>
  </si>
  <si>
    <t>TOTAL_TOP_BORDER</t>
  </si>
  <si>
    <t>1F4E79</t>
  </si>
  <si>
    <t>Totals: tyk top-linje</t>
  </si>
  <si>
    <t>Sumlinje</t>
  </si>
  <si>
    <t>NumberFormat</t>
  </si>
  <si>
    <t>NF_INT</t>
  </si>
  <si>
    <t>#,##0;[Red](#,##0);"-"</t>
  </si>
  <si>
    <t>DKK, DKK/m² (0='-')</t>
  </si>
  <si>
    <t>Beløb</t>
  </si>
  <si>
    <t>NF_PCT1</t>
  </si>
  <si>
    <t>0.0%;[Red](0.0%);"-"</t>
  </si>
  <si>
    <t>Procenter (1 dec.)</t>
  </si>
  <si>
    <t>%</t>
  </si>
  <si>
    <t>NF_MULT1</t>
  </si>
  <si>
    <t>0.0"x";[Red](0.0"x");"-"</t>
  </si>
  <si>
    <t>Multipler (x)</t>
  </si>
  <si>
    <t>5.2x</t>
  </si>
  <si>
    <t>Layout</t>
  </si>
  <si>
    <t>UNITS_POLICY</t>
  </si>
  <si>
    <t>Enheder i header eller separat kolonne</t>
  </si>
  <si>
    <t>Always show units</t>
  </si>
  <si>
    <t>DKK, %, pr. måned</t>
  </si>
  <si>
    <t>INPUT_FILL</t>
  </si>
  <si>
    <t>Inputfelter (baggrund)</t>
  </si>
  <si>
    <t>INPUT-celle</t>
  </si>
  <si>
    <t>OUTPUT_FILL</t>
  </si>
  <si>
    <t>Output/KPI-kort (baggrund)</t>
  </si>
  <si>
    <t>KPI-kort</t>
  </si>
  <si>
    <t>CALC_FILL</t>
  </si>
  <si>
    <t>#FFFFFF</t>
  </si>
  <si>
    <t>Beregninger (baggrund)</t>
  </si>
  <si>
    <t>Calc-celle</t>
  </si>
  <si>
    <t>CHECK_OK_FILL</t>
  </si>
  <si>
    <t>Checks OK (baggrund)</t>
  </si>
  <si>
    <t>OK = hvid + 'OK'</t>
  </si>
  <si>
    <t>CHECK_FAIL_FILL</t>
  </si>
  <si>
    <t>Checks FEJL (baggrund)</t>
  </si>
  <si>
    <t>FEJL = rød</t>
  </si>
  <si>
    <t>NOTE_FILL</t>
  </si>
  <si>
    <t>#FFF2CC</t>
  </si>
  <si>
    <t>Noter/antagelser (ikke-input)</t>
  </si>
  <si>
    <t>Note-boks</t>
  </si>
  <si>
    <t>BORDER_OUTLINE</t>
  </si>
  <si>
    <t>#D0D0D0</t>
  </si>
  <si>
    <t>Tabel-outline (tynd)</t>
  </si>
  <si>
    <t>Outline</t>
  </si>
  <si>
    <t>BORDER_INSIDE</t>
  </si>
  <si>
    <t>Tabel-indre (tynd)</t>
  </si>
  <si>
    <t>Inside</t>
  </si>
  <si>
    <t>BORDER_SECTION_BOTTOM</t>
  </si>
  <si>
    <t>Sektion: bundlinje (tyk)</t>
  </si>
  <si>
    <t>Under headerbar</t>
  </si>
  <si>
    <t>ROW_H_DEFAULT</t>
  </si>
  <si>
    <t>18</t>
  </si>
  <si>
    <t>Standard rækkehøjde</t>
  </si>
  <si>
    <t>Rows i tabeller</t>
  </si>
  <si>
    <t>ROW_H_HEADER</t>
  </si>
  <si>
    <t>20-22</t>
  </si>
  <si>
    <t>Kolonne-headers rækkehøjde</t>
  </si>
  <si>
    <t>Header row</t>
  </si>
  <si>
    <t>ROW_H_SECTION_BAR</t>
  </si>
  <si>
    <t>Sektionbjælke rækkehøjde</t>
  </si>
  <si>
    <t>Blå bar</t>
  </si>
  <si>
    <t>ROW_H_KPI</t>
  </si>
  <si>
    <t>28</t>
  </si>
  <si>
    <t>KPI-kort rækkehøjde</t>
  </si>
  <si>
    <t>Store tal</t>
  </si>
  <si>
    <t>COL_W_LABEL</t>
  </si>
  <si>
    <t>36</t>
  </si>
  <si>
    <t>Label-kolonne (Inputs)</t>
  </si>
  <si>
    <t>Kol B</t>
  </si>
  <si>
    <t>COL_W_VALUE</t>
  </si>
  <si>
    <t>16</t>
  </si>
  <si>
    <t>Værdi-kolonne</t>
  </si>
  <si>
    <t>Kol C</t>
  </si>
  <si>
    <t>COL_W_UNIT</t>
  </si>
  <si>
    <t>10</t>
  </si>
  <si>
    <t>Enhed-kolonne</t>
  </si>
  <si>
    <t>Kol D</t>
  </si>
  <si>
    <t>COL_W_SOURCE</t>
  </si>
  <si>
    <t>40</t>
  </si>
  <si>
    <t>Kilde/Note-kolonne</t>
  </si>
  <si>
    <t>Kol E</t>
  </si>
  <si>
    <t>HIDE_HELPERS</t>
  </si>
  <si>
    <t>TRUE</t>
  </si>
  <si>
    <t>Skjul helper-rækker/kolonner (grupper)</t>
  </si>
  <si>
    <t>Outline level</t>
  </si>
  <si>
    <t>Stilkatalog (prøver på alle standard-styles)</t>
  </si>
  <si>
    <t>Eksempler</t>
  </si>
  <si>
    <t>Style</t>
  </si>
  <si>
    <t>Label</t>
  </si>
  <si>
    <t>Tal</t>
  </si>
  <si>
    <t>Enhed</t>
  </si>
  <si>
    <t>Note</t>
  </si>
  <si>
    <t>IB_Label</t>
  </si>
  <si>
    <t>Fællesudgifter</t>
  </si>
  <si>
    <t>DKK/md</t>
  </si>
  <si>
    <t>Label (sort)</t>
  </si>
  <si>
    <t>IB_Input</t>
  </si>
  <si>
    <t>Kontantpris</t>
  </si>
  <si>
    <t>DKK</t>
  </si>
  <si>
    <t>Input (blå tekst)</t>
  </si>
  <si>
    <t>IB_Calc</t>
  </si>
  <si>
    <t>Pris pr. m²</t>
  </si>
  <si>
    <t>DKK/m²</t>
  </si>
  <si>
    <t>Calc (sort tal)</t>
  </si>
  <si>
    <t>IB_Link</t>
  </si>
  <si>
    <t>Linked værdi</t>
  </si>
  <si>
    <t>Link (grøn tal)</t>
  </si>
  <si>
    <t>IB_Total_Num</t>
  </si>
  <si>
    <t>Total (sumlinje)</t>
  </si>
  <si>
    <t>Total: tyk top-border</t>
  </si>
  <si>
    <t>IB_Flag</t>
  </si>
  <si>
    <t>FLAG: manglende data</t>
  </si>
  <si>
    <t>Brug til Data_Quality_Log / checks</t>
  </si>
  <si>
    <t>Talformater (DKK, DKK pr. m², %, pr. måned, multipler)</t>
  </si>
  <si>
    <t>Formatkoder</t>
  </si>
  <si>
    <t>Type</t>
  </si>
  <si>
    <t>Excel formatkode</t>
  </si>
  <si>
    <t>Beløb (DKK)</t>
  </si>
  <si>
    <t>Beløb (1 dec.)</t>
  </si>
  <si>
    <t>#,##0.0;[Red](#,##0.0);"-"</t>
  </si>
  <si>
    <t>Procent</t>
  </si>
  <si>
    <t>Multiple</t>
  </si>
  <si>
    <t>x</t>
  </si>
  <si>
    <t>dd-mm-yyyy</t>
  </si>
  <si>
    <t>Pr. måned</t>
  </si>
  <si>
    <t>Note: Hold enheder i separate kolonner/headers for konsistens på tværs af faner.</t>
  </si>
  <si>
    <t>Layout Patterns (sektioner, tabeller, KPI-outputs)</t>
  </si>
  <si>
    <t>Pattern 1: Inputs-blok</t>
  </si>
  <si>
    <t>Input</t>
  </si>
  <si>
    <t>Kilde/noter</t>
  </si>
  <si>
    <t>Salgsopstilling, side X</t>
  </si>
  <si>
    <t>Areal</t>
  </si>
  <si>
    <t>m²</t>
  </si>
  <si>
    <t>BBR/tinglyst, side X</t>
  </si>
  <si>
    <t>Hold-periode</t>
  </si>
  <si>
    <t>år</t>
  </si>
  <si>
    <t>Input (agent default)</t>
  </si>
  <si>
    <t>Pattern 2: Beregninger + totals</t>
  </si>
  <si>
    <t>Post</t>
  </si>
  <si>
    <t>Base</t>
  </si>
  <si>
    <t>Downside</t>
  </si>
  <si>
    <t>Upside</t>
  </si>
  <si>
    <t>Fair value pris</t>
  </si>
  <si>
    <t>Entry premium/rabat</t>
  </si>
  <si>
    <t>Netto provenu (efter friktion)</t>
  </si>
  <si>
    <t>Pattern 3: KPI-boks (Dashboard)</t>
  </si>
  <si>
    <t>Netto all-in (base)</t>
  </si>
  <si>
    <t>Netto all-in (stress)</t>
  </si>
  <si>
    <t>Verdikt</t>
  </si>
  <si>
    <t>CONDITIONAL BUY</t>
  </si>
  <si>
    <t>INPUTS (KUN GULE FELTER MÅ ÆNDRES)</t>
  </si>
  <si>
    <t>TRIN 0 - BESLUTNINGSTÆRSKLER (DEFAULTS)</t>
  </si>
  <si>
    <t>Min rabat til fair value (negativ = max premium)</t>
  </si>
  <si>
    <t>0% = accepter fair value</t>
  </si>
  <si>
    <t>Max netto all-in pr. måned (Base)</t>
  </si>
  <si>
    <t>Max netto all-in pr. måned (Stress +200 bps)</t>
  </si>
  <si>
    <t>Min likviditetsbuffer efter køb</t>
  </si>
  <si>
    <t>Deal breakers (se Risiko_register)</t>
  </si>
  <si>
    <t>Se Risiko_register</t>
  </si>
  <si>
    <t>KØB - FRA SALGSOPSTILLING</t>
  </si>
  <si>
    <t>QA / Lint (hvad agenten skal kontrollere)</t>
  </si>
  <si>
    <t>Kritiske checks</t>
  </si>
  <si>
    <t>Check</t>
  </si>
  <si>
    <t>Hvordan</t>
  </si>
  <si>
    <t>Status</t>
  </si>
  <si>
    <t>Noter</t>
  </si>
  <si>
    <t>Ingen hardcodes i beregningsfaner</t>
  </si>
  <si>
    <t>Scan for blå tekst i Beregninger; inputs skal ligge i Inputs-faner</t>
  </si>
  <si>
    <t>OK/FAIL</t>
  </si>
  <si>
    <t>Ingen Excel-fejl (#REF!, #DIV/0!, #VALUE!, #NAME?)</t>
  </si>
  <si>
    <t>Find/erstat og check visning</t>
  </si>
  <si>
    <t>Enheder overalt (DKK, DKK pr. m², %, pr. måned)</t>
  </si>
  <si>
    <t>Headers + enhedskolonne; ingen 'nøgne tal'</t>
  </si>
  <si>
    <t>Total-linjer binder</t>
  </si>
  <si>
    <t>Total = SUM(range) og tyk top-border</t>
  </si>
  <si>
    <t>Konsekvent number format (0='-')</t>
  </si>
  <si>
    <t>Beløb/%/x med de definerede formatkoder</t>
  </si>
  <si>
    <t>Layout: sektioner + whitespace</t>
  </si>
  <si>
    <t>Sektion headers, 1 blank række mellem blokke</t>
  </si>
  <si>
    <t>Print: A4 fit-to-width, gridlines off</t>
  </si>
  <si>
    <t>Page setup og margins sat</t>
  </si>
  <si>
    <t>Sizing: headers 20-22 og labels/tal align korrekt</t>
  </si>
  <si>
    <t>Tjek rækkehøjder + right align tal</t>
  </si>
  <si>
    <t>Borders: kun lette table-borders, ingen fuld grid</t>
  </si>
  <si>
    <t>Vis gridlines off + scan for 'boxy' borders</t>
  </si>
  <si>
    <t>Hidden helpers: alt skjult er grouped og kan udvides</t>
  </si>
  <si>
    <t>Outline levels; ingen kritiske rækker skjult</t>
  </si>
  <si>
    <t>LINT / QA REGLER (agenten skal checke før levering)</t>
  </si>
  <si>
    <t>Regel</t>
  </si>
  <si>
    <t>Hvordan checkes (heuristik)</t>
  </si>
  <si>
    <t>Severity</t>
  </si>
  <si>
    <t>Fix</t>
  </si>
  <si>
    <t>Inputs</t>
  </si>
  <si>
    <t>Kun gule celler må være inputs</t>
  </si>
  <si>
    <t>Find alle celler med INPUT_YELLOW; verificér at de ligger i Inputs/ValueAdd faner og kun i kolonne C</t>
  </si>
  <si>
    <t>ERROR</t>
  </si>
  <si>
    <t>Flyt/ret fill + lås logik</t>
  </si>
  <si>
    <t>Enheder i egen kolonne</t>
  </si>
  <si>
    <t>Check at hver input-række har udfyldt kolonne D</t>
  </si>
  <si>
    <t>Tilføj enhed</t>
  </si>
  <si>
    <t>Sektion/undersektion er UPPERCASE + merge B:H</t>
  </si>
  <si>
    <t>Find bars via fill NAVY; check merged range og text==UPPER</t>
  </si>
  <si>
    <t>Merge + ændr tekst</t>
  </si>
  <si>
    <t>Kolonnebredder Inputs-grid</t>
  </si>
  <si>
    <t>Check widths A/B/C/D/E = 3/52/18/10/45 (±1)</t>
  </si>
  <si>
    <t>WARN</t>
  </si>
  <si>
    <t>Reset widths</t>
  </si>
  <si>
    <t>Ingen indre vertikale borders i input-blokke</t>
  </si>
  <si>
    <t>Scan border.left/right på indre celler i blokke</t>
  </si>
  <si>
    <t>Fjern vertikale borders</t>
  </si>
  <si>
    <t>Typography</t>
  </si>
  <si>
    <t>Tal højre-align, labels venstre-align</t>
  </si>
  <si>
    <t>Check alignment for columns B/C</t>
  </si>
  <si>
    <t>Reset alignment</t>
  </si>
  <si>
    <t>Numbers</t>
  </si>
  <si>
    <t>DKK 0 dec + tusindtalsseparator; negative i parentes</t>
  </si>
  <si>
    <t>Check number_format string on currency cells</t>
  </si>
  <si>
    <t>Set format</t>
  </si>
  <si>
    <t>Print</t>
  </si>
  <si>
    <t>Gridlines off + print area på Dashboard/IC_memo</t>
  </si>
  <si>
    <t>Check sheet_view.showGridLines==False; print_area set</t>
  </si>
  <si>
    <t>Slå fra + set print area</t>
  </si>
  <si>
    <t>Hide</t>
  </si>
  <si>
    <t>Helper-rækker grupperes (outline)</t>
  </si>
  <si>
    <t>Check worksheet.row_dimensions[x].outlineLevel&gt;0 for hidden helper ranges</t>
  </si>
  <si>
    <t>INFO</t>
  </si>
  <si>
    <t>Group rows</t>
  </si>
  <si>
    <t>Kolonne A er altid tom margin</t>
  </si>
  <si>
    <t>Check at column A width==3 (±0.5) og at ingen celler i A har value</t>
  </si>
  <si>
    <t>Ryd kolonne A + reset width</t>
  </si>
  <si>
    <t>Spacing</t>
  </si>
  <si>
    <t>Præcis 1 spacer-række mellem blokke</t>
  </si>
  <si>
    <t>Heuristik: find sammenhængende blank rows; må kun være 1 ad gangen og height==9</t>
  </si>
  <si>
    <t>Indsæt/slet spacer-rækker</t>
  </si>
  <si>
    <t>TimeSeries</t>
  </si>
  <si>
    <t>Cashflows/tidsserier må aldrig være vertikale</t>
  </si>
  <si>
    <t>Scan for periodetekster (M1, Jan, 2026 etc) i kolonne B rækker; skal ligge i header-række vandret</t>
  </si>
  <si>
    <t>Transpose layout: perioder til kolonner</t>
  </si>
  <si>
    <t>Månedlig_cashflow: horisontalt m1..mN</t>
  </si>
  <si>
    <t>Check at sheet 'Månedlig_cashflow' har perioder i kolonner og N=HOLD_Y*12</t>
  </si>
  <si>
    <t>Gør tidsakse horisontal + ret N</t>
  </si>
  <si>
    <t>Skill-spec til AI agent (kopiér som instruktioner)</t>
  </si>
  <si>
    <t>PROMPT (Skill: Excel IB-formatterer)</t>
  </si>
  <si>
    <t>ROLE: Du er Senior Excel modeller (investment banking-standard). Dit job er at reformatere/layoute en eksisterende workbook uden at ændre beregningslogik.</t>
  </si>
  <si>
    <t>NON-NEGOTIABLE: Gridlines OFF. Enheder overalt (DKK, DKK pr. m², %, pr. måned). Inputs kun i input-faner. Ingen hardcoded tal i beregningsfaner.</t>
  </si>
  <si>
    <t>SHEET TYPING: Klassificér faner ved navn (Inputs/Antagelser/Fakta = INPUT; Finansiering/CF/Calc = CALC; Dashboard/Memo = OUTPUT).</t>
  </si>
  <si>
    <t>FARVEKODE: INPUT = blå tekst (RGB 0,0,255). FORMEL = sort. LINK (interne referencer) = grøn tekst (RGB 0,128,0). FLAGS/fejl = lys rød baggrund.</t>
  </si>
  <si>
    <t>SEKTIONER: Brug mørk blå titelbjælke (merge A:H). Brug blå sektion headers til underblokke. 1 blank række mellem blokke.</t>
  </si>
  <si>
    <t>TYPOGRAFI: Calibri 11 default. Titel 14 bold hvid. Sektion 12 bold hvid. Table headers light gray bold.</t>
  </si>
  <si>
    <t>NUMBER FORMATS: Beløb '#,##0;[Red](#,##0);"-"'. % '0.0%;[Red](0.0%);"-"'. Multipler '0.0"x";[Red](0.0"x");"-"'. Dato dd-mm-yyyy.</t>
  </si>
  <si>
    <t>BORDERS: Ingen fulde gitterrammer. Kun tabelrammer (thin gray) og totals med tyk top-border. Totals skal være SUM(range) over rækkerne ovenfor.</t>
  </si>
  <si>
    <t>ALIGNMENT: Labels venstre. Tal højre. Units venstre i separat kolonne. Indryk sub-lines (fx % growth) med 1 niveau.</t>
  </si>
  <si>
    <t>LAYOUT: Fast kolonnebredder (A=labels bred), tal-kolonner ens, og row heights konsistente. Freeze panes ved første data-række.</t>
  </si>
  <si>
    <t>QA: Ingen Excel-fejl. Check totals binder, at kilder/log er udfyldt, og at output-sider kan printes A4 fit-to-width.</t>
  </si>
  <si>
    <t>Tip: Brug fanerne 'Design_Tokens' og 'Styles_Katalog' som source of truth.</t>
  </si>
  <si>
    <t>STRICT INPUTS-BLOK REGLER (skal følges 100%)</t>
  </si>
  <si>
    <t>• Start alle tabeller i kolonne B. Kolonne A er tom margin (width 3).</t>
  </si>
  <si>
    <t>• Sektionbjælker og undersektioner SKAL være UPPERCASE og merge B:H. Left aligned (ingen center). Row height 18.</t>
  </si>
  <si>
    <t>• Input-rækker: kun kolonne C må være gul + blå tekst. Kolonne B/D/E er altid hvid.</t>
  </si>
  <si>
    <t>• Borders: Input-blok = outline thin + inside horizontal thin. Aldrig indre vertikale borders.</t>
  </si>
  <si>
    <t>• Spacing: 1 blank række (height 9) før og efter hver blok. Ingen dobbelte tomme rækker.</t>
  </si>
  <si>
    <t>• Wrap: kun i kolonne E (kilde/noter). Labels i kolonne B må maks være 2 linjer (ellers forkort tekst).</t>
  </si>
  <si>
    <t>• Freeze panes: øverst ved første input-blok (typisk B4). Gridlines OFF. Zoom 100%.</t>
  </si>
  <si>
    <t>• Undersektion-titler skal flugte med tabellen under (samme venstre kant).</t>
  </si>
  <si>
    <t>• Hide/show: skjul kun helper-rækker via Group/Outline. Inputs/Outputs/Kilder/Checks må aldrig skjules.</t>
  </si>
  <si>
    <t>TIME SERIES REGLER (skal følges 100%)</t>
  </si>
  <si>
    <t>• Alle cashflows og tidsserier modelleres horisontalt (tid i kolonner, linjeposter i rækker).</t>
  </si>
  <si>
    <t>• Månedlig cashflow: m1..mN hvor N = HOLD_Y*12. Ingen lodrette månedslister.</t>
  </si>
  <si>
    <t>• Årlige rollups: Y1..Y10 i kolonner, 100% afledt af månedstabellen (ingen nye antagelser).</t>
  </si>
  <si>
    <t>• Perioder står i en header-række (grå header). Talrækker under. Ingen periode-tekst i label-kolonnen.</t>
  </si>
  <si>
    <t>• Freeze panes ved første periodekolonne, så labels (B-D) altid er synlige.</t>
  </si>
  <si>
    <t>• Årskift markeres med tyk venstre border ved Jan-kolonne og eventuelt FY total efter Dec.</t>
  </si>
  <si>
    <t>• Spacing er fast: Kolonne A blank, alle blokke starter i B, og der er præcis 1 spacer-række (h=9) mellem blokke.</t>
  </si>
  <si>
    <t>Mini eksempel (Inputs → Beregning → Outputs)</t>
  </si>
  <si>
    <t>Inputs_og_antagelser</t>
  </si>
  <si>
    <t>Driver</t>
  </si>
  <si>
    <t>Exit DKK/m² (base)</t>
  </si>
  <si>
    <t>Antagelse</t>
  </si>
  <si>
    <t>Salgsfriktion</t>
  </si>
  <si>
    <t>Beregninger</t>
  </si>
  <si>
    <t>Exit pris</t>
  </si>
  <si>
    <t>Exit omkostning</t>
  </si>
  <si>
    <t>Netto provenu</t>
  </si>
  <si>
    <t>Outputs</t>
  </si>
  <si>
    <t>BORDERS-REGLER (IB-standard)</t>
  </si>
  <si>
    <t>Situation</t>
  </si>
  <si>
    <t>Hvad gør man</t>
  </si>
  <si>
    <t>Border spec</t>
  </si>
  <si>
    <t>Undgå</t>
  </si>
  <si>
    <t>KPI-kort/Output-boks</t>
  </si>
  <si>
    <t>Brug OUTLINE omkring hele boksen</t>
  </si>
  <si>
    <t>Outline thin #D0D0D0; ingen indre grid</t>
  </si>
  <si>
    <t>Indre vertikale linjer</t>
  </si>
  <si>
    <t>Input-tabel (Inputs_og_antagelser)</t>
  </si>
  <si>
    <t>Brug OUTLINE + lette indre horisontale linjer</t>
  </si>
  <si>
    <t>Outline thin; inside horizontal thin</t>
  </si>
  <si>
    <t>Fuld gitter (alle celler)</t>
  </si>
  <si>
    <t>Beregningstabel (fx amortisering)</t>
  </si>
  <si>
    <t>Header række har bundlinje; tabel har outline</t>
  </si>
  <si>
    <t>Header bottom thin; outline thin</t>
  </si>
  <si>
    <t>Tunge borders overalt</t>
  </si>
  <si>
    <t>Totalsum linje</t>
  </si>
  <si>
    <t>Tyk top-linje + evt. fed tal</t>
  </si>
  <si>
    <t>Top border thick (TOTAL_TOP_BORDER); bold</t>
  </si>
  <si>
    <t>Boxe totals med 4 borders</t>
  </si>
  <si>
    <t>Sektionbjælke</t>
  </si>
  <si>
    <t>Ingen cell-borders; kun bar og evt. tyk bundlinje</t>
  </si>
  <si>
    <t>Fill HEADER_FILL + hvid font; SECTION_BOTTOM_BORDER</t>
  </si>
  <si>
    <t>At indramme hele sektionen</t>
  </si>
  <si>
    <t>Checks (OK/FEJL)</t>
  </si>
  <si>
    <t>OK=ingen fill, FEJL=rød fill</t>
  </si>
  <si>
    <t>OK white; FAIL CHECK_FAIL_FILL</t>
  </si>
  <si>
    <t>At farve alt rødt når OK</t>
  </si>
  <si>
    <t>Inputs-undersektion (bjælke)</t>
  </si>
  <si>
    <t>Merge B:H, ingen borders, samme fill som sektion; aldrig outline rundt om hele sektionen.</t>
  </si>
  <si>
    <t>No border; evt. tynd bundlinje hvis nødvendig for adskillelse.</t>
  </si>
  <si>
    <t>Ikke bruge 'Merge &amp; Center' (skal være left aligned).</t>
  </si>
  <si>
    <t>Input-tabel (blok)</t>
  </si>
  <si>
    <t>Outline thin på hele B:E-området + inside horizontal thin. Ingen indre vertikale linjer.</t>
  </si>
  <si>
    <t>Outline thin #D0D0D0; inside horizontal thin #D0D0D0.</t>
  </si>
  <si>
    <t>Ingen fuld grid; ingen tykke side-borders.</t>
  </si>
  <si>
    <t>SIZING-REGLER (kolonnebredde + rækkehøjde)</t>
  </si>
  <si>
    <t>Element</t>
  </si>
  <si>
    <t>Default</t>
  </si>
  <si>
    <t>Justér når</t>
  </si>
  <si>
    <t>Heuristik (agent)</t>
  </si>
  <si>
    <t>Rækkehøjde normal</t>
  </si>
  <si>
    <t>wrap text / multi-line labels</t>
  </si>
  <si>
    <t>Hvis celler har wrap: AutoFit, ellers 18</t>
  </si>
  <si>
    <t>Rækkehøjde kolonne-headers</t>
  </si>
  <si>
    <t>lange header-tekster</t>
  </si>
  <si>
    <t>Hold 20-22; wrap i header hvis nødvendigt</t>
  </si>
  <si>
    <t>Rækkehøjde KPI</t>
  </si>
  <si>
    <t>store tal (KPI)</t>
  </si>
  <si>
    <t>Min 28; centrér vertikalt</t>
  </si>
  <si>
    <t>titel over flere linjer</t>
  </si>
  <si>
    <t>Undgå wrap; forkort tekst</t>
  </si>
  <si>
    <t>Kolonne: Label</t>
  </si>
  <si>
    <t>lange labels</t>
  </si>
  <si>
    <t>Max 45; brug wrap i label-kolonne før du øger</t>
  </si>
  <si>
    <t>Kolonne: Værdi</t>
  </si>
  <si>
    <t>store talformater</t>
  </si>
  <si>
    <t>Min 14; max 18; right align</t>
  </si>
  <si>
    <t>Kolonne: Enhed</t>
  </si>
  <si>
    <t>lange enheder</t>
  </si>
  <si>
    <t>Hold kort; ellers flyt enhed til label</t>
  </si>
  <si>
    <t>Kolonne: Kilde/Note</t>
  </si>
  <si>
    <t>mange noter/kilder</t>
  </si>
  <si>
    <t>Brug wrap; begræns til 50; ellers split til note-boks</t>
  </si>
  <si>
    <t>Time series (månedskolonner)</t>
  </si>
  <si>
    <t>8-9</t>
  </si>
  <si>
    <t>mange måneder</t>
  </si>
  <si>
    <t>8 for tal; 10 hvis %; roter text 45° kun hvis absolut nødvendigt</t>
  </si>
  <si>
    <t>INPUTS (standard grid): kolonnebredder</t>
  </si>
  <si>
    <t>Kolonne</t>
  </si>
  <si>
    <t>Bredde</t>
  </si>
  <si>
    <t>Bruges til</t>
  </si>
  <si>
    <t>A</t>
  </si>
  <si>
    <t>Venstre margin</t>
  </si>
  <si>
    <t>Hold A smal/blank for luft</t>
  </si>
  <si>
    <t>B</t>
  </si>
  <si>
    <t>Primære labels, max 2 linjer (wrap før width&gt;60)</t>
  </si>
  <si>
    <t>C</t>
  </si>
  <si>
    <t>Input-værdi / output-værdi</t>
  </si>
  <si>
    <t>Tal right; blå for inputs</t>
  </si>
  <si>
    <t>D</t>
  </si>
  <si>
    <t>Egen kolonne, altid udfyldt</t>
  </si>
  <si>
    <t>E</t>
  </si>
  <si>
    <t>Kilde / noter</t>
  </si>
  <si>
    <t>Wrap ON; eneste kolonne med wrap som default</t>
  </si>
  <si>
    <t>F</t>
  </si>
  <si>
    <t>Spacer</t>
  </si>
  <si>
    <t>Valgfri luft før evt. næste blok</t>
  </si>
  <si>
    <t>INPUTS (standard grid): rækkehøjder</t>
  </si>
  <si>
    <t>Højde</t>
  </si>
  <si>
    <t>Placering</t>
  </si>
  <si>
    <t>Sheet titel</t>
  </si>
  <si>
    <t>B2:H2 merge</t>
  </si>
  <si>
    <t>14pt bold hvid; ingen wrap</t>
  </si>
  <si>
    <t>B?:H? merge</t>
  </si>
  <si>
    <t>UPPERCASE; ingen wrap</t>
  </si>
  <si>
    <t>Tabel række</t>
  </si>
  <si>
    <t>B?:E?</t>
  </si>
  <si>
    <t>Standard</t>
  </si>
  <si>
    <t>Header række</t>
  </si>
  <si>
    <t>Grå header, bold</t>
  </si>
  <si>
    <t>KPI række</t>
  </si>
  <si>
    <t>B?:D?</t>
  </si>
  <si>
    <t>Blank spacer</t>
  </si>
  <si>
    <t>-</t>
  </si>
  <si>
    <t>Brug 1 tom række mellem blokke</t>
  </si>
  <si>
    <t>SPACING + GRID (KONSISTENT RYTMISK LAYOUT)</t>
  </si>
  <si>
    <t>Emne</t>
  </si>
  <si>
    <t>Hvornår ændres</t>
  </si>
  <si>
    <t>Typisk fejl</t>
  </si>
  <si>
    <t>Venstre margin (kolonne A)</t>
  </si>
  <si>
    <t>A = 3 (blank)</t>
  </si>
  <si>
    <t>Aldrig</t>
  </si>
  <si>
    <t>Kolonne A bruges aldrig til data, kun luft</t>
  </si>
  <si>
    <t>Tal/labels i kolonne A</t>
  </si>
  <si>
    <t>Flyt alt til B:E og reset A=3</t>
  </si>
  <si>
    <t>Arbejdsgitter (standard)</t>
  </si>
  <si>
    <t>Data starter i kolonne B</t>
  </si>
  <si>
    <t>Alle ark</t>
  </si>
  <si>
    <t>Alle blokke aligner til samme venstre kant (B)</t>
  </si>
  <si>
    <t>Blokke starter forskelligt pr. fane</t>
  </si>
  <si>
    <t>Brug samme grid på alle faner</t>
  </si>
  <si>
    <t>Fast blokbredde</t>
  </si>
  <si>
    <t>Primær blok: B:E (+F spacer)</t>
  </si>
  <si>
    <t>Kun hvis plads-mangel</t>
  </si>
  <si>
    <t>Hold alt i B:E. Brug F som spacer. Brug separate bokse til højre</t>
  </si>
  <si>
    <t>Blokke breder sig til G/H/I</t>
  </si>
  <si>
    <t>Flyt noter til E eller lav note-boks</t>
  </si>
  <si>
    <t>Vertikal rytme mellem blokke</t>
  </si>
  <si>
    <t>1 spacer-række (h=9)</t>
  </si>
  <si>
    <t>Kun hvis visuelt tæt</t>
  </si>
  <si>
    <t>Mellem to tabeller/undersektioner: præcis 1 blank række</t>
  </si>
  <si>
    <t>0 eller 2+ rækker inkonsistent</t>
  </si>
  <si>
    <t>Indsæt/slet så der altid er 1</t>
  </si>
  <si>
    <t>Efter sektionbjælke</t>
  </si>
  <si>
    <t>0 spacer-rækker</t>
  </si>
  <si>
    <t>Altid</t>
  </si>
  <si>
    <t>Sektionbjælke efterfølges direkte af tabel-header / første række</t>
  </si>
  <si>
    <t>Ekstra blank linje efter bar</t>
  </si>
  <si>
    <t>Slet blank række</t>
  </si>
  <si>
    <t>Før ny sektionbjælke</t>
  </si>
  <si>
    <t>Sæt 1 blank række før næste bar for luft</t>
  </si>
  <si>
    <t>Bars ‘klistrer’ til forrige tabel</t>
  </si>
  <si>
    <t>Indsæt spacer-række</t>
  </si>
  <si>
    <t>Tabel-header spacing</t>
  </si>
  <si>
    <t>Header række (h=20)</t>
  </si>
  <si>
    <t>Header øverst; ingen blank række under</t>
  </si>
  <si>
    <t>Blank række efter header</t>
  </si>
  <si>
    <t>Totals</t>
  </si>
  <si>
    <t>Tyk top-border på totals-linje</t>
  </si>
  <si>
    <t>Ingen ekstra blank række før totals</t>
  </si>
  <si>
    <t>Totals bokses ind med outline</t>
  </si>
  <si>
    <t>Fjern outline; kun top-border</t>
  </si>
  <si>
    <t>KPI-blok</t>
  </si>
  <si>
    <t>KPI-rækker h=28 + 1 spacer under</t>
  </si>
  <si>
    <t>Ved KPI-kort</t>
  </si>
  <si>
    <t>Efter sidste KPI: 1 spacer-række</t>
  </si>
  <si>
    <t>KPI flyder ind i næste tabel</t>
  </si>
  <si>
    <t>Indsæt spacer</t>
  </si>
  <si>
    <t>Noter/kilder</t>
  </si>
  <si>
    <t>Kun kolonne E wrap ON (default)</t>
  </si>
  <si>
    <t>Altid i blokke</t>
  </si>
  <si>
    <t>B-D wrap OFF for stabile rækker</t>
  </si>
  <si>
    <t>Wrap i labels giver varierende højde</t>
  </si>
  <si>
    <t>Slå wrap off i B-D; flyt tekst til E</t>
  </si>
  <si>
    <t>Skjul/vis helper</t>
  </si>
  <si>
    <t>Helper grupperes (outline)</t>
  </si>
  <si>
    <t>Kun helper</t>
  </si>
  <si>
    <t>Skjul ikke outputs/inputs/totals/kilder</t>
  </si>
  <si>
    <t>Vigtige rækker skjult</t>
  </si>
  <si>
    <t>Unhide + flyt helper</t>
  </si>
  <si>
    <t>REFERENCE GRID (INPUTS-BLOK)</t>
  </si>
  <si>
    <t>Kol</t>
  </si>
  <si>
    <t>BLANK</t>
  </si>
  <si>
    <t>Kilde/Note</t>
  </si>
  <si>
    <t>A er altid tom. Data i B-E.</t>
  </si>
  <si>
    <t>TIME SERIES (MÅNED/ÅR) – ALTID HORISONTALT</t>
  </si>
  <si>
    <t>Hvorfor</t>
  </si>
  <si>
    <t>Implementering (Excel)</t>
  </si>
  <si>
    <t>Lint-check</t>
  </si>
  <si>
    <t>Tidsakse i kolonner (venstre→højre)</t>
  </si>
  <si>
    <t>Måneder/år i kolonner, ikke rækker</t>
  </si>
  <si>
    <t>Hurtig læsning + print + summering</t>
  </si>
  <si>
    <t>Row=linjepost, Col=tid. Perioder i én header-række</t>
  </si>
  <si>
    <t>Find periodestrenge i header-række, ikke i kolonne B</t>
  </si>
  <si>
    <t>Månedlig_cashflow horisontalt</t>
  </si>
  <si>
    <t>m1..mN i kolonner (N=HOLD_Y*12)</t>
  </si>
  <si>
    <t>Binder til IRR og restgæld</t>
  </si>
  <si>
    <t>Header m1..mN. Rækker: rente/afdrag/fees/all-in</t>
  </si>
  <si>
    <t>Check N matcher HOLD_Y*12</t>
  </si>
  <si>
    <t>Årlige rollups stadig horisontalt</t>
  </si>
  <si>
    <t>Y1..Y10 i kolonner</t>
  </si>
  <si>
    <t>Samme mental model</t>
  </si>
  <si>
    <t>År=SUM(12 måneder). Ingen nye antagelser</t>
  </si>
  <si>
    <t>Check årsark refererer til månedscells</t>
  </si>
  <si>
    <t>Freeze panes på labels</t>
  </si>
  <si>
    <t>Freeze ved første periodekolonne</t>
  </si>
  <si>
    <t>Scrolling uden at miste labels</t>
  </si>
  <si>
    <t>Freeze_panes = første periodekolonne (fx F)</t>
  </si>
  <si>
    <t>Check freeze_panes != None</t>
  </si>
  <si>
    <t>Konstant periodebredde</t>
  </si>
  <si>
    <t>8–9 for tal</t>
  </si>
  <si>
    <t>Ens rhythm</t>
  </si>
  <si>
    <t>Set width 8–9. Undgå rotation/wrap</t>
  </si>
  <si>
    <t>Check width tolerance ±1</t>
  </si>
  <si>
    <t>År-separator</t>
  </si>
  <si>
    <t>Tyk venstre border ved årsskift</t>
  </si>
  <si>
    <t>Orientering i lange serier</t>
  </si>
  <si>
    <t>Thick left border ved Jan-kolonne + evt. FY total</t>
  </si>
  <si>
    <t>Check thick borders ved Jan</t>
  </si>
  <si>
    <t>MINI-EKSEMPEL (HEADER + 12 MÅNEDER)</t>
  </si>
  <si>
    <t>Linje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</si>
  <si>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</si>
  <si>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</si>
  <si>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</si>
  <si>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</si>
  <si>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</si>
  <si>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</si>
  <si>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</si>
  <si>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</si>
  <si>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</si>
  <si>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</si>
  <si>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</si>
  <si>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</si>
  <si>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Netto all-in</t>
  </si>
  <si>
    <t>INPUTS-ARK: LAYOUT SPEC (IB / rådgiver-kvalitet)</t>
  </si>
  <si>
    <t>Version: 3.0 | Opdateret: 15-02-2026 | Formål: sikre at agenten bygger Inputs-blokke identisk hver gang.</t>
  </si>
  <si>
    <t>Placering / merge</t>
  </si>
  <si>
    <t>Baggrund</t>
  </si>
  <si>
    <t>Font</t>
  </si>
  <si>
    <t>Alignment</t>
  </si>
  <si>
    <t>Sizing (højde/bredde)</t>
  </si>
  <si>
    <t>Top titel (sheet)</t>
  </si>
  <si>
    <t>B2:H2 (merge)</t>
  </si>
  <si>
    <t>IB_SHEET_TITLE</t>
  </si>
  <si>
    <t>Navy #1F4E79</t>
  </si>
  <si>
    <t>14 Bold, hvid</t>
  </si>
  <si>
    <t>Left + vert center, indent 1</t>
  </si>
  <si>
    <t>Ingen borders</t>
  </si>
  <si>
    <t>Rækkehøjde 28; kol A tom margin</t>
  </si>
  <si>
    <t>Sektionbjælke (major)</t>
  </si>
  <si>
    <t>B4:H4 (merge)</t>
  </si>
  <si>
    <t>IB_SECTION_BAR</t>
  </si>
  <si>
    <t>12 Bold, hvid, UPPERCASE</t>
  </si>
  <si>
    <t>Ingen; evt. tynd bundlinje</t>
  </si>
  <si>
    <t>Rækkehøjde 18</t>
  </si>
  <si>
    <t>Undersektion bjælke</t>
  </si>
  <si>
    <t>B12:H12 (merge)</t>
  </si>
  <si>
    <t>IB_SUBSECTION_BAR</t>
  </si>
  <si>
    <t>Navy #1F4E79 (samme)</t>
  </si>
  <si>
    <t>11 Bold, hvid, UPPERCASE</t>
  </si>
  <si>
    <t>Ingen</t>
  </si>
  <si>
    <t>Rækkehøjde 18; 1 blank række før/efter</t>
  </si>
  <si>
    <t>Input-tabel ramme</t>
  </si>
  <si>
    <t>B6:E10</t>
  </si>
  <si>
    <t>IB_TABLE_FRAME</t>
  </si>
  <si>
    <t>Hvid</t>
  </si>
  <si>
    <t>11 normal</t>
  </si>
  <si>
    <t>Label left, tal right</t>
  </si>
  <si>
    <t>Outline thin + inside horizontal thin</t>
  </si>
  <si>
    <t>B=52, C=18, D=10, E=45</t>
  </si>
  <si>
    <t>Label-kolonne</t>
  </si>
  <si>
    <t>IB_LABEL</t>
  </si>
  <si>
    <t>11 normal, sort</t>
  </si>
  <si>
    <t>Left, vert center</t>
  </si>
  <si>
    <t>Inside horiz thin</t>
  </si>
  <si>
    <t>Width 52 (øges før wrap)</t>
  </si>
  <si>
    <t>Input-værdi (gul)</t>
  </si>
  <si>
    <t>IB_INPUT</t>
  </si>
  <si>
    <t>Gul #FFF2CC</t>
  </si>
  <si>
    <t>11 bold, blå</t>
  </si>
  <si>
    <t>Right, vert center</t>
  </si>
  <si>
    <t>Width 18; number format efter enhed</t>
  </si>
  <si>
    <t>IB_UNIT</t>
  </si>
  <si>
    <t>Width 10</t>
  </si>
  <si>
    <t>IB_NOTE</t>
  </si>
  <si>
    <t>11 normal, sort/grå</t>
  </si>
  <si>
    <t>Left, vert top; wrap on</t>
  </si>
  <si>
    <t>Width 45; rækkehøjde auto kun hvis wrap</t>
  </si>
  <si>
    <t>Tabel-header række (valgfri)</t>
  </si>
  <si>
    <t>B5:E5</t>
  </si>
  <si>
    <t>IB_TABLE_HEADER</t>
  </si>
  <si>
    <t>Grå #F2F2F2</t>
  </si>
  <si>
    <t>11 bold, sort</t>
  </si>
  <si>
    <t>Bottom thin; outline thin</t>
  </si>
  <si>
    <t>Rækkehøjde 20</t>
  </si>
  <si>
    <t>KPI-boks (output)</t>
  </si>
  <si>
    <t>B4:D7 (example)</t>
  </si>
  <si>
    <t>IB_KPI_CARD</t>
  </si>
  <si>
    <t>Lysegrå</t>
  </si>
  <si>
    <t>12 bold tal</t>
  </si>
  <si>
    <t>Tal right; label left</t>
  </si>
  <si>
    <t>Outline thin; ingen indre vertikale</t>
  </si>
  <si>
    <t>Rækkehøjde 28 for KPI-linje</t>
  </si>
  <si>
    <t>Sidste række i tabel</t>
  </si>
  <si>
    <t>IB_TOTAL_NUM</t>
  </si>
  <si>
    <t>11 bold tal</t>
  </si>
  <si>
    <t>Right</t>
  </si>
  <si>
    <t>Top border THICK kun</t>
  </si>
  <si>
    <t>Ingen ekstra højde (18)</t>
  </si>
  <si>
    <t>Integrity checks række</t>
  </si>
  <si>
    <t>Separat blok</t>
  </si>
  <si>
    <t>IB_CHECK_ROW</t>
  </si>
  <si>
    <t>Hvid / FAIL rød</t>
  </si>
  <si>
    <t>Left</t>
  </si>
  <si>
    <t>Ingen borders; evt. outline for blok</t>
  </si>
  <si>
    <t>Rækkehøjde 18; conditional fill på FEJL</t>
  </si>
  <si>
    <t>HIDE/SHOW-REGLER (professionel læsbarhed)</t>
  </si>
  <si>
    <t>Skjul</t>
  </si>
  <si>
    <t>Når</t>
  </si>
  <si>
    <t>Må aldrig skjules</t>
  </si>
  <si>
    <t>Helper-kolonner (mellemregninger)</t>
  </si>
  <si>
    <t>Kun støtte til checks/tie-outs</t>
  </si>
  <si>
    <t>Group (outline) + skjul; vis via +</t>
  </si>
  <si>
    <t>Inputs, outputs, totals, kilder</t>
  </si>
  <si>
    <t>Alternative scenarierækker</t>
  </si>
  <si>
    <t>Når scenario-toggle slår fra</t>
  </si>
  <si>
    <t>Group pr. scenario; hide hvis off</t>
  </si>
  <si>
    <t>Base-scenarie</t>
  </si>
  <si>
    <t>Tekniske checks</t>
  </si>
  <si>
    <t>Kun hvis de støjer visuelt</t>
  </si>
  <si>
    <t>Flyt til separat 'Integritetschecks' blok og group</t>
  </si>
  <si>
    <t>FEJL-flag og Data_Quality_Log-referencer</t>
  </si>
  <si>
    <t>Rækker med N/A</t>
  </si>
  <si>
    <t>Når 100% tomme / ikke relevante</t>
  </si>
  <si>
    <t>Skjul, men log i Data_Quality_Log</t>
  </si>
  <si>
    <t>Kilder og dokumenter</t>
  </si>
  <si>
    <t>Nøgletabeller (amortisering)</t>
  </si>
  <si>
    <t>Aldrig skjule, men kan foldes</t>
  </si>
  <si>
    <t>Group i 12-måneders blokke</t>
  </si>
  <si>
    <t>Start/ydelse/rente/afdrag/slut kolonner</t>
  </si>
  <si>
    <t>FONT_SUBHEADER</t>
  </si>
  <si>
    <t>Calibri 12 bold</t>
  </si>
  <si>
    <t>BRUGES SAMMEN MED UNDERSEKTIONER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</si>
</sst>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\-yyyy"/>
    <numFmt numFmtId="165" formatCode="#,##0;[Red]\(#,##0\);&quot;-&quot;"/>
    <numFmt numFmtId="166" formatCode="#,##0.0;[Red]\(#,##0.0\);&quot;-&quot;"/>
    <numFmt numFmtId="167" formatCode="0.0%;[Red]\(0.0%\);&quot;-&quot;"/>
    <numFmt numFmtId="168" formatCode="0.0&quot;x&quot;;[Red]\(0.0&quot;x&quot;\);&quot;-&quot;"/>
    <numFmt numFmtId="169" formatCode="#,##0;\(#,##0\);&quot;-&quot;"/>
  </numFmts>
  <fonts count="2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rgb="FF008000"/>
      <name val="Calibri"/>
      <family val="2"/>
    </font>
    <font>
      <sz val="11"/>
      <color rgb="FF404040"/>
      <name val="Calibri"/>
      <family val="2"/>
    </font>
    <font>
      <i/>
      <sz val="10"/>
      <color rgb="FF404040"/>
      <name val="Calibri"/>
      <family val="2"/>
    </font>
    <font>
      <b/>
      <sz val="11"/>
      <color rgb="FF9C0006"/>
      <name val="Calibri"/>
      <family val="2"/>
    </font>
    <font>
      <b/>
      <sz val="11"/>
      <color rgb="FF7030A0"/>
      <name val="Calibri"/>
      <family val="2"/>
    </font>
    <font>
      <b/>
      <sz val="11"/>
      <color rgb="FF9C57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22"/>
      <color rgb="FF000000"/>
      <name val="Calibri"/>
      <family val="2"/>
    </font>
    <font>
      <sz val="11"/>
      <name val="Calibri"/>
      <family val="2"/>
    </font>
    <font>
      <b/>
      <sz val="14"/>
      <color rgb="FFFFFFFF"/>
      <name val="Calibri"/>
      <family val="2"/>
    </font>
    <font>
      <sz val="10"/>
      <color rgb="FF404040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FF"/>
      <name val="Calibri"/>
      <family val="2"/>
    </font>
    <font>
      <sz val="11"/>
      <color rgb="FF40404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F8CBAD"/>
      </patternFill>
    </fill>
    <fill>
      <patternFill patternType="solid">
        <fgColor rgb="FFF4B183"/>
      </patternFill>
    </fill>
    <fill>
      <patternFill patternType="solid">
        <fgColor rgb="FFFAFAFA"/>
      </patternFill>
    </fill>
    <fill>
      <patternFill patternType="solid">
        <fgColor rgb="FF0000FF"/>
      </patternFill>
    </fill>
    <fill>
      <patternFill patternType="solid">
        <fgColor rgb="FF008000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medium">
        <color rgb="FF1F4E79"/>
      </top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6">
    <xf numFmtId="0" fontId="0" fillId="0" borderId="0"/>
    <xf numFmtId="0" fontId="1" fillId="2" borderId="1">
      <alignment horizontal="left" vertical="center"/>
    </xf>
    <xf numFmtId="0" fontId="2" fillId="3" borderId="1">
      <alignment horizontal="left" vertical="center"/>
    </xf>
    <xf numFmtId="0" fontId="3" fillId="4" borderId="2">
      <alignment horizontal="right" vertical="center"/>
    </xf>
    <xf numFmtId="0" fontId="4" fillId="0" borderId="1">
      <alignment horizontal="left" vertical="center"/>
    </xf>
    <xf numFmtId="0" fontId="3" fillId="0" borderId="1">
      <alignment horizontal="left" vertical="center"/>
    </xf>
    <xf numFmtId="0" fontId="5" fillId="0" borderId="2">
      <alignment horizontal="right" vertical="center"/>
    </xf>
    <xf numFmtId="0" fontId="4" fillId="0" borderId="2">
      <alignment horizontal="right" vertical="center"/>
    </xf>
    <xf numFmtId="0" fontId="6" fillId="0" borderId="2">
      <alignment horizontal="right" vertical="center"/>
    </xf>
    <xf numFmtId="0" fontId="7" fillId="0" borderId="1">
      <alignment horizontal="left" vertical="center"/>
    </xf>
    <xf numFmtId="0" fontId="8" fillId="0" borderId="1">
      <alignment horizontal="left" vertical="top" wrapText="1"/>
    </xf>
    <xf numFmtId="0" fontId="3" fillId="0" borderId="3">
      <alignment horizontal="left" vertical="center"/>
    </xf>
    <xf numFmtId="0" fontId="3" fillId="0" borderId="3">
      <alignment horizontal="right" vertical="center"/>
    </xf>
    <xf numFmtId="0" fontId="9" fillId="5" borderId="2">
      <alignment horizontal="left" vertical="top" wrapText="1"/>
    </xf>
    <xf numFmtId="0" fontId="10" fillId="0" borderId="1">
      <alignment horizontal="left" vertical="center"/>
    </xf>
    <xf numFmtId="0" fontId="11" fillId="6" borderId="2">
      <alignment horizontal="left" vertical="top" wrapText="1"/>
    </xf>
  </cellStyleXfs>
  <cellXfs count="80">
    <xf numFmtId="0" fontId="0" fillId="0" borderId="0" xfId="0"/>
    <xf numFmtId="0" fontId="8" fillId="0" borderId="1" xfId="10">
      <alignment horizontal="left" vertical="top" wrapText="1"/>
    </xf>
    <xf numFmtId="0" fontId="4" fillId="0" borderId="1" xfId="4">
      <alignment horizontal="left" vertical="center"/>
    </xf>
    <xf numFmtId="0" fontId="3" fillId="0" borderId="1" xfId="5">
      <alignment horizontal="left" vertical="center"/>
    </xf>
    <xf numFmtId="0" fontId="4" fillId="0" borderId="2" xfId="7">
      <alignment horizontal="right" vertical="center"/>
    </xf>
    <xf numFmtId="164" fontId="4" fillId="0" borderId="2" xfId="7" applyNumberFormat="1">
      <alignment horizontal="right" vertical="center"/>
    </xf>
    <xf numFmtId="0" fontId="3" fillId="4" borderId="2" xfId="3">
      <alignment horizontal="right" vertical="center"/>
    </xf>
    <xf numFmtId="0" fontId="12" fillId="2" borderId="2" xfId="0" applyFont="1" applyFill="1" applyBorder="1" applyAlignment="1">
      <alignment horizontal="center" vertical="center"/>
    </xf>
    <xf numFmtId="0" fontId="4" fillId="7" borderId="1" xfId="4" applyFill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4" fillId="7" borderId="2" xfId="7" applyFill="1">
      <alignment horizontal="right" vertical="center"/>
    </xf>
    <xf numFmtId="0" fontId="10" fillId="0" borderId="1" xfId="14">
      <alignment horizontal="left" vertical="center"/>
    </xf>
    <xf numFmtId="165" fontId="4" fillId="0" borderId="2" xfId="7" applyNumberFormat="1">
      <alignment horizontal="right" vertical="center"/>
    </xf>
    <xf numFmtId="0" fontId="7" fillId="0" borderId="1" xfId="9">
      <alignment horizontal="left" vertical="center"/>
    </xf>
    <xf numFmtId="165" fontId="5" fillId="0" borderId="2" xfId="6" applyNumberFormat="1">
      <alignment horizontal="right" vertical="center"/>
    </xf>
    <xf numFmtId="165" fontId="6" fillId="0" borderId="2" xfId="8" applyNumberFormat="1">
      <alignment horizontal="right" vertical="center"/>
    </xf>
    <xf numFmtId="165" fontId="3" fillId="0" borderId="3" xfId="12" applyNumberFormat="1">
      <alignment horizontal="right" vertical="center"/>
    </xf>
    <xf numFmtId="0" fontId="9" fillId="5" borderId="2" xfId="13">
      <alignment horizontal="left" vertical="top" wrapText="1"/>
    </xf>
    <xf numFmtId="166" fontId="4" fillId="7" borderId="2" xfId="7" applyNumberFormat="1" applyFill="1">
      <alignment horizontal="right" vertical="center"/>
    </xf>
    <xf numFmtId="0" fontId="7" fillId="7" borderId="1" xfId="9" applyFill="1">
      <alignment horizontal="left" vertical="center"/>
    </xf>
    <xf numFmtId="167" fontId="4" fillId="0" borderId="2" xfId="7" applyNumberFormat="1">
      <alignment horizontal="right" vertical="center"/>
    </xf>
    <xf numFmtId="168" fontId="4" fillId="7" borderId="2" xfId="7" applyNumberFormat="1" applyFill="1">
      <alignment horizontal="right" vertical="center"/>
    </xf>
    <xf numFmtId="165" fontId="4" fillId="7" borderId="2" xfId="7" applyNumberFormat="1" applyFill="1">
      <alignment horizontal="right" vertical="center"/>
    </xf>
    <xf numFmtId="0" fontId="4" fillId="0" borderId="2" xfId="4" applyBorder="1">
      <alignment horizontal="left" vertical="center"/>
    </xf>
    <xf numFmtId="0" fontId="4" fillId="7" borderId="2" xfId="4" applyFill="1" applyBorder="1">
      <alignment horizontal="left" vertical="center"/>
    </xf>
    <xf numFmtId="165" fontId="5" fillId="7" borderId="2" xfId="6" applyNumberFormat="1" applyFill="1">
      <alignment horizontal="right" vertical="center"/>
    </xf>
    <xf numFmtId="0" fontId="8" fillId="7" borderId="1" xfId="10" applyFill="1">
      <alignment horizontal="left" vertical="top" wrapText="1"/>
    </xf>
    <xf numFmtId="0" fontId="3" fillId="0" borderId="3" xfId="11">
      <alignment horizontal="left" vertical="center"/>
    </xf>
    <xf numFmtId="0" fontId="7" fillId="0" borderId="2" xfId="9" applyBorder="1">
      <alignment horizontal="left" vertical="center"/>
    </xf>
    <xf numFmtId="0" fontId="8" fillId="0" borderId="2" xfId="10" applyBorder="1">
      <alignment horizontal="left" vertical="top" wrapText="1"/>
    </xf>
    <xf numFmtId="0" fontId="10" fillId="0" borderId="2" xfId="14" applyBorder="1">
      <alignment horizontal="left" vertical="center"/>
    </xf>
    <xf numFmtId="0" fontId="8" fillId="7" borderId="2" xfId="10" applyFill="1" applyBorder="1">
      <alignment horizontal="left" vertical="top" wrapText="1"/>
    </xf>
    <xf numFmtId="0" fontId="10" fillId="7" borderId="2" xfId="14" applyFill="1" applyBorder="1">
      <alignment horizontal="left" vertical="center"/>
    </xf>
    <xf numFmtId="167" fontId="5" fillId="7" borderId="2" xfId="6" applyNumberFormat="1" applyFill="1">
      <alignment horizontal="right" vertical="center"/>
    </xf>
    <xf numFmtId="0" fontId="16" fillId="0" borderId="0" xfId="0" applyFont="1" applyAlignment="1">
      <alignment vertical="center" wrapText="1"/>
    </xf>
    <xf numFmtId="0" fontId="21" fillId="0" borderId="13" xfId="0" applyFont="1" applyBorder="1" applyAlignment="1">
      <alignment horizontal="left" vertical="center"/>
    </xf>
    <xf numFmtId="0" fontId="22" fillId="10" borderId="14" xfId="0" applyFont="1" applyFill="1" applyBorder="1" applyAlignment="1">
      <alignment horizontal="right" vertical="center"/>
    </xf>
    <xf numFmtId="0" fontId="21" fillId="0" borderId="14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top" wrapText="1"/>
    </xf>
    <xf numFmtId="0" fontId="21" fillId="0" borderId="16" xfId="0" applyFont="1" applyBorder="1" applyAlignment="1">
      <alignment horizontal="left" vertical="center"/>
    </xf>
    <xf numFmtId="0" fontId="22" fillId="10" borderId="17" xfId="0" applyFont="1" applyFill="1" applyBorder="1" applyAlignment="1">
      <alignment horizontal="right" vertical="center"/>
    </xf>
    <xf numFmtId="0" fontId="21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top" wrapText="1"/>
    </xf>
    <xf numFmtId="0" fontId="12" fillId="2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19" fillId="0" borderId="0" xfId="0" applyFont="1"/>
    <xf numFmtId="0" fontId="0" fillId="0" borderId="19" xfId="0" applyBorder="1" applyAlignment="1">
      <alignment horizontal="left" vertical="top" wrapText="1"/>
    </xf>
    <xf numFmtId="0" fontId="13" fillId="4" borderId="19" xfId="0" applyFont="1" applyFill="1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0" fillId="11" borderId="19" xfId="0" applyFill="1" applyBorder="1" applyAlignment="1">
      <alignment horizontal="left" vertical="center" wrapText="1"/>
    </xf>
    <xf numFmtId="0" fontId="0" fillId="10" borderId="19" xfId="0" applyFill="1" applyBorder="1" applyAlignment="1">
      <alignment horizontal="left" vertical="center" wrapText="1"/>
    </xf>
    <xf numFmtId="0" fontId="19" fillId="4" borderId="19" xfId="0" applyFont="1" applyFill="1" applyBorder="1" applyAlignment="1">
      <alignment horizontal="left" vertical="center"/>
    </xf>
    <xf numFmtId="0" fontId="19" fillId="4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169" fontId="0" fillId="0" borderId="19" xfId="0" applyNumberFormat="1" applyBorder="1" applyAlignment="1">
      <alignment horizontal="right" vertical="center"/>
    </xf>
    <xf numFmtId="0" fontId="4" fillId="0" borderId="1" xfId="4">
      <alignment horizontal="left" vertical="center"/>
    </xf>
    <xf numFmtId="0" fontId="0" fillId="0" borderId="0" xfId="0"/>
    <xf numFmtId="0" fontId="2" fillId="3" borderId="1" xfId="2">
      <alignment horizontal="left" vertical="center"/>
    </xf>
    <xf numFmtId="0" fontId="1" fillId="2" borderId="1" xfId="1">
      <alignment horizontal="left" vertical="center"/>
    </xf>
    <xf numFmtId="0" fontId="8" fillId="0" borderId="1" xfId="10">
      <alignment horizontal="left" vertical="top" wrapText="1"/>
    </xf>
    <xf numFmtId="0" fontId="3" fillId="4" borderId="2" xfId="3">
      <alignment horizontal="right" vertical="center"/>
    </xf>
    <xf numFmtId="0" fontId="0" fillId="0" borderId="6" xfId="0" applyBorder="1"/>
    <xf numFmtId="0" fontId="0" fillId="0" borderId="7" xfId="0" applyBorder="1"/>
    <xf numFmtId="165" fontId="14" fillId="0" borderId="2" xfId="7" applyNumberFormat="1" applyFont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1" fillId="6" borderId="2" xfId="15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20" fillId="2" borderId="0" xfId="0" applyFont="1" applyFill="1" applyAlignment="1">
      <alignment horizontal="left" vertical="center" indent="1"/>
    </xf>
    <xf numFmtId="0" fontId="17" fillId="2" borderId="0" xfId="0" applyFont="1" applyFill="1" applyAlignment="1">
      <alignment horizontal="left" vertical="center"/>
    </xf>
    <xf numFmtId="165" fontId="15" fillId="0" borderId="2" xfId="7" applyNumberFormat="1" applyFont="1" applyAlignment="1">
      <alignment horizontal="center" vertical="center"/>
    </xf>
    <xf numFmtId="0" fontId="18" fillId="0" borderId="0" xfId="0" applyFont="1" applyAlignment="1">
      <alignment wrapText="1"/>
    </xf>
  </cellXfs>
  <cellStyles count="16">
    <cellStyle name="IB_Calc" xfId="7" xr:uid="{00000000-0005-0000-0000-000007000000}"/>
    <cellStyle name="IB_Caution" xfId="15" xr:uid="{00000000-0005-0000-0000-00000F000000}"/>
    <cellStyle name="IB_Control" xfId="14" xr:uid="{00000000-0005-0000-0000-00000E000000}"/>
    <cellStyle name="IB_Flag" xfId="13" xr:uid="{00000000-0005-0000-0000-00000D000000}"/>
    <cellStyle name="IB_Input" xfId="6" xr:uid="{00000000-0005-0000-0000-000006000000}"/>
    <cellStyle name="IB_Label" xfId="4" xr:uid="{00000000-0005-0000-0000-000004000000}"/>
    <cellStyle name="IB_Label_Bold" xfId="5" xr:uid="{00000000-0005-0000-0000-000005000000}"/>
    <cellStyle name="IB_Link" xfId="8" xr:uid="{00000000-0005-0000-0000-000008000000}"/>
    <cellStyle name="IB_Note" xfId="10" xr:uid="{00000000-0005-0000-0000-00000A000000}"/>
    <cellStyle name="IB_Section" xfId="2" xr:uid="{00000000-0005-0000-0000-000002000000}"/>
    <cellStyle name="IB_TableHeader" xfId="3" xr:uid="{00000000-0005-0000-0000-000003000000}"/>
    <cellStyle name="IB_Title" xfId="1" xr:uid="{00000000-0005-0000-0000-000001000000}"/>
    <cellStyle name="IB_Total_Label" xfId="11" xr:uid="{00000000-0005-0000-0000-00000B000000}"/>
    <cellStyle name="IB_Total_Num" xfId="12" xr:uid="{00000000-0005-0000-0000-00000C000000}"/>
    <cellStyle name="IB_Unit" xfId="9" xr:uid="{00000000-0005-0000-0000-000009000000}"/>
    <cellStyle name="Normal" xfId="0" builtinId="0"/>
  </cellStyles>
  <dxfs count="1">
    <dxf>
      <font>
        <b/>
        <sz val="11"/>
        <color rgb="FF9C0006"/>
        <name val="Calibri"/>
      </font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34" customWidth="1"/>
    <col min="2" max="2" width="24" customWidth="1"/>
    <col min="3" max="3" width="16" customWidth="1"/>
    <col min="4" max="4" width="10" customWidth="1"/>
    <col min="5" max="8" width="16" customWidth="1"/>
  </cols>
  <sheetData>
    <row r="1" spans="1:8" ht="26" customHeight="1" x14ac:dyDescent="0.2">
      <c r="A1" s="62" t="s">
        <v>0</v>
      </c>
      <c r="B1" s="60"/>
      <c r="C1" s="60"/>
      <c r="D1" s="60"/>
      <c r="E1" s="60"/>
      <c r="F1" s="60"/>
      <c r="G1" s="60"/>
      <c r="H1" s="60"/>
    </row>
    <row r="3" spans="1:8" ht="20" customHeight="1" x14ac:dyDescent="0.2">
      <c r="A3" s="61" t="s">
        <v>1</v>
      </c>
      <c r="B3" s="60"/>
      <c r="C3" s="60"/>
      <c r="D3" s="60"/>
      <c r="E3" s="60"/>
      <c r="F3" s="60"/>
      <c r="G3" s="60"/>
      <c r="H3" s="60"/>
    </row>
    <row r="4" spans="1:8" ht="18" customHeight="1" x14ac:dyDescent="0.2">
      <c r="A4" s="63" t="s">
        <v>2</v>
      </c>
      <c r="B4" s="60"/>
      <c r="C4" s="60"/>
      <c r="D4" s="60"/>
      <c r="E4" s="60"/>
      <c r="F4" s="60"/>
      <c r="G4" s="60"/>
      <c r="H4" s="60"/>
    </row>
    <row r="5" spans="1:8" ht="18" customHeight="1" x14ac:dyDescent="0.2">
      <c r="A5" s="60"/>
      <c r="B5" s="60"/>
      <c r="C5" s="60"/>
      <c r="D5" s="60"/>
      <c r="E5" s="60"/>
      <c r="F5" s="60"/>
      <c r="G5" s="60"/>
      <c r="H5" s="60"/>
    </row>
    <row r="6" spans="1:8" ht="18" customHeight="1" x14ac:dyDescent="0.2">
      <c r="A6" s="60"/>
      <c r="B6" s="60"/>
      <c r="C6" s="60"/>
      <c r="D6" s="60"/>
      <c r="E6" s="60"/>
      <c r="F6" s="60"/>
      <c r="G6" s="60"/>
      <c r="H6" s="60"/>
    </row>
    <row r="8" spans="1:8" ht="20" customHeight="1" x14ac:dyDescent="0.2">
      <c r="A8" s="61" t="s">
        <v>3</v>
      </c>
      <c r="B8" s="60"/>
      <c r="C8" s="60"/>
      <c r="D8" s="60"/>
      <c r="E8" s="60"/>
      <c r="F8" s="60"/>
      <c r="G8" s="60"/>
      <c r="H8" s="60"/>
    </row>
    <row r="9" spans="1:8" x14ac:dyDescent="0.2">
      <c r="A9" s="59" t="s">
        <v>4</v>
      </c>
      <c r="B9" s="60"/>
      <c r="C9" s="60"/>
      <c r="D9" s="60"/>
      <c r="E9" s="60"/>
      <c r="F9" s="60"/>
      <c r="G9" s="60"/>
      <c r="H9" s="60"/>
    </row>
    <row r="10" spans="1:8" x14ac:dyDescent="0.2">
      <c r="A10" s="59" t="s">
        <v>5</v>
      </c>
      <c r="B10" s="60"/>
      <c r="C10" s="60"/>
      <c r="D10" s="60"/>
      <c r="E10" s="60"/>
      <c r="F10" s="60"/>
      <c r="G10" s="60"/>
      <c r="H10" s="60"/>
    </row>
    <row r="11" spans="1:8" x14ac:dyDescent="0.2">
      <c r="A11" s="59" t="s">
        <v>6</v>
      </c>
      <c r="B11" s="60"/>
      <c r="C11" s="60"/>
      <c r="D11" s="60"/>
      <c r="E11" s="60"/>
      <c r="F11" s="60"/>
      <c r="G11" s="60"/>
      <c r="H11" s="60"/>
    </row>
    <row r="12" spans="1:8" x14ac:dyDescent="0.2">
      <c r="A12" s="59" t="s">
        <v>7</v>
      </c>
      <c r="B12" s="60"/>
      <c r="C12" s="60"/>
      <c r="D12" s="60"/>
      <c r="E12" s="60"/>
      <c r="F12" s="60"/>
      <c r="G12" s="60"/>
      <c r="H12" s="60"/>
    </row>
    <row r="13" spans="1:8" x14ac:dyDescent="0.2">
      <c r="A13" s="59" t="s">
        <v>8</v>
      </c>
      <c r="B13" s="60"/>
      <c r="C13" s="60"/>
      <c r="D13" s="60"/>
      <c r="E13" s="60"/>
      <c r="F13" s="60"/>
      <c r="G13" s="60"/>
      <c r="H13" s="60"/>
    </row>
    <row r="14" spans="1:8" x14ac:dyDescent="0.2">
      <c r="A14" s="59" t="s">
        <v>9</v>
      </c>
      <c r="B14" s="60"/>
      <c r="C14" s="60"/>
      <c r="D14" s="60"/>
      <c r="E14" s="60"/>
      <c r="F14" s="60"/>
      <c r="G14" s="60"/>
      <c r="H14" s="60"/>
    </row>
    <row r="15" spans="1:8" x14ac:dyDescent="0.2">
      <c r="A15" s="59" t="s">
        <v>10</v>
      </c>
      <c r="B15" s="60"/>
      <c r="C15" s="60"/>
      <c r="D15" s="60"/>
      <c r="E15" s="60"/>
      <c r="F15" s="60"/>
      <c r="G15" s="60"/>
      <c r="H15" s="60"/>
    </row>
    <row r="16" spans="1:8" x14ac:dyDescent="0.2">
      <c r="A16" t="s">
        <v>11</v>
      </c>
    </row>
    <row r="17" spans="1:4" x14ac:dyDescent="0.2">
      <c r="A17" s="3" t="s">
        <v>12</v>
      </c>
      <c r="B17" s="4" t="s">
        <v>13</v>
      </c>
      <c r="C17" s="3" t="s">
        <v>14</v>
      </c>
      <c r="D17" s="5">
        <v>46068</v>
      </c>
    </row>
  </sheetData>
  <mergeCells count="11">
    <mergeCell ref="A1:H1"/>
    <mergeCell ref="A8:H8"/>
    <mergeCell ref="A4:H6"/>
    <mergeCell ref="A9:H9"/>
    <mergeCell ref="A12:H12"/>
    <mergeCell ref="A3:H3"/>
    <mergeCell ref="A15:H15"/>
    <mergeCell ref="A10:H10"/>
    <mergeCell ref="A13:H13"/>
    <mergeCell ref="A11:H11"/>
    <mergeCell ref="A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showGridLines="0" tabSelected="1" workbookViewId="0">
      <selection activeCell="E17" sqref="E17"/>
    </sheetView>
  </sheetViews>
  <sheetFormatPr baseColWidth="10" defaultColWidth="8.83203125" defaultRowHeight="15" x14ac:dyDescent="0.2"/>
  <cols>
    <col min="1" max="1" width="16" customWidth="1"/>
    <col min="2" max="2" width="26" customWidth="1"/>
    <col min="3" max="3" width="18" customWidth="1"/>
    <col min="4" max="4" width="44" customWidth="1"/>
    <col min="5" max="5" width="26" customWidth="1"/>
    <col min="6" max="8" width="16" customWidth="1"/>
  </cols>
  <sheetData>
    <row r="1" spans="1:8" ht="26" customHeight="1" x14ac:dyDescent="0.2">
      <c r="A1" s="62" t="s">
        <v>15</v>
      </c>
      <c r="B1" s="60"/>
      <c r="C1" s="60"/>
      <c r="D1" s="60"/>
      <c r="E1" s="60"/>
      <c r="F1" s="60"/>
      <c r="G1" s="60"/>
      <c r="H1" s="60"/>
    </row>
    <row r="3" spans="1:8" ht="20" customHeight="1" x14ac:dyDescent="0.2">
      <c r="A3" s="61" t="s">
        <v>16</v>
      </c>
      <c r="B3" s="60"/>
      <c r="C3" s="60"/>
      <c r="D3" s="60"/>
      <c r="E3" s="60"/>
      <c r="F3" s="60"/>
      <c r="G3" s="60"/>
      <c r="H3" s="60"/>
    </row>
    <row r="4" spans="1:8" x14ac:dyDescent="0.2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</row>
    <row r="5" spans="1:8" x14ac:dyDescent="0.2">
      <c r="A5" s="2" t="s">
        <v>22</v>
      </c>
      <c r="B5" s="2" t="s">
        <v>23</v>
      </c>
      <c r="C5" s="7" t="s">
        <v>24</v>
      </c>
      <c r="D5" s="2" t="s">
        <v>25</v>
      </c>
      <c r="E5" s="2" t="s">
        <v>26</v>
      </c>
    </row>
    <row r="6" spans="1:8" x14ac:dyDescent="0.2">
      <c r="A6" s="8" t="s">
        <v>22</v>
      </c>
      <c r="B6" s="8" t="s">
        <v>27</v>
      </c>
      <c r="C6" s="9" t="s">
        <v>28</v>
      </c>
      <c r="D6" s="8" t="s">
        <v>29</v>
      </c>
      <c r="E6" s="8" t="s">
        <v>30</v>
      </c>
    </row>
    <row r="7" spans="1:8" x14ac:dyDescent="0.2">
      <c r="A7" s="2" t="s">
        <v>22</v>
      </c>
      <c r="B7" s="2" t="s">
        <v>31</v>
      </c>
      <c r="C7" s="10" t="s">
        <v>32</v>
      </c>
      <c r="D7" s="2" t="s">
        <v>33</v>
      </c>
      <c r="E7" s="2" t="s">
        <v>34</v>
      </c>
    </row>
    <row r="8" spans="1:8" x14ac:dyDescent="0.2">
      <c r="A8" s="8" t="s">
        <v>22</v>
      </c>
      <c r="B8" s="8" t="s">
        <v>35</v>
      </c>
      <c r="C8" s="11" t="s">
        <v>36</v>
      </c>
      <c r="D8" s="8" t="s">
        <v>37</v>
      </c>
      <c r="E8" s="8" t="s">
        <v>38</v>
      </c>
    </row>
    <row r="9" spans="1:8" x14ac:dyDescent="0.2">
      <c r="A9" s="2" t="s">
        <v>22</v>
      </c>
      <c r="B9" s="2" t="s">
        <v>39</v>
      </c>
      <c r="C9" s="12" t="s">
        <v>40</v>
      </c>
      <c r="D9" s="2" t="s">
        <v>41</v>
      </c>
      <c r="E9" s="2" t="s">
        <v>42</v>
      </c>
    </row>
    <row r="10" spans="1:8" x14ac:dyDescent="0.2">
      <c r="A10" s="8" t="s">
        <v>22</v>
      </c>
      <c r="B10" s="8" t="s">
        <v>43</v>
      </c>
      <c r="C10" s="13" t="s">
        <v>44</v>
      </c>
      <c r="D10" s="8" t="s">
        <v>45</v>
      </c>
      <c r="E10" s="8" t="s">
        <v>46</v>
      </c>
    </row>
    <row r="11" spans="1:8" x14ac:dyDescent="0.2">
      <c r="A11" s="2" t="s">
        <v>47</v>
      </c>
      <c r="B11" s="2" t="s">
        <v>48</v>
      </c>
      <c r="C11" s="4" t="s">
        <v>49</v>
      </c>
      <c r="D11" s="2" t="s">
        <v>50</v>
      </c>
      <c r="E11" s="2" t="s">
        <v>51</v>
      </c>
    </row>
    <row r="12" spans="1:8" x14ac:dyDescent="0.2">
      <c r="A12" s="8" t="s">
        <v>47</v>
      </c>
      <c r="B12" s="8" t="s">
        <v>52</v>
      </c>
      <c r="C12" s="14" t="s">
        <v>53</v>
      </c>
      <c r="D12" s="8" t="s">
        <v>54</v>
      </c>
      <c r="E12" s="8" t="s">
        <v>55</v>
      </c>
    </row>
    <row r="13" spans="1:8" x14ac:dyDescent="0.2">
      <c r="A13" s="8" t="s">
        <v>47</v>
      </c>
      <c r="B13" s="8" t="s">
        <v>679</v>
      </c>
      <c r="C13" s="14" t="s">
        <v>680</v>
      </c>
      <c r="D13" s="8" t="s">
        <v>681</v>
      </c>
      <c r="E13" s="8"/>
    </row>
    <row r="14" spans="1:8" x14ac:dyDescent="0.2">
      <c r="A14" s="2" t="s">
        <v>56</v>
      </c>
      <c r="B14" s="2" t="s">
        <v>57</v>
      </c>
      <c r="C14" s="4" t="s">
        <v>58</v>
      </c>
      <c r="D14" s="2" t="s">
        <v>59</v>
      </c>
      <c r="E14" s="2" t="s">
        <v>60</v>
      </c>
    </row>
    <row r="15" spans="1:8" x14ac:dyDescent="0.2">
      <c r="A15" s="8" t="s">
        <v>56</v>
      </c>
      <c r="B15" s="8" t="s">
        <v>61</v>
      </c>
      <c r="C15" s="14" t="s">
        <v>62</v>
      </c>
      <c r="D15" s="8" t="s">
        <v>63</v>
      </c>
      <c r="E15" s="8" t="s">
        <v>64</v>
      </c>
    </row>
    <row r="16" spans="1:8" x14ac:dyDescent="0.2">
      <c r="A16" s="2" t="s">
        <v>65</v>
      </c>
      <c r="B16" s="2" t="s">
        <v>66</v>
      </c>
      <c r="C16" s="4" t="s">
        <v>67</v>
      </c>
      <c r="D16" s="2" t="s">
        <v>68</v>
      </c>
      <c r="E16" s="2" t="s">
        <v>69</v>
      </c>
    </row>
    <row r="17" spans="1:5" x14ac:dyDescent="0.2">
      <c r="A17" s="8" t="s">
        <v>65</v>
      </c>
      <c r="B17" s="8" t="s">
        <v>70</v>
      </c>
      <c r="C17" s="14" t="s">
        <v>71</v>
      </c>
      <c r="D17" s="8" t="s">
        <v>72</v>
      </c>
      <c r="E17" s="8" t="s">
        <v>73</v>
      </c>
    </row>
    <row r="18" spans="1:5" x14ac:dyDescent="0.2">
      <c r="A18" s="2" t="s">
        <v>65</v>
      </c>
      <c r="B18" s="2" t="s">
        <v>74</v>
      </c>
      <c r="C18" s="4" t="s">
        <v>75</v>
      </c>
      <c r="D18" s="2" t="s">
        <v>76</v>
      </c>
      <c r="E18" s="2" t="s">
        <v>77</v>
      </c>
    </row>
    <row r="19" spans="1:5" x14ac:dyDescent="0.2">
      <c r="A19" s="8" t="s">
        <v>78</v>
      </c>
      <c r="B19" s="8" t="s">
        <v>79</v>
      </c>
      <c r="C19" s="14" t="s">
        <v>80</v>
      </c>
      <c r="D19" s="8" t="s">
        <v>81</v>
      </c>
      <c r="E19" s="8" t="s">
        <v>82</v>
      </c>
    </row>
    <row r="21" spans="1:5" x14ac:dyDescent="0.2">
      <c r="A21" t="s">
        <v>22</v>
      </c>
      <c r="B21" t="s">
        <v>83</v>
      </c>
      <c r="C21" t="s">
        <v>100</v>
      </c>
      <c r="D21" t="s">
        <v>84</v>
      </c>
      <c r="E21" t="s">
        <v>85</v>
      </c>
    </row>
    <row r="22" spans="1:5" x14ac:dyDescent="0.2">
      <c r="A22" t="s">
        <v>22</v>
      </c>
      <c r="B22" t="s">
        <v>86</v>
      </c>
      <c r="C22" t="s">
        <v>32</v>
      </c>
      <c r="D22" t="s">
        <v>87</v>
      </c>
      <c r="E22" t="s">
        <v>88</v>
      </c>
    </row>
    <row r="23" spans="1:5" x14ac:dyDescent="0.2">
      <c r="A23" t="s">
        <v>22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2">
      <c r="A24" t="s">
        <v>22</v>
      </c>
      <c r="B24" t="s">
        <v>93</v>
      </c>
      <c r="C24" t="s">
        <v>90</v>
      </c>
      <c r="D24" t="s">
        <v>94</v>
      </c>
      <c r="E24" t="s">
        <v>95</v>
      </c>
    </row>
    <row r="25" spans="1:5" x14ac:dyDescent="0.2">
      <c r="A25" t="s">
        <v>22</v>
      </c>
      <c r="B25" t="s">
        <v>96</v>
      </c>
      <c r="C25" t="s">
        <v>44</v>
      </c>
      <c r="D25" t="s">
        <v>97</v>
      </c>
      <c r="E25" t="s">
        <v>98</v>
      </c>
    </row>
    <row r="26" spans="1:5" x14ac:dyDescent="0.2">
      <c r="A26" t="s">
        <v>22</v>
      </c>
      <c r="B26" t="s">
        <v>99</v>
      </c>
      <c r="C26" t="s">
        <v>100</v>
      </c>
      <c r="D26" t="s">
        <v>101</v>
      </c>
      <c r="E26" t="s">
        <v>102</v>
      </c>
    </row>
    <row r="27" spans="1:5" x14ac:dyDescent="0.2">
      <c r="A27" t="s">
        <v>56</v>
      </c>
      <c r="B27" t="s">
        <v>103</v>
      </c>
      <c r="C27" t="s">
        <v>104</v>
      </c>
      <c r="D27" t="s">
        <v>105</v>
      </c>
      <c r="E27" t="s">
        <v>106</v>
      </c>
    </row>
    <row r="28" spans="1:5" x14ac:dyDescent="0.2">
      <c r="A28" t="s">
        <v>56</v>
      </c>
      <c r="B28" t="s">
        <v>107</v>
      </c>
      <c r="C28" t="s">
        <v>104</v>
      </c>
      <c r="D28" t="s">
        <v>108</v>
      </c>
      <c r="E28" t="s">
        <v>109</v>
      </c>
    </row>
    <row r="29" spans="1:5" x14ac:dyDescent="0.2">
      <c r="A29" t="s">
        <v>56</v>
      </c>
      <c r="B29" t="s">
        <v>110</v>
      </c>
      <c r="C29" t="s">
        <v>24</v>
      </c>
      <c r="D29" t="s">
        <v>111</v>
      </c>
      <c r="E29" t="s">
        <v>112</v>
      </c>
    </row>
    <row r="30" spans="1:5" x14ac:dyDescent="0.2">
      <c r="A30" t="s">
        <v>78</v>
      </c>
      <c r="B30" t="s">
        <v>113</v>
      </c>
      <c r="C30" t="s">
        <v>114</v>
      </c>
      <c r="D30" t="s">
        <v>115</v>
      </c>
      <c r="E30" t="s">
        <v>116</v>
      </c>
    </row>
    <row r="31" spans="1:5" x14ac:dyDescent="0.2">
      <c r="A31" t="s">
        <v>78</v>
      </c>
      <c r="B31" t="s">
        <v>117</v>
      </c>
      <c r="C31" t="s">
        <v>118</v>
      </c>
      <c r="D31" t="s">
        <v>119</v>
      </c>
      <c r="E31" t="s">
        <v>120</v>
      </c>
    </row>
    <row r="32" spans="1:5" x14ac:dyDescent="0.2">
      <c r="A32" t="s">
        <v>78</v>
      </c>
      <c r="B32" t="s">
        <v>121</v>
      </c>
      <c r="C32" t="s">
        <v>114</v>
      </c>
      <c r="D32" t="s">
        <v>122</v>
      </c>
      <c r="E32" t="s">
        <v>123</v>
      </c>
    </row>
    <row r="33" spans="1:5" x14ac:dyDescent="0.2">
      <c r="A33" t="s">
        <v>78</v>
      </c>
      <c r="B33" t="s">
        <v>124</v>
      </c>
      <c r="C33" t="s">
        <v>125</v>
      </c>
      <c r="D33" t="s">
        <v>126</v>
      </c>
      <c r="E33" t="s">
        <v>127</v>
      </c>
    </row>
    <row r="34" spans="1:5" x14ac:dyDescent="0.2">
      <c r="A34" t="s">
        <v>78</v>
      </c>
      <c r="B34" t="s">
        <v>128</v>
      </c>
      <c r="C34" t="s">
        <v>129</v>
      </c>
      <c r="D34" t="s">
        <v>130</v>
      </c>
      <c r="E34" t="s">
        <v>131</v>
      </c>
    </row>
    <row r="35" spans="1:5" x14ac:dyDescent="0.2">
      <c r="A35" t="s">
        <v>78</v>
      </c>
      <c r="B35" t="s">
        <v>132</v>
      </c>
      <c r="C35" t="s">
        <v>133</v>
      </c>
      <c r="D35" t="s">
        <v>134</v>
      </c>
      <c r="E35" t="s">
        <v>135</v>
      </c>
    </row>
    <row r="36" spans="1:5" x14ac:dyDescent="0.2">
      <c r="A36" t="s">
        <v>78</v>
      </c>
      <c r="B36" t="s">
        <v>136</v>
      </c>
      <c r="C36" t="s">
        <v>137</v>
      </c>
      <c r="D36" t="s">
        <v>138</v>
      </c>
      <c r="E36" t="s">
        <v>139</v>
      </c>
    </row>
    <row r="37" spans="1:5" x14ac:dyDescent="0.2">
      <c r="A37" t="s">
        <v>78</v>
      </c>
      <c r="B37" t="s">
        <v>140</v>
      </c>
      <c r="C37" t="s">
        <v>141</v>
      </c>
      <c r="D37" t="s">
        <v>142</v>
      </c>
      <c r="E37" t="s">
        <v>143</v>
      </c>
    </row>
    <row r="38" spans="1:5" x14ac:dyDescent="0.2">
      <c r="A38" t="s">
        <v>78</v>
      </c>
      <c r="B38" t="s">
        <v>144</v>
      </c>
      <c r="C38" t="s">
        <v>145</v>
      </c>
      <c r="D38" t="s">
        <v>146</v>
      </c>
      <c r="E38" t="s">
        <v>147</v>
      </c>
    </row>
  </sheetData>
  <mergeCells count="2">
    <mergeCell ref="A3:H3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20" customWidth="1"/>
    <col min="2" max="2" width="34" customWidth="1"/>
    <col min="3" max="3" width="18" customWidth="1"/>
    <col min="4" max="4" width="12" customWidth="1"/>
    <col min="5" max="5" width="40" customWidth="1"/>
    <col min="6" max="8" width="16" customWidth="1"/>
  </cols>
  <sheetData>
    <row r="1" spans="1:8" ht="26" customHeight="1" x14ac:dyDescent="0.2">
      <c r="A1" s="62" t="s">
        <v>148</v>
      </c>
      <c r="B1" s="60"/>
      <c r="C1" s="60"/>
      <c r="D1" s="60"/>
      <c r="E1" s="60"/>
      <c r="F1" s="60"/>
      <c r="G1" s="60"/>
      <c r="H1" s="60"/>
    </row>
    <row r="3" spans="1:8" ht="20" customHeight="1" x14ac:dyDescent="0.2">
      <c r="A3" s="61" t="s">
        <v>149</v>
      </c>
      <c r="B3" s="60"/>
      <c r="C3" s="60"/>
      <c r="D3" s="60"/>
      <c r="E3" s="60"/>
      <c r="F3" s="60"/>
      <c r="G3" s="60"/>
      <c r="H3" s="60"/>
    </row>
    <row r="4" spans="1:8" x14ac:dyDescent="0.2">
      <c r="A4" s="6" t="s">
        <v>150</v>
      </c>
      <c r="B4" s="6" t="s">
        <v>151</v>
      </c>
      <c r="C4" s="6" t="s">
        <v>152</v>
      </c>
      <c r="D4" s="6" t="s">
        <v>153</v>
      </c>
      <c r="E4" s="6" t="s">
        <v>154</v>
      </c>
    </row>
    <row r="5" spans="1:8" x14ac:dyDescent="0.2">
      <c r="A5" s="15" t="s">
        <v>155</v>
      </c>
      <c r="B5" s="2" t="s">
        <v>156</v>
      </c>
      <c r="C5" s="16">
        <v>5608</v>
      </c>
      <c r="D5" s="17" t="s">
        <v>157</v>
      </c>
      <c r="E5" s="1" t="s">
        <v>158</v>
      </c>
    </row>
    <row r="6" spans="1:8" x14ac:dyDescent="0.2">
      <c r="A6" s="15" t="s">
        <v>159</v>
      </c>
      <c r="B6" s="2" t="s">
        <v>160</v>
      </c>
      <c r="C6" s="18">
        <v>11500000</v>
      </c>
      <c r="D6" s="17" t="s">
        <v>161</v>
      </c>
      <c r="E6" s="1" t="s">
        <v>162</v>
      </c>
    </row>
    <row r="7" spans="1:8" x14ac:dyDescent="0.2">
      <c r="A7" s="15" t="s">
        <v>163</v>
      </c>
      <c r="B7" s="2" t="s">
        <v>164</v>
      </c>
      <c r="C7" s="16">
        <v>81128</v>
      </c>
      <c r="D7" s="17" t="s">
        <v>165</v>
      </c>
      <c r="E7" s="1" t="s">
        <v>166</v>
      </c>
    </row>
    <row r="8" spans="1:8" x14ac:dyDescent="0.2">
      <c r="A8" s="15" t="s">
        <v>167</v>
      </c>
      <c r="B8" s="2" t="s">
        <v>168</v>
      </c>
      <c r="C8" s="19">
        <v>81128</v>
      </c>
      <c r="D8" s="17" t="s">
        <v>165</v>
      </c>
      <c r="E8" s="1" t="s">
        <v>169</v>
      </c>
    </row>
    <row r="9" spans="1:8" x14ac:dyDescent="0.2">
      <c r="A9" s="15" t="s">
        <v>170</v>
      </c>
      <c r="B9" s="2" t="s">
        <v>171</v>
      </c>
      <c r="C9" s="20">
        <v>1234567</v>
      </c>
      <c r="D9" s="17" t="s">
        <v>161</v>
      </c>
      <c r="E9" s="1" t="s">
        <v>172</v>
      </c>
    </row>
    <row r="10" spans="1:8" ht="16" x14ac:dyDescent="0.2">
      <c r="A10" s="15" t="s">
        <v>173</v>
      </c>
      <c r="B10" s="21" t="s">
        <v>174</v>
      </c>
      <c r="C10" s="2"/>
      <c r="D10" s="17"/>
      <c r="E10" s="1" t="s">
        <v>175</v>
      </c>
    </row>
  </sheetData>
  <mergeCells count="2">
    <mergeCell ref="A3:H3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18" customWidth="1"/>
    <col min="2" max="2" width="48" customWidth="1"/>
    <col min="3" max="3" width="18" customWidth="1"/>
    <col min="4" max="4" width="14" customWidth="1"/>
    <col min="5" max="8" width="16" customWidth="1"/>
  </cols>
  <sheetData>
    <row r="1" spans="1:8" ht="26" customHeight="1" x14ac:dyDescent="0.2">
      <c r="A1" s="62" t="s">
        <v>176</v>
      </c>
      <c r="B1" s="60"/>
      <c r="C1" s="60"/>
      <c r="D1" s="60"/>
      <c r="E1" s="60"/>
      <c r="F1" s="60"/>
      <c r="G1" s="60"/>
      <c r="H1" s="60"/>
    </row>
    <row r="3" spans="1:8" ht="20" customHeight="1" x14ac:dyDescent="0.2">
      <c r="A3" s="61" t="s">
        <v>177</v>
      </c>
      <c r="B3" s="60"/>
      <c r="C3" s="60"/>
      <c r="D3" s="60"/>
      <c r="E3" s="60"/>
      <c r="F3" s="60"/>
      <c r="G3" s="60"/>
      <c r="H3" s="60"/>
    </row>
    <row r="4" spans="1:8" x14ac:dyDescent="0.2">
      <c r="A4" s="6" t="s">
        <v>178</v>
      </c>
      <c r="B4" s="6" t="s">
        <v>179</v>
      </c>
      <c r="C4" s="6" t="s">
        <v>21</v>
      </c>
      <c r="D4" s="6" t="s">
        <v>153</v>
      </c>
    </row>
    <row r="5" spans="1:8" x14ac:dyDescent="0.2">
      <c r="A5" s="2" t="s">
        <v>180</v>
      </c>
      <c r="B5" s="2" t="s">
        <v>67</v>
      </c>
      <c r="C5" s="16">
        <v>1234567</v>
      </c>
      <c r="D5" s="17" t="s">
        <v>161</v>
      </c>
    </row>
    <row r="6" spans="1:8" x14ac:dyDescent="0.2">
      <c r="A6" s="8" t="s">
        <v>181</v>
      </c>
      <c r="B6" s="8" t="s">
        <v>182</v>
      </c>
      <c r="C6" s="22">
        <v>1234.5</v>
      </c>
      <c r="D6" s="23" t="s">
        <v>161</v>
      </c>
    </row>
    <row r="7" spans="1:8" x14ac:dyDescent="0.2">
      <c r="A7" s="2" t="s">
        <v>183</v>
      </c>
      <c r="B7" s="2" t="s">
        <v>71</v>
      </c>
      <c r="C7" s="24">
        <v>6.2E-2</v>
      </c>
      <c r="D7" s="17" t="s">
        <v>73</v>
      </c>
    </row>
    <row r="8" spans="1:8" x14ac:dyDescent="0.2">
      <c r="A8" s="8" t="s">
        <v>184</v>
      </c>
      <c r="B8" s="8" t="s">
        <v>75</v>
      </c>
      <c r="C8" s="25">
        <v>5.2</v>
      </c>
      <c r="D8" s="23" t="s">
        <v>185</v>
      </c>
    </row>
    <row r="9" spans="1:8" x14ac:dyDescent="0.2">
      <c r="A9" s="2" t="s">
        <v>14</v>
      </c>
      <c r="B9" s="2" t="s">
        <v>186</v>
      </c>
      <c r="C9" s="5">
        <v>46068</v>
      </c>
      <c r="D9" s="17"/>
    </row>
    <row r="10" spans="1:8" x14ac:dyDescent="0.2">
      <c r="A10" s="8" t="s">
        <v>187</v>
      </c>
      <c r="B10" s="8" t="s">
        <v>67</v>
      </c>
      <c r="C10" s="26">
        <v>5608</v>
      </c>
      <c r="D10" s="23" t="s">
        <v>157</v>
      </c>
    </row>
    <row r="12" spans="1:8" x14ac:dyDescent="0.2">
      <c r="A12" s="63" t="s">
        <v>188</v>
      </c>
      <c r="B12" s="60"/>
      <c r="C12" s="60"/>
      <c r="D12" s="60"/>
      <c r="E12" s="60"/>
      <c r="F12" s="60"/>
      <c r="G12" s="60"/>
      <c r="H12" s="60"/>
    </row>
    <row r="13" spans="1:8" x14ac:dyDescent="0.2">
      <c r="A13" s="60"/>
      <c r="B13" s="60"/>
      <c r="C13" s="60"/>
      <c r="D13" s="60"/>
      <c r="E13" s="60"/>
      <c r="F13" s="60"/>
      <c r="G13" s="60"/>
      <c r="H13" s="60"/>
    </row>
  </sheetData>
  <mergeCells count="3">
    <mergeCell ref="A12:H13"/>
    <mergeCell ref="A3:H3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showGridLines="0" workbookViewId="0"/>
  </sheetViews>
  <sheetFormatPr baseColWidth="10" defaultColWidth="8.83203125" defaultRowHeight="15" x14ac:dyDescent="0.2"/>
  <cols>
    <col min="1" max="1" width="34" customWidth="1"/>
    <col min="2" max="2" width="24" customWidth="1"/>
    <col min="3" max="3" width="16" customWidth="1"/>
    <col min="4" max="4" width="10" customWidth="1"/>
    <col min="5" max="8" width="16" customWidth="1"/>
  </cols>
  <sheetData>
    <row r="1" spans="1:8" ht="26" customHeight="1" x14ac:dyDescent="0.2">
      <c r="A1" s="62" t="s">
        <v>189</v>
      </c>
      <c r="B1" s="60"/>
      <c r="C1" s="60"/>
      <c r="D1" s="60"/>
      <c r="E1" s="60"/>
      <c r="F1" s="60"/>
      <c r="G1" s="60"/>
      <c r="H1" s="60"/>
    </row>
    <row r="3" spans="1:8" ht="20" customHeight="1" x14ac:dyDescent="0.2">
      <c r="A3" s="61" t="s">
        <v>190</v>
      </c>
      <c r="B3" s="60"/>
      <c r="C3" s="60"/>
      <c r="D3" s="60"/>
      <c r="E3" s="60"/>
      <c r="F3" s="60"/>
      <c r="G3" s="60"/>
      <c r="H3" s="60"/>
    </row>
    <row r="4" spans="1:8" x14ac:dyDescent="0.2">
      <c r="A4" s="6" t="s">
        <v>191</v>
      </c>
      <c r="B4" s="6" t="s">
        <v>19</v>
      </c>
      <c r="C4" s="6" t="s">
        <v>153</v>
      </c>
      <c r="D4" s="6" t="s">
        <v>192</v>
      </c>
    </row>
    <row r="5" spans="1:8" ht="30" x14ac:dyDescent="0.2">
      <c r="A5" s="27" t="s">
        <v>160</v>
      </c>
      <c r="B5" s="18">
        <v>11500000</v>
      </c>
      <c r="C5" s="17" t="s">
        <v>161</v>
      </c>
      <c r="D5" s="1" t="s">
        <v>193</v>
      </c>
    </row>
    <row r="6" spans="1:8" ht="30" x14ac:dyDescent="0.2">
      <c r="A6" s="28" t="s">
        <v>194</v>
      </c>
      <c r="B6" s="29">
        <v>116</v>
      </c>
      <c r="C6" s="23" t="s">
        <v>195</v>
      </c>
      <c r="D6" s="30" t="s">
        <v>196</v>
      </c>
    </row>
    <row r="7" spans="1:8" ht="30" x14ac:dyDescent="0.2">
      <c r="A7" s="27" t="s">
        <v>156</v>
      </c>
      <c r="B7" s="18">
        <v>5608</v>
      </c>
      <c r="C7" s="17" t="s">
        <v>157</v>
      </c>
      <c r="D7" s="1" t="s">
        <v>193</v>
      </c>
    </row>
    <row r="8" spans="1:8" ht="30" x14ac:dyDescent="0.2">
      <c r="A8" s="28" t="s">
        <v>197</v>
      </c>
      <c r="B8" s="29">
        <v>5</v>
      </c>
      <c r="C8" s="23" t="s">
        <v>198</v>
      </c>
      <c r="D8" s="30" t="s">
        <v>199</v>
      </c>
    </row>
    <row r="10" spans="1:8" ht="20" customHeight="1" x14ac:dyDescent="0.2">
      <c r="A10" s="61" t="s">
        <v>200</v>
      </c>
      <c r="B10" s="60"/>
      <c r="C10" s="60"/>
      <c r="D10" s="60"/>
      <c r="E10" s="60"/>
      <c r="F10" s="60"/>
      <c r="G10" s="60"/>
      <c r="H10" s="60"/>
    </row>
    <row r="11" spans="1:8" x14ac:dyDescent="0.2">
      <c r="A11" s="6" t="s">
        <v>201</v>
      </c>
      <c r="B11" s="6" t="s">
        <v>202</v>
      </c>
      <c r="C11" s="6" t="s">
        <v>203</v>
      </c>
      <c r="D11" s="6" t="s">
        <v>204</v>
      </c>
      <c r="E11" s="6" t="s">
        <v>153</v>
      </c>
    </row>
    <row r="12" spans="1:8" x14ac:dyDescent="0.2">
      <c r="A12" s="2" t="s">
        <v>164</v>
      </c>
      <c r="B12" s="16">
        <v>81128</v>
      </c>
      <c r="C12" s="16">
        <v>74378</v>
      </c>
      <c r="D12" s="16">
        <v>87877</v>
      </c>
      <c r="E12" s="17" t="s">
        <v>165</v>
      </c>
    </row>
    <row r="13" spans="1:8" x14ac:dyDescent="0.2">
      <c r="A13" s="2" t="s">
        <v>205</v>
      </c>
      <c r="B13" s="16" t="str">
        <f>B12*116</f>
        <v/>
      </c>
      <c r="C13" s="16" t="str">
        <f>C12*116</f>
        <v/>
      </c>
      <c r="D13" s="16" t="str">
        <f>D12*116</f>
        <v/>
      </c>
      <c r="E13" s="17" t="s">
        <v>161</v>
      </c>
    </row>
    <row r="14" spans="1:8" x14ac:dyDescent="0.2">
      <c r="A14" s="2" t="s">
        <v>206</v>
      </c>
      <c r="B14" s="24" t="str">
        <f>(11500000/B13)-1</f>
        <v/>
      </c>
      <c r="E14" s="17" t="s">
        <v>73</v>
      </c>
    </row>
    <row r="16" spans="1:8" ht="18" customHeight="1" x14ac:dyDescent="0.2">
      <c r="A16" s="31" t="s">
        <v>207</v>
      </c>
      <c r="B16" s="20" t="str">
        <f>B13*(1-0.02)</f>
        <v/>
      </c>
      <c r="E16" s="17" t="s">
        <v>161</v>
      </c>
    </row>
    <row r="18" spans="1:8" ht="20" customHeight="1" x14ac:dyDescent="0.2">
      <c r="A18" s="61" t="s">
        <v>208</v>
      </c>
      <c r="B18" s="60"/>
      <c r="C18" s="60"/>
      <c r="D18" s="60"/>
      <c r="E18" s="60"/>
      <c r="F18" s="60"/>
      <c r="G18" s="60"/>
      <c r="H18" s="60"/>
    </row>
    <row r="19" spans="1:8" x14ac:dyDescent="0.2">
      <c r="A19" s="64" t="s">
        <v>209</v>
      </c>
      <c r="B19" s="65"/>
      <c r="C19" s="66"/>
      <c r="D19" s="64" t="s">
        <v>210</v>
      </c>
      <c r="E19" s="65"/>
      <c r="F19" s="66"/>
      <c r="G19" s="64" t="s">
        <v>211</v>
      </c>
      <c r="H19" s="66"/>
    </row>
    <row r="20" spans="1:8" x14ac:dyDescent="0.2">
      <c r="A20" s="67">
        <v>28500</v>
      </c>
      <c r="B20" s="68"/>
      <c r="C20" s="69"/>
      <c r="D20" s="67">
        <v>33500</v>
      </c>
      <c r="E20" s="68"/>
      <c r="F20" s="69"/>
      <c r="G20" s="73" t="s">
        <v>212</v>
      </c>
      <c r="H20" s="69"/>
    </row>
    <row r="21" spans="1:8" x14ac:dyDescent="0.2">
      <c r="A21" s="70"/>
      <c r="B21" s="71"/>
      <c r="C21" s="72"/>
      <c r="D21" s="70"/>
      <c r="E21" s="71"/>
      <c r="F21" s="72"/>
      <c r="G21" s="74"/>
      <c r="H21" s="75"/>
    </row>
    <row r="22" spans="1:8" x14ac:dyDescent="0.2">
      <c r="A22" s="32" t="s">
        <v>157</v>
      </c>
      <c r="D22" s="32" t="s">
        <v>157</v>
      </c>
      <c r="G22" s="70"/>
      <c r="H22" s="72"/>
    </row>
  </sheetData>
  <mergeCells count="10">
    <mergeCell ref="A1:H1"/>
    <mergeCell ref="A20:C21"/>
    <mergeCell ref="A18:H18"/>
    <mergeCell ref="A3:H3"/>
    <mergeCell ref="A19:C19"/>
    <mergeCell ref="D20:F21"/>
    <mergeCell ref="D19:F19"/>
    <mergeCell ref="G20:H22"/>
    <mergeCell ref="A10:H10"/>
    <mergeCell ref="G19:H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13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2" customWidth="1"/>
    <col min="3" max="3" width="18" customWidth="1"/>
    <col min="4" max="4" width="10" customWidth="1"/>
    <col min="5" max="5" width="45" customWidth="1"/>
    <col min="6" max="6" width="2" customWidth="1"/>
  </cols>
  <sheetData>
    <row r="2" spans="2:8" ht="28" customHeight="1" x14ac:dyDescent="0.2">
      <c r="B2" s="76" t="s">
        <v>213</v>
      </c>
      <c r="C2" s="60"/>
      <c r="D2" s="60"/>
      <c r="E2" s="60"/>
      <c r="F2" s="60"/>
      <c r="G2" s="60"/>
      <c r="H2" s="60"/>
    </row>
    <row r="4" spans="2:8" ht="18" customHeight="1" x14ac:dyDescent="0.2">
      <c r="B4" s="76" t="s">
        <v>214</v>
      </c>
      <c r="C4" s="60"/>
      <c r="D4" s="60"/>
      <c r="E4" s="60"/>
      <c r="F4" s="60"/>
      <c r="G4" s="60"/>
      <c r="H4" s="60"/>
    </row>
    <row r="6" spans="2:8" ht="18" customHeight="1" x14ac:dyDescent="0.2">
      <c r="B6" s="39" t="s">
        <v>215</v>
      </c>
      <c r="C6" s="40">
        <v>0</v>
      </c>
      <c r="D6" s="41" t="s">
        <v>73</v>
      </c>
      <c r="E6" s="42" t="s">
        <v>216</v>
      </c>
    </row>
    <row r="7" spans="2:8" ht="18" customHeight="1" x14ac:dyDescent="0.2">
      <c r="B7" s="43" t="s">
        <v>217</v>
      </c>
      <c r="C7" s="44">
        <v>45000</v>
      </c>
      <c r="D7" s="45" t="s">
        <v>157</v>
      </c>
      <c r="E7" s="46"/>
    </row>
    <row r="8" spans="2:8" ht="18" customHeight="1" x14ac:dyDescent="0.2">
      <c r="B8" s="43" t="s">
        <v>218</v>
      </c>
      <c r="C8" s="44">
        <v>55000</v>
      </c>
      <c r="D8" s="45" t="s">
        <v>157</v>
      </c>
      <c r="E8" s="46"/>
    </row>
    <row r="9" spans="2:8" ht="18" customHeight="1" x14ac:dyDescent="0.2">
      <c r="B9" s="43" t="s">
        <v>219</v>
      </c>
      <c r="C9" s="44">
        <v>200000</v>
      </c>
      <c r="D9" s="45" t="s">
        <v>161</v>
      </c>
      <c r="E9" s="46"/>
    </row>
    <row r="10" spans="2:8" ht="18" customHeight="1" x14ac:dyDescent="0.2">
      <c r="B10" s="43" t="s">
        <v>220</v>
      </c>
      <c r="C10" s="44" t="s">
        <v>221</v>
      </c>
      <c r="D10" s="45"/>
      <c r="E10" s="46"/>
    </row>
    <row r="12" spans="2:8" ht="9" customHeight="1" x14ac:dyDescent="0.2"/>
    <row r="13" spans="2:8" ht="18" customHeight="1" x14ac:dyDescent="0.2">
      <c r="B13" s="76" t="s">
        <v>222</v>
      </c>
      <c r="C13" s="60"/>
      <c r="D13" s="60"/>
      <c r="E13" s="60"/>
      <c r="F13" s="60"/>
      <c r="G13" s="60"/>
      <c r="H13" s="60"/>
    </row>
  </sheetData>
  <mergeCells count="3">
    <mergeCell ref="B13:H13"/>
    <mergeCell ref="B4:H4"/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showGridLines="0" workbookViewId="0"/>
  </sheetViews>
  <sheetFormatPr baseColWidth="10" defaultColWidth="8.83203125" defaultRowHeight="15" x14ac:dyDescent="0.2"/>
  <cols>
    <col min="1" max="1" width="36" customWidth="1"/>
    <col min="2" max="2" width="46" customWidth="1"/>
    <col min="3" max="3" width="14" customWidth="1"/>
    <col min="4" max="4" width="34" customWidth="1"/>
    <col min="5" max="8" width="16" customWidth="1"/>
  </cols>
  <sheetData>
    <row r="1" spans="1:8" ht="26" customHeight="1" x14ac:dyDescent="0.2">
      <c r="A1" s="62" t="s">
        <v>223</v>
      </c>
      <c r="B1" s="60"/>
      <c r="C1" s="60"/>
      <c r="D1" s="60"/>
      <c r="E1" s="60"/>
      <c r="F1" s="60"/>
      <c r="G1" s="60"/>
      <c r="H1" s="60"/>
    </row>
    <row r="3" spans="1:8" ht="20" customHeight="1" x14ac:dyDescent="0.2">
      <c r="A3" s="61" t="s">
        <v>224</v>
      </c>
      <c r="B3" s="60"/>
      <c r="C3" s="60"/>
      <c r="D3" s="60"/>
      <c r="E3" s="60"/>
      <c r="F3" s="60"/>
      <c r="G3" s="60"/>
      <c r="H3" s="60"/>
    </row>
    <row r="4" spans="1:8" x14ac:dyDescent="0.2">
      <c r="A4" s="6" t="s">
        <v>225</v>
      </c>
      <c r="B4" s="6" t="s">
        <v>226</v>
      </c>
      <c r="C4" s="6" t="s">
        <v>227</v>
      </c>
      <c r="D4" s="6" t="s">
        <v>228</v>
      </c>
    </row>
    <row r="5" spans="1:8" x14ac:dyDescent="0.2">
      <c r="A5" s="27" t="s">
        <v>229</v>
      </c>
      <c r="B5" s="33" t="s">
        <v>230</v>
      </c>
      <c r="C5" s="34" t="s">
        <v>231</v>
      </c>
      <c r="D5" s="27"/>
    </row>
    <row r="6" spans="1:8" x14ac:dyDescent="0.2">
      <c r="A6" s="28" t="s">
        <v>232</v>
      </c>
      <c r="B6" s="35" t="s">
        <v>233</v>
      </c>
      <c r="C6" s="36" t="s">
        <v>231</v>
      </c>
      <c r="D6" s="28"/>
    </row>
    <row r="7" spans="1:8" x14ac:dyDescent="0.2">
      <c r="A7" s="27" t="s">
        <v>234</v>
      </c>
      <c r="B7" s="33" t="s">
        <v>235</v>
      </c>
      <c r="C7" s="34" t="s">
        <v>231</v>
      </c>
      <c r="D7" s="27"/>
    </row>
    <row r="8" spans="1:8" x14ac:dyDescent="0.2">
      <c r="A8" s="28" t="s">
        <v>236</v>
      </c>
      <c r="B8" s="35" t="s">
        <v>237</v>
      </c>
      <c r="C8" s="36" t="s">
        <v>231</v>
      </c>
      <c r="D8" s="28"/>
    </row>
    <row r="9" spans="1:8" x14ac:dyDescent="0.2">
      <c r="A9" s="27" t="s">
        <v>238</v>
      </c>
      <c r="B9" s="33" t="s">
        <v>239</v>
      </c>
      <c r="C9" s="34" t="s">
        <v>231</v>
      </c>
      <c r="D9" s="27"/>
    </row>
    <row r="10" spans="1:8" x14ac:dyDescent="0.2">
      <c r="A10" s="28" t="s">
        <v>240</v>
      </c>
      <c r="B10" s="35" t="s">
        <v>241</v>
      </c>
      <c r="C10" s="36" t="s">
        <v>231</v>
      </c>
      <c r="D10" s="28"/>
    </row>
    <row r="11" spans="1:8" x14ac:dyDescent="0.2">
      <c r="A11" s="27" t="s">
        <v>242</v>
      </c>
      <c r="B11" s="33" t="s">
        <v>243</v>
      </c>
      <c r="C11" s="34" t="s">
        <v>231</v>
      </c>
      <c r="D11" s="27"/>
    </row>
    <row r="13" spans="1:8" x14ac:dyDescent="0.2">
      <c r="A13" t="s">
        <v>244</v>
      </c>
      <c r="B13" t="s">
        <v>245</v>
      </c>
      <c r="C13" t="s">
        <v>231</v>
      </c>
    </row>
    <row r="14" spans="1:8" x14ac:dyDescent="0.2">
      <c r="A14" t="s">
        <v>246</v>
      </c>
      <c r="B14" t="s">
        <v>247</v>
      </c>
      <c r="C14" t="s">
        <v>231</v>
      </c>
    </row>
    <row r="15" spans="1:8" x14ac:dyDescent="0.2">
      <c r="A15" t="s">
        <v>248</v>
      </c>
      <c r="B15" t="s">
        <v>249</v>
      </c>
      <c r="C15" t="s">
        <v>231</v>
      </c>
    </row>
  </sheetData>
  <mergeCells count="2">
    <mergeCell ref="A3:H3"/>
    <mergeCell ref="A1:H1"/>
  </mergeCells>
  <conditionalFormatting sqref="C5:C100">
    <cfRule type="expression" dxfId="0" priority="1">
      <formula>LEFT($C5,4)="FAIL"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selection sqref="A1:G1"/>
    </sheetView>
  </sheetViews>
  <sheetFormatPr baseColWidth="10" defaultColWidth="8.83203125" defaultRowHeight="15" x14ac:dyDescent="0.2"/>
  <cols>
    <col min="1" max="1" width="14" customWidth="1"/>
    <col min="2" max="2" width="34" customWidth="1"/>
    <col min="3" max="3" width="55" customWidth="1"/>
    <col min="4" max="4" width="10" customWidth="1"/>
    <col min="5" max="5" width="28" customWidth="1"/>
  </cols>
  <sheetData>
    <row r="1" spans="1:7" ht="26" customHeight="1" x14ac:dyDescent="0.2">
      <c r="A1" s="77" t="s">
        <v>250</v>
      </c>
      <c r="B1" s="60"/>
      <c r="C1" s="60"/>
      <c r="D1" s="60"/>
      <c r="E1" s="60"/>
      <c r="F1" s="60"/>
      <c r="G1" s="60"/>
    </row>
    <row r="3" spans="1:7" ht="20" customHeight="1" x14ac:dyDescent="0.2">
      <c r="A3" s="47" t="s">
        <v>17</v>
      </c>
      <c r="B3" s="47" t="s">
        <v>251</v>
      </c>
      <c r="C3" s="47" t="s">
        <v>252</v>
      </c>
      <c r="D3" s="47" t="s">
        <v>253</v>
      </c>
      <c r="E3" s="47" t="s">
        <v>254</v>
      </c>
    </row>
    <row r="4" spans="1:7" ht="42" customHeight="1" x14ac:dyDescent="0.2">
      <c r="A4" s="48" t="s">
        <v>255</v>
      </c>
      <c r="B4" s="48" t="s">
        <v>256</v>
      </c>
      <c r="C4" s="48" t="s">
        <v>257</v>
      </c>
      <c r="D4" s="48" t="s">
        <v>258</v>
      </c>
      <c r="E4" s="48" t="s">
        <v>259</v>
      </c>
    </row>
    <row r="5" spans="1:7" ht="42" customHeight="1" x14ac:dyDescent="0.2">
      <c r="A5" s="48" t="s">
        <v>255</v>
      </c>
      <c r="B5" s="48" t="s">
        <v>260</v>
      </c>
      <c r="C5" s="48" t="s">
        <v>261</v>
      </c>
      <c r="D5" s="48" t="s">
        <v>258</v>
      </c>
      <c r="E5" s="48" t="s">
        <v>262</v>
      </c>
    </row>
    <row r="6" spans="1:7" ht="42" customHeight="1" x14ac:dyDescent="0.2">
      <c r="A6" s="48" t="s">
        <v>78</v>
      </c>
      <c r="B6" s="48" t="s">
        <v>263</v>
      </c>
      <c r="C6" s="48" t="s">
        <v>264</v>
      </c>
      <c r="D6" s="48" t="s">
        <v>258</v>
      </c>
      <c r="E6" s="48" t="s">
        <v>265</v>
      </c>
    </row>
    <row r="7" spans="1:7" ht="42" customHeight="1" x14ac:dyDescent="0.2">
      <c r="A7" s="48" t="s">
        <v>78</v>
      </c>
      <c r="B7" s="48" t="s">
        <v>266</v>
      </c>
      <c r="C7" s="48" t="s">
        <v>267</v>
      </c>
      <c r="D7" s="48" t="s">
        <v>268</v>
      </c>
      <c r="E7" s="48" t="s">
        <v>269</v>
      </c>
    </row>
    <row r="8" spans="1:7" ht="42" customHeight="1" x14ac:dyDescent="0.2">
      <c r="A8" s="48" t="s">
        <v>56</v>
      </c>
      <c r="B8" s="48" t="s">
        <v>270</v>
      </c>
      <c r="C8" s="48" t="s">
        <v>271</v>
      </c>
      <c r="D8" s="48" t="s">
        <v>268</v>
      </c>
      <c r="E8" s="48" t="s">
        <v>272</v>
      </c>
    </row>
    <row r="9" spans="1:7" ht="42" customHeight="1" x14ac:dyDescent="0.2">
      <c r="A9" s="48" t="s">
        <v>273</v>
      </c>
      <c r="B9" s="48" t="s">
        <v>274</v>
      </c>
      <c r="C9" s="48" t="s">
        <v>275</v>
      </c>
      <c r="D9" s="48" t="s">
        <v>268</v>
      </c>
      <c r="E9" s="48" t="s">
        <v>276</v>
      </c>
    </row>
    <row r="10" spans="1:7" ht="42" customHeight="1" x14ac:dyDescent="0.2">
      <c r="A10" s="48" t="s">
        <v>277</v>
      </c>
      <c r="B10" s="48" t="s">
        <v>278</v>
      </c>
      <c r="C10" s="48" t="s">
        <v>279</v>
      </c>
      <c r="D10" s="48" t="s">
        <v>258</v>
      </c>
      <c r="E10" s="48" t="s">
        <v>280</v>
      </c>
    </row>
    <row r="11" spans="1:7" ht="42" customHeight="1" x14ac:dyDescent="0.2">
      <c r="A11" s="48" t="s">
        <v>281</v>
      </c>
      <c r="B11" s="48" t="s">
        <v>282</v>
      </c>
      <c r="C11" s="48" t="s">
        <v>283</v>
      </c>
      <c r="D11" s="48" t="s">
        <v>268</v>
      </c>
      <c r="E11" s="48" t="s">
        <v>284</v>
      </c>
    </row>
    <row r="12" spans="1:7" ht="42" customHeight="1" x14ac:dyDescent="0.2">
      <c r="A12" s="48" t="s">
        <v>285</v>
      </c>
      <c r="B12" s="48" t="s">
        <v>286</v>
      </c>
      <c r="C12" s="48" t="s">
        <v>287</v>
      </c>
      <c r="D12" s="48" t="s">
        <v>288</v>
      </c>
      <c r="E12" s="48" t="s">
        <v>289</v>
      </c>
    </row>
    <row r="13" spans="1:7" ht="32" customHeight="1" x14ac:dyDescent="0.2">
      <c r="A13" s="50" t="s">
        <v>78</v>
      </c>
      <c r="B13" s="50" t="s">
        <v>290</v>
      </c>
      <c r="C13" s="50" t="s">
        <v>291</v>
      </c>
      <c r="D13" s="50" t="s">
        <v>258</v>
      </c>
      <c r="E13" s="50" t="s">
        <v>292</v>
      </c>
    </row>
    <row r="14" spans="1:7" ht="32" customHeight="1" x14ac:dyDescent="0.2">
      <c r="A14" s="50" t="s">
        <v>293</v>
      </c>
      <c r="B14" s="50" t="s">
        <v>294</v>
      </c>
      <c r="C14" s="50" t="s">
        <v>295</v>
      </c>
      <c r="D14" s="50" t="s">
        <v>268</v>
      </c>
      <c r="E14" s="50" t="s">
        <v>296</v>
      </c>
    </row>
    <row r="15" spans="1:7" ht="32" customHeight="1" x14ac:dyDescent="0.2">
      <c r="A15" s="50" t="s">
        <v>297</v>
      </c>
      <c r="B15" s="50" t="s">
        <v>298</v>
      </c>
      <c r="C15" s="50" t="s">
        <v>299</v>
      </c>
      <c r="D15" s="50" t="s">
        <v>258</v>
      </c>
      <c r="E15" s="50" t="s">
        <v>300</v>
      </c>
    </row>
    <row r="16" spans="1:7" ht="32" customHeight="1" x14ac:dyDescent="0.2">
      <c r="A16" s="50" t="s">
        <v>297</v>
      </c>
      <c r="B16" s="50" t="s">
        <v>301</v>
      </c>
      <c r="C16" s="50" t="s">
        <v>302</v>
      </c>
      <c r="D16" s="50" t="s">
        <v>258</v>
      </c>
      <c r="E16" s="50" t="s">
        <v>303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34" customWidth="1"/>
    <col min="2" max="2" width="24" customWidth="1"/>
    <col min="3" max="3" width="16" customWidth="1"/>
    <col min="4" max="4" width="10" customWidth="1"/>
    <col min="5" max="8" width="16" customWidth="1"/>
  </cols>
  <sheetData>
    <row r="1" spans="1:8" ht="26" customHeight="1" x14ac:dyDescent="0.2">
      <c r="A1" s="62" t="s">
        <v>304</v>
      </c>
      <c r="B1" s="60"/>
      <c r="C1" s="60"/>
      <c r="D1" s="60"/>
      <c r="E1" s="60"/>
      <c r="F1" s="60"/>
      <c r="G1" s="60"/>
      <c r="H1" s="60"/>
    </row>
    <row r="3" spans="1:8" ht="20" customHeight="1" x14ac:dyDescent="0.2">
      <c r="A3" s="61" t="s">
        <v>305</v>
      </c>
      <c r="B3" s="60"/>
      <c r="C3" s="60"/>
      <c r="D3" s="60"/>
      <c r="E3" s="60"/>
      <c r="F3" s="60"/>
      <c r="G3" s="60"/>
      <c r="H3" s="60"/>
    </row>
    <row r="4" spans="1:8" x14ac:dyDescent="0.2">
      <c r="A4" s="59" t="s">
        <v>306</v>
      </c>
      <c r="B4" s="60"/>
      <c r="C4" s="60"/>
      <c r="D4" s="60"/>
      <c r="E4" s="60"/>
      <c r="F4" s="60"/>
      <c r="G4" s="60"/>
      <c r="H4" s="60"/>
    </row>
    <row r="5" spans="1:8" x14ac:dyDescent="0.2">
      <c r="A5" s="59" t="s">
        <v>307</v>
      </c>
      <c r="B5" s="60"/>
      <c r="C5" s="60"/>
      <c r="D5" s="60"/>
      <c r="E5" s="60"/>
      <c r="F5" s="60"/>
      <c r="G5" s="60"/>
      <c r="H5" s="60"/>
    </row>
    <row r="6" spans="1:8" x14ac:dyDescent="0.2">
      <c r="A6" s="59" t="s">
        <v>308</v>
      </c>
      <c r="B6" s="60"/>
      <c r="C6" s="60"/>
      <c r="D6" s="60"/>
      <c r="E6" s="60"/>
      <c r="F6" s="60"/>
      <c r="G6" s="60"/>
      <c r="H6" s="60"/>
    </row>
    <row r="7" spans="1:8" x14ac:dyDescent="0.2">
      <c r="A7" s="59" t="s">
        <v>309</v>
      </c>
      <c r="B7" s="60"/>
      <c r="C7" s="60"/>
      <c r="D7" s="60"/>
      <c r="E7" s="60"/>
      <c r="F7" s="60"/>
      <c r="G7" s="60"/>
      <c r="H7" s="60"/>
    </row>
    <row r="8" spans="1:8" x14ac:dyDescent="0.2">
      <c r="A8" s="59" t="s">
        <v>310</v>
      </c>
      <c r="B8" s="60"/>
      <c r="C8" s="60"/>
      <c r="D8" s="60"/>
      <c r="E8" s="60"/>
      <c r="F8" s="60"/>
      <c r="G8" s="60"/>
      <c r="H8" s="60"/>
    </row>
    <row r="9" spans="1:8" x14ac:dyDescent="0.2">
      <c r="A9" s="59" t="s">
        <v>311</v>
      </c>
      <c r="B9" s="60"/>
      <c r="C9" s="60"/>
      <c r="D9" s="60"/>
      <c r="E9" s="60"/>
      <c r="F9" s="60"/>
      <c r="G9" s="60"/>
      <c r="H9" s="60"/>
    </row>
    <row r="10" spans="1:8" x14ac:dyDescent="0.2">
      <c r="A10" s="59" t="s">
        <v>312</v>
      </c>
      <c r="B10" s="60"/>
      <c r="C10" s="60"/>
      <c r="D10" s="60"/>
      <c r="E10" s="60"/>
      <c r="F10" s="60"/>
      <c r="G10" s="60"/>
      <c r="H10" s="60"/>
    </row>
    <row r="11" spans="1:8" x14ac:dyDescent="0.2">
      <c r="A11" s="59" t="s">
        <v>313</v>
      </c>
      <c r="B11" s="60"/>
      <c r="C11" s="60"/>
      <c r="D11" s="60"/>
      <c r="E11" s="60"/>
      <c r="F11" s="60"/>
      <c r="G11" s="60"/>
      <c r="H11" s="60"/>
    </row>
    <row r="12" spans="1:8" x14ac:dyDescent="0.2">
      <c r="A12" s="59" t="s">
        <v>314</v>
      </c>
      <c r="B12" s="60"/>
      <c r="C12" s="60"/>
      <c r="D12" s="60"/>
      <c r="E12" s="60"/>
      <c r="F12" s="60"/>
      <c r="G12" s="60"/>
      <c r="H12" s="60"/>
    </row>
    <row r="13" spans="1:8" x14ac:dyDescent="0.2">
      <c r="A13" s="59" t="s">
        <v>315</v>
      </c>
      <c r="B13" s="60"/>
      <c r="C13" s="60"/>
      <c r="D13" s="60"/>
      <c r="E13" s="60"/>
      <c r="F13" s="60"/>
      <c r="G13" s="60"/>
      <c r="H13" s="60"/>
    </row>
    <row r="14" spans="1:8" x14ac:dyDescent="0.2">
      <c r="A14" s="59" t="s">
        <v>316</v>
      </c>
      <c r="B14" s="60"/>
      <c r="C14" s="60"/>
      <c r="D14" s="60"/>
      <c r="E14" s="60"/>
      <c r="F14" s="60"/>
      <c r="G14" s="60"/>
      <c r="H14" s="60"/>
    </row>
    <row r="16" spans="1:8" x14ac:dyDescent="0.2">
      <c r="A16" s="63" t="s">
        <v>317</v>
      </c>
      <c r="B16" s="60"/>
      <c r="C16" s="60"/>
      <c r="D16" s="60"/>
      <c r="E16" s="60"/>
      <c r="F16" s="60"/>
      <c r="G16" s="60"/>
      <c r="H16" s="60"/>
    </row>
    <row r="17" spans="1:8" x14ac:dyDescent="0.2">
      <c r="A17" s="60"/>
      <c r="B17" s="60"/>
      <c r="C17" s="60"/>
      <c r="D17" s="60"/>
      <c r="E17" s="60"/>
      <c r="F17" s="60"/>
      <c r="G17" s="60"/>
      <c r="H17" s="60"/>
    </row>
    <row r="19" spans="1:8" x14ac:dyDescent="0.2">
      <c r="A19" s="49" t="s">
        <v>318</v>
      </c>
    </row>
    <row r="20" spans="1:8" x14ac:dyDescent="0.2">
      <c r="A20" t="s">
        <v>319</v>
      </c>
    </row>
    <row r="21" spans="1:8" x14ac:dyDescent="0.2">
      <c r="A21" t="s">
        <v>320</v>
      </c>
    </row>
    <row r="22" spans="1:8" x14ac:dyDescent="0.2">
      <c r="A22" t="s">
        <v>321</v>
      </c>
    </row>
    <row r="23" spans="1:8" x14ac:dyDescent="0.2">
      <c r="A23" t="s">
        <v>322</v>
      </c>
    </row>
    <row r="24" spans="1:8" x14ac:dyDescent="0.2">
      <c r="A24" t="s">
        <v>323</v>
      </c>
    </row>
    <row r="25" spans="1:8" x14ac:dyDescent="0.2">
      <c r="A25" t="s">
        <v>324</v>
      </c>
    </row>
    <row r="26" spans="1:8" x14ac:dyDescent="0.2">
      <c r="A26" t="s">
        <v>325</v>
      </c>
    </row>
    <row r="27" spans="1:8" x14ac:dyDescent="0.2">
      <c r="A27" t="s">
        <v>326</v>
      </c>
    </row>
    <row r="28" spans="1:8" x14ac:dyDescent="0.2">
      <c r="A28" t="s">
        <v>327</v>
      </c>
    </row>
    <row r="29" spans="1:8" x14ac:dyDescent="0.2">
      <c r="A29" s="49" t="s">
        <v>328</v>
      </c>
    </row>
    <row r="30" spans="1:8" x14ac:dyDescent="0.2">
      <c r="A30" t="s">
        <v>329</v>
      </c>
    </row>
    <row r="31" spans="1:8" x14ac:dyDescent="0.2">
      <c r="A31" t="s">
        <v>330</v>
      </c>
    </row>
    <row r="32" spans="1:8" x14ac:dyDescent="0.2">
      <c r="A32" t="s">
        <v>331</v>
      </c>
    </row>
    <row r="33" spans="1:1" x14ac:dyDescent="0.2">
      <c r="A33" t="s">
        <v>332</v>
      </c>
    </row>
    <row r="34" spans="1:1" x14ac:dyDescent="0.2">
      <c r="A34" t="s">
        <v>333</v>
      </c>
    </row>
    <row r="35" spans="1:1" x14ac:dyDescent="0.2">
      <c r="A35" t="s">
        <v>334</v>
      </c>
    </row>
    <row r="36" spans="1:1" x14ac:dyDescent="0.2">
      <c r="A36" t="s">
        <v>335</v>
      </c>
    </row>
  </sheetData>
  <mergeCells count="14">
    <mergeCell ref="A16:H17"/>
    <mergeCell ref="A13:H13"/>
    <mergeCell ref="A11:H11"/>
    <mergeCell ref="A14:H14"/>
    <mergeCell ref="A5:H5"/>
    <mergeCell ref="A8:H8"/>
    <mergeCell ref="A6:H6"/>
    <mergeCell ref="A9:H9"/>
    <mergeCell ref="A4:H4"/>
    <mergeCell ref="A12:H12"/>
    <mergeCell ref="A3:H3"/>
    <mergeCell ref="A1:H1"/>
    <mergeCell ref="A7:H7"/>
    <mergeCell ref="A10:H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1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34" customWidth="1"/>
    <col min="2" max="2" width="24" customWidth="1"/>
    <col min="3" max="3" width="16" customWidth="1"/>
    <col min="4" max="4" width="10" customWidth="1"/>
    <col min="5" max="8" width="16" customWidth="1"/>
  </cols>
  <sheetData>
    <row r="1" spans="1:8" ht="26" customHeight="1" x14ac:dyDescent="0.2">
      <c r="A1" s="62" t="s">
        <v>336</v>
      </c>
      <c r="B1" s="60"/>
      <c r="C1" s="60"/>
      <c r="D1" s="60"/>
      <c r="E1" s="60"/>
      <c r="F1" s="60"/>
      <c r="G1" s="60"/>
      <c r="H1" s="60"/>
    </row>
    <row r="3" spans="1:8" ht="20" customHeight="1" x14ac:dyDescent="0.2">
      <c r="A3" s="61" t="s">
        <v>337</v>
      </c>
      <c r="B3" s="60"/>
      <c r="C3" s="60"/>
      <c r="D3" s="60"/>
      <c r="E3" s="60"/>
      <c r="F3" s="60"/>
      <c r="G3" s="60"/>
      <c r="H3" s="60"/>
    </row>
    <row r="4" spans="1:8" x14ac:dyDescent="0.2">
      <c r="A4" s="6" t="s">
        <v>338</v>
      </c>
      <c r="B4" s="6" t="s">
        <v>19</v>
      </c>
      <c r="C4" s="6" t="s">
        <v>153</v>
      </c>
      <c r="D4" s="6" t="s">
        <v>154</v>
      </c>
    </row>
    <row r="5" spans="1:8" x14ac:dyDescent="0.2">
      <c r="A5" s="27" t="s">
        <v>160</v>
      </c>
      <c r="B5" s="18">
        <v>11500000</v>
      </c>
      <c r="C5" s="17" t="s">
        <v>161</v>
      </c>
      <c r="D5" s="1" t="s">
        <v>191</v>
      </c>
    </row>
    <row r="6" spans="1:8" x14ac:dyDescent="0.2">
      <c r="A6" s="28" t="s">
        <v>194</v>
      </c>
      <c r="B6" s="29">
        <v>116</v>
      </c>
      <c r="C6" s="23" t="s">
        <v>195</v>
      </c>
      <c r="D6" s="30" t="s">
        <v>191</v>
      </c>
    </row>
    <row r="7" spans="1:8" x14ac:dyDescent="0.2">
      <c r="A7" s="27" t="s">
        <v>339</v>
      </c>
      <c r="B7" s="18">
        <v>85000</v>
      </c>
      <c r="C7" s="17" t="s">
        <v>165</v>
      </c>
      <c r="D7" s="1" t="s">
        <v>340</v>
      </c>
    </row>
    <row r="8" spans="1:8" x14ac:dyDescent="0.2">
      <c r="A8" s="28" t="s">
        <v>341</v>
      </c>
      <c r="B8" s="37">
        <v>0.02</v>
      </c>
      <c r="C8" s="23" t="s">
        <v>73</v>
      </c>
      <c r="D8" s="30" t="s">
        <v>191</v>
      </c>
    </row>
    <row r="9" spans="1:8" x14ac:dyDescent="0.2">
      <c r="A9" s="27" t="s">
        <v>197</v>
      </c>
      <c r="B9" s="18">
        <v>5</v>
      </c>
      <c r="C9" s="17" t="s">
        <v>198</v>
      </c>
      <c r="D9" s="1" t="s">
        <v>191</v>
      </c>
    </row>
    <row r="11" spans="1:8" ht="20" customHeight="1" x14ac:dyDescent="0.2">
      <c r="A11" s="61" t="s">
        <v>342</v>
      </c>
      <c r="B11" s="60"/>
      <c r="C11" s="60"/>
      <c r="D11" s="60"/>
      <c r="E11" s="60"/>
      <c r="F11" s="60"/>
      <c r="G11" s="60"/>
      <c r="H11" s="60"/>
    </row>
    <row r="12" spans="1:8" x14ac:dyDescent="0.2">
      <c r="A12" s="2" t="s">
        <v>343</v>
      </c>
      <c r="B12" s="16" t="str">
        <f>B7*B6</f>
        <v/>
      </c>
      <c r="C12" s="17" t="s">
        <v>161</v>
      </c>
    </row>
    <row r="13" spans="1:8" x14ac:dyDescent="0.2">
      <c r="A13" s="2" t="s">
        <v>344</v>
      </c>
      <c r="B13" s="16" t="str">
        <f>B12*B8</f>
        <v/>
      </c>
      <c r="C13" s="17" t="s">
        <v>161</v>
      </c>
    </row>
    <row r="14" spans="1:8" x14ac:dyDescent="0.2">
      <c r="A14" s="31" t="s">
        <v>345</v>
      </c>
      <c r="B14" s="20" t="str">
        <f>B12-B13</f>
        <v/>
      </c>
      <c r="C14" s="17" t="s">
        <v>161</v>
      </c>
    </row>
    <row r="17" spans="1:8" ht="20" customHeight="1" x14ac:dyDescent="0.2">
      <c r="A17" s="61" t="s">
        <v>346</v>
      </c>
      <c r="B17" s="60"/>
      <c r="C17" s="60"/>
      <c r="D17" s="60"/>
      <c r="E17" s="60"/>
      <c r="F17" s="60"/>
      <c r="G17" s="60"/>
      <c r="H17" s="60"/>
    </row>
    <row r="18" spans="1:8" x14ac:dyDescent="0.2">
      <c r="A18" s="64" t="s">
        <v>345</v>
      </c>
      <c r="B18" s="65"/>
      <c r="C18" s="66"/>
    </row>
    <row r="19" spans="1:8" x14ac:dyDescent="0.2">
      <c r="A19" s="78" t="str">
        <f>B14</f>
        <v/>
      </c>
      <c r="B19" s="68"/>
      <c r="C19" s="69"/>
    </row>
    <row r="20" spans="1:8" x14ac:dyDescent="0.2">
      <c r="A20" s="70"/>
      <c r="B20" s="71"/>
      <c r="C20" s="72"/>
    </row>
    <row r="21" spans="1:8" x14ac:dyDescent="0.2">
      <c r="A21" s="17" t="s">
        <v>161</v>
      </c>
    </row>
  </sheetData>
  <mergeCells count="6">
    <mergeCell ref="A3:H3"/>
    <mergeCell ref="A19:C20"/>
    <mergeCell ref="A18:C18"/>
    <mergeCell ref="A11:H11"/>
    <mergeCell ref="A1:H1"/>
    <mergeCell ref="A17:H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topLeftCell="B1" workbookViewId="0"/>
  </sheetViews>
  <sheetFormatPr baseColWidth="10" defaultColWidth="8.83203125" defaultRowHeight="15" x14ac:dyDescent="0.2"/>
  <cols>
    <col min="1" max="1" width="28" customWidth="1"/>
    <col min="2" max="2" width="34" customWidth="1"/>
    <col min="3" max="3" width="28" customWidth="1"/>
    <col min="4" max="4" width="36" customWidth="1"/>
  </cols>
  <sheetData>
    <row r="1" spans="1:4" ht="22" customHeight="1" x14ac:dyDescent="0.2">
      <c r="A1" s="38" t="s">
        <v>347</v>
      </c>
    </row>
    <row r="3" spans="1:4" ht="16" x14ac:dyDescent="0.2">
      <c r="A3" s="38" t="s">
        <v>348</v>
      </c>
      <c r="B3" s="38" t="s">
        <v>349</v>
      </c>
      <c r="C3" s="38" t="s">
        <v>350</v>
      </c>
      <c r="D3" s="38" t="s">
        <v>351</v>
      </c>
    </row>
    <row r="4" spans="1:4" ht="32" x14ac:dyDescent="0.2">
      <c r="A4" s="38" t="s">
        <v>352</v>
      </c>
      <c r="B4" s="38" t="s">
        <v>353</v>
      </c>
      <c r="C4" s="38" t="s">
        <v>354</v>
      </c>
      <c r="D4" s="38" t="s">
        <v>355</v>
      </c>
    </row>
    <row r="5" spans="1:4" ht="32" x14ac:dyDescent="0.2">
      <c r="A5" s="38" t="s">
        <v>356</v>
      </c>
      <c r="B5" s="38" t="s">
        <v>357</v>
      </c>
      <c r="C5" s="38" t="s">
        <v>358</v>
      </c>
      <c r="D5" s="38" t="s">
        <v>359</v>
      </c>
    </row>
    <row r="6" spans="1:4" ht="32" x14ac:dyDescent="0.2">
      <c r="A6" s="38" t="s">
        <v>360</v>
      </c>
      <c r="B6" s="38" t="s">
        <v>361</v>
      </c>
      <c r="C6" s="38" t="s">
        <v>362</v>
      </c>
      <c r="D6" s="38" t="s">
        <v>363</v>
      </c>
    </row>
    <row r="7" spans="1:4" ht="32" x14ac:dyDescent="0.2">
      <c r="A7" s="38" t="s">
        <v>364</v>
      </c>
      <c r="B7" s="38" t="s">
        <v>365</v>
      </c>
      <c r="C7" s="38" t="s">
        <v>366</v>
      </c>
      <c r="D7" s="38" t="s">
        <v>367</v>
      </c>
    </row>
    <row r="8" spans="1:4" ht="32" x14ac:dyDescent="0.2">
      <c r="A8" s="38" t="s">
        <v>368</v>
      </c>
      <c r="B8" s="38" t="s">
        <v>369</v>
      </c>
      <c r="C8" s="38" t="s">
        <v>370</v>
      </c>
      <c r="D8" s="38" t="s">
        <v>371</v>
      </c>
    </row>
    <row r="9" spans="1:4" ht="16" x14ac:dyDescent="0.2">
      <c r="A9" s="38" t="s">
        <v>372</v>
      </c>
      <c r="B9" s="38" t="s">
        <v>373</v>
      </c>
      <c r="C9" s="38" t="s">
        <v>374</v>
      </c>
      <c r="D9" s="38" t="s">
        <v>375</v>
      </c>
    </row>
    <row r="11" spans="1:4" x14ac:dyDescent="0.2">
      <c r="A11" s="49" t="s">
        <v>376</v>
      </c>
      <c r="B11" t="s">
        <v>377</v>
      </c>
      <c r="C11" t="s">
        <v>378</v>
      </c>
      <c r="D11" t="s">
        <v>379</v>
      </c>
    </row>
    <row r="12" spans="1:4" x14ac:dyDescent="0.2">
      <c r="A12" s="49" t="s">
        <v>380</v>
      </c>
      <c r="B12" t="s">
        <v>381</v>
      </c>
      <c r="C12" t="s">
        <v>382</v>
      </c>
      <c r="D12" t="s">
        <v>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0"/>
  <sheetViews>
    <sheetView workbookViewId="0"/>
  </sheetViews>
  <sheetFormatPr baseColWidth="10" defaultColWidth="8.83203125" defaultRowHeight="15" x14ac:dyDescent="0.2"/>
  <cols>
    <col min="1" max="1" width="28" customWidth="1"/>
    <col min="2" max="2" width="34" customWidth="1"/>
    <col min="3" max="3" width="28" customWidth="1"/>
    <col min="4" max="4" width="36" customWidth="1"/>
  </cols>
  <sheetData>
    <row r="1" spans="1:4" ht="22" customHeight="1" x14ac:dyDescent="0.2">
      <c r="A1" s="38" t="s">
        <v>384</v>
      </c>
    </row>
    <row r="3" spans="1:4" ht="16" x14ac:dyDescent="0.2">
      <c r="A3" s="38" t="s">
        <v>385</v>
      </c>
      <c r="B3" s="38" t="s">
        <v>386</v>
      </c>
      <c r="C3" s="38" t="s">
        <v>387</v>
      </c>
      <c r="D3" s="38" t="s">
        <v>388</v>
      </c>
    </row>
    <row r="4" spans="1:4" ht="16" x14ac:dyDescent="0.2">
      <c r="A4" s="38" t="s">
        <v>389</v>
      </c>
      <c r="B4" s="38" t="s">
        <v>114</v>
      </c>
      <c r="C4" s="38" t="s">
        <v>390</v>
      </c>
      <c r="D4" s="38" t="s">
        <v>391</v>
      </c>
    </row>
    <row r="5" spans="1:4" ht="16" x14ac:dyDescent="0.2">
      <c r="A5" s="38" t="s">
        <v>392</v>
      </c>
      <c r="B5" s="38" t="s">
        <v>118</v>
      </c>
      <c r="C5" s="38" t="s">
        <v>393</v>
      </c>
      <c r="D5" s="38" t="s">
        <v>394</v>
      </c>
    </row>
    <row r="6" spans="1:4" ht="16" x14ac:dyDescent="0.2">
      <c r="A6" s="38" t="s">
        <v>395</v>
      </c>
      <c r="B6" s="38" t="s">
        <v>125</v>
      </c>
      <c r="C6" s="38" t="s">
        <v>396</v>
      </c>
      <c r="D6" s="38" t="s">
        <v>397</v>
      </c>
    </row>
    <row r="7" spans="1:4" ht="16" x14ac:dyDescent="0.2">
      <c r="A7" s="38" t="s">
        <v>368</v>
      </c>
      <c r="B7" s="38" t="s">
        <v>114</v>
      </c>
      <c r="C7" s="38" t="s">
        <v>398</v>
      </c>
      <c r="D7" s="38" t="s">
        <v>399</v>
      </c>
    </row>
    <row r="8" spans="1:4" ht="16" x14ac:dyDescent="0.2">
      <c r="A8" s="38" t="s">
        <v>400</v>
      </c>
      <c r="B8" s="38" t="s">
        <v>129</v>
      </c>
      <c r="C8" s="38" t="s">
        <v>401</v>
      </c>
      <c r="D8" s="38" t="s">
        <v>402</v>
      </c>
    </row>
    <row r="9" spans="1:4" ht="16" x14ac:dyDescent="0.2">
      <c r="A9" s="38" t="s">
        <v>403</v>
      </c>
      <c r="B9" s="38" t="s">
        <v>133</v>
      </c>
      <c r="C9" s="38" t="s">
        <v>404</v>
      </c>
      <c r="D9" s="38" t="s">
        <v>405</v>
      </c>
    </row>
    <row r="10" spans="1:4" ht="16" x14ac:dyDescent="0.2">
      <c r="A10" s="38" t="s">
        <v>406</v>
      </c>
      <c r="B10" s="38" t="s">
        <v>137</v>
      </c>
      <c r="C10" s="38" t="s">
        <v>407</v>
      </c>
      <c r="D10" s="38" t="s">
        <v>408</v>
      </c>
    </row>
    <row r="11" spans="1:4" ht="32" x14ac:dyDescent="0.2">
      <c r="A11" s="38" t="s">
        <v>409</v>
      </c>
      <c r="B11" s="38" t="s">
        <v>141</v>
      </c>
      <c r="C11" s="38" t="s">
        <v>410</v>
      </c>
      <c r="D11" s="38" t="s">
        <v>411</v>
      </c>
    </row>
    <row r="12" spans="1:4" ht="32" x14ac:dyDescent="0.2">
      <c r="A12" s="38" t="s">
        <v>412</v>
      </c>
      <c r="B12" s="38" t="s">
        <v>413</v>
      </c>
      <c r="C12" s="38" t="s">
        <v>414</v>
      </c>
      <c r="D12" s="38" t="s">
        <v>415</v>
      </c>
    </row>
    <row r="14" spans="1:4" x14ac:dyDescent="0.2">
      <c r="A14" s="49" t="s">
        <v>416</v>
      </c>
    </row>
    <row r="15" spans="1:4" x14ac:dyDescent="0.2">
      <c r="A15" s="49" t="s">
        <v>417</v>
      </c>
      <c r="B15" s="49" t="s">
        <v>418</v>
      </c>
      <c r="C15" s="49" t="s">
        <v>419</v>
      </c>
      <c r="D15" s="49" t="s">
        <v>154</v>
      </c>
    </row>
    <row r="16" spans="1:4" x14ac:dyDescent="0.2">
      <c r="A16" t="s">
        <v>420</v>
      </c>
      <c r="B16">
        <v>3</v>
      </c>
      <c r="C16" t="s">
        <v>421</v>
      </c>
      <c r="D16" t="s">
        <v>422</v>
      </c>
    </row>
    <row r="17" spans="1:4" x14ac:dyDescent="0.2">
      <c r="A17" t="s">
        <v>423</v>
      </c>
      <c r="B17">
        <v>52</v>
      </c>
      <c r="C17" t="s">
        <v>151</v>
      </c>
      <c r="D17" t="s">
        <v>424</v>
      </c>
    </row>
    <row r="18" spans="1:4" x14ac:dyDescent="0.2">
      <c r="A18" t="s">
        <v>425</v>
      </c>
      <c r="B18">
        <v>18</v>
      </c>
      <c r="C18" t="s">
        <v>426</v>
      </c>
      <c r="D18" t="s">
        <v>427</v>
      </c>
    </row>
    <row r="19" spans="1:4" x14ac:dyDescent="0.2">
      <c r="A19" t="s">
        <v>428</v>
      </c>
      <c r="B19">
        <v>10</v>
      </c>
      <c r="C19" t="s">
        <v>153</v>
      </c>
      <c r="D19" t="s">
        <v>429</v>
      </c>
    </row>
    <row r="20" spans="1:4" x14ac:dyDescent="0.2">
      <c r="A20" t="s">
        <v>430</v>
      </c>
      <c r="B20">
        <v>45</v>
      </c>
      <c r="C20" t="s">
        <v>431</v>
      </c>
      <c r="D20" t="s">
        <v>432</v>
      </c>
    </row>
    <row r="21" spans="1:4" x14ac:dyDescent="0.2">
      <c r="A21" t="s">
        <v>433</v>
      </c>
      <c r="B21">
        <v>2</v>
      </c>
      <c r="C21" t="s">
        <v>434</v>
      </c>
      <c r="D21" t="s">
        <v>435</v>
      </c>
    </row>
    <row r="23" spans="1:4" x14ac:dyDescent="0.2">
      <c r="A23" s="49" t="s">
        <v>436</v>
      </c>
    </row>
    <row r="24" spans="1:4" x14ac:dyDescent="0.2">
      <c r="A24" s="49" t="s">
        <v>385</v>
      </c>
      <c r="B24" s="49" t="s">
        <v>437</v>
      </c>
      <c r="C24" s="49" t="s">
        <v>438</v>
      </c>
      <c r="D24" s="49" t="s">
        <v>251</v>
      </c>
    </row>
    <row r="25" spans="1:4" x14ac:dyDescent="0.2">
      <c r="A25" t="s">
        <v>439</v>
      </c>
      <c r="B25">
        <v>28</v>
      </c>
      <c r="C25" t="s">
        <v>440</v>
      </c>
      <c r="D25" t="s">
        <v>441</v>
      </c>
    </row>
    <row r="26" spans="1:4" x14ac:dyDescent="0.2">
      <c r="A26" t="s">
        <v>368</v>
      </c>
      <c r="B26">
        <v>18</v>
      </c>
      <c r="C26" t="s">
        <v>442</v>
      </c>
      <c r="D26" t="s">
        <v>443</v>
      </c>
    </row>
    <row r="27" spans="1:4" x14ac:dyDescent="0.2">
      <c r="A27" t="s">
        <v>444</v>
      </c>
      <c r="B27">
        <v>18</v>
      </c>
      <c r="C27" t="s">
        <v>445</v>
      </c>
      <c r="D27" t="s">
        <v>446</v>
      </c>
    </row>
    <row r="28" spans="1:4" x14ac:dyDescent="0.2">
      <c r="A28" t="s">
        <v>447</v>
      </c>
      <c r="B28">
        <v>20</v>
      </c>
      <c r="C28" t="s">
        <v>445</v>
      </c>
      <c r="D28" t="s">
        <v>448</v>
      </c>
    </row>
    <row r="29" spans="1:4" x14ac:dyDescent="0.2">
      <c r="A29" t="s">
        <v>449</v>
      </c>
      <c r="B29">
        <v>28</v>
      </c>
      <c r="C29" t="s">
        <v>450</v>
      </c>
      <c r="D29" t="s">
        <v>127</v>
      </c>
    </row>
    <row r="30" spans="1:4" x14ac:dyDescent="0.2">
      <c r="A30" t="s">
        <v>451</v>
      </c>
      <c r="B30">
        <v>9</v>
      </c>
      <c r="C30" t="s">
        <v>452</v>
      </c>
      <c r="D30" t="s">
        <v>453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0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8" width="18" customWidth="1"/>
  </cols>
  <sheetData>
    <row r="1" spans="1:8" ht="24" customHeight="1" x14ac:dyDescent="0.2">
      <c r="A1" s="77" t="s">
        <v>454</v>
      </c>
      <c r="B1" s="77"/>
      <c r="C1" s="77"/>
      <c r="D1" s="77"/>
      <c r="E1" s="77"/>
      <c r="F1" s="77"/>
      <c r="G1" s="77"/>
      <c r="H1" s="77"/>
    </row>
    <row r="2" spans="1:8" ht="9" customHeight="1" x14ac:dyDescent="0.2"/>
    <row r="3" spans="1:8" ht="20" customHeight="1" x14ac:dyDescent="0.2">
      <c r="A3" s="51" t="s">
        <v>455</v>
      </c>
      <c r="B3" s="51" t="s">
        <v>446</v>
      </c>
      <c r="C3" s="51" t="s">
        <v>456</v>
      </c>
      <c r="D3" s="51" t="s">
        <v>251</v>
      </c>
      <c r="E3" s="51" t="s">
        <v>457</v>
      </c>
      <c r="F3" s="51" t="s">
        <v>254</v>
      </c>
    </row>
    <row r="4" spans="1:8" ht="34" customHeight="1" x14ac:dyDescent="0.2">
      <c r="A4" s="50" t="s">
        <v>458</v>
      </c>
      <c r="B4" s="50" t="s">
        <v>459</v>
      </c>
      <c r="C4" s="50" t="s">
        <v>460</v>
      </c>
      <c r="D4" s="50" t="s">
        <v>461</v>
      </c>
      <c r="E4" s="50" t="s">
        <v>462</v>
      </c>
      <c r="F4" s="50" t="s">
        <v>463</v>
      </c>
    </row>
    <row r="5" spans="1:8" ht="34" customHeight="1" x14ac:dyDescent="0.2">
      <c r="A5" s="50" t="s">
        <v>464</v>
      </c>
      <c r="B5" s="50" t="s">
        <v>465</v>
      </c>
      <c r="C5" s="50" t="s">
        <v>466</v>
      </c>
      <c r="D5" s="50" t="s">
        <v>467</v>
      </c>
      <c r="E5" s="50" t="s">
        <v>468</v>
      </c>
      <c r="F5" s="50" t="s">
        <v>469</v>
      </c>
    </row>
    <row r="6" spans="1:8" ht="34" customHeight="1" x14ac:dyDescent="0.2">
      <c r="A6" s="50" t="s">
        <v>470</v>
      </c>
      <c r="B6" s="50" t="s">
        <v>471</v>
      </c>
      <c r="C6" s="50" t="s">
        <v>472</v>
      </c>
      <c r="D6" s="50" t="s">
        <v>473</v>
      </c>
      <c r="E6" s="50" t="s">
        <v>474</v>
      </c>
      <c r="F6" s="50" t="s">
        <v>475</v>
      </c>
    </row>
    <row r="7" spans="1:8" ht="34" customHeight="1" x14ac:dyDescent="0.2">
      <c r="A7" s="50" t="s">
        <v>476</v>
      </c>
      <c r="B7" s="50" t="s">
        <v>477</v>
      </c>
      <c r="C7" s="50" t="s">
        <v>478</v>
      </c>
      <c r="D7" s="50" t="s">
        <v>479</v>
      </c>
      <c r="E7" s="50" t="s">
        <v>480</v>
      </c>
      <c r="F7" s="50" t="s">
        <v>481</v>
      </c>
    </row>
    <row r="8" spans="1:8" ht="34" customHeight="1" x14ac:dyDescent="0.2">
      <c r="A8" s="50" t="s">
        <v>482</v>
      </c>
      <c r="B8" s="50" t="s">
        <v>483</v>
      </c>
      <c r="C8" s="50" t="s">
        <v>484</v>
      </c>
      <c r="D8" s="50" t="s">
        <v>485</v>
      </c>
      <c r="E8" s="50" t="s">
        <v>486</v>
      </c>
      <c r="F8" s="50" t="s">
        <v>487</v>
      </c>
    </row>
    <row r="9" spans="1:8" ht="34" customHeight="1" x14ac:dyDescent="0.2">
      <c r="A9" s="50" t="s">
        <v>488</v>
      </c>
      <c r="B9" s="50" t="s">
        <v>477</v>
      </c>
      <c r="C9" s="50" t="s">
        <v>484</v>
      </c>
      <c r="D9" s="50" t="s">
        <v>489</v>
      </c>
      <c r="E9" s="50" t="s">
        <v>490</v>
      </c>
      <c r="F9" s="50" t="s">
        <v>491</v>
      </c>
    </row>
    <row r="10" spans="1:8" ht="34" customHeight="1" x14ac:dyDescent="0.2">
      <c r="A10" s="50" t="s">
        <v>492</v>
      </c>
      <c r="B10" s="50" t="s">
        <v>493</v>
      </c>
      <c r="C10" s="50" t="s">
        <v>484</v>
      </c>
      <c r="D10" s="50" t="s">
        <v>494</v>
      </c>
      <c r="E10" s="50" t="s">
        <v>495</v>
      </c>
      <c r="F10" s="50" t="s">
        <v>487</v>
      </c>
    </row>
    <row r="11" spans="1:8" ht="34" customHeight="1" x14ac:dyDescent="0.2">
      <c r="A11" s="50" t="s">
        <v>496</v>
      </c>
      <c r="B11" s="50" t="s">
        <v>497</v>
      </c>
      <c r="C11" s="50" t="s">
        <v>484</v>
      </c>
      <c r="D11" s="50" t="s">
        <v>498</v>
      </c>
      <c r="E11" s="50" t="s">
        <v>499</v>
      </c>
      <c r="F11" s="50" t="s">
        <v>500</v>
      </c>
    </row>
    <row r="12" spans="1:8" ht="34" customHeight="1" x14ac:dyDescent="0.2">
      <c r="A12" s="50" t="s">
        <v>501</v>
      </c>
      <c r="B12" s="50" t="s">
        <v>502</v>
      </c>
      <c r="C12" s="50" t="s">
        <v>503</v>
      </c>
      <c r="D12" s="50" t="s">
        <v>504</v>
      </c>
      <c r="E12" s="50" t="s">
        <v>505</v>
      </c>
      <c r="F12" s="50" t="s">
        <v>506</v>
      </c>
    </row>
    <row r="13" spans="1:8" ht="34" customHeight="1" x14ac:dyDescent="0.2">
      <c r="A13" s="50" t="s">
        <v>507</v>
      </c>
      <c r="B13" s="50" t="s">
        <v>508</v>
      </c>
      <c r="C13" s="50" t="s">
        <v>509</v>
      </c>
      <c r="D13" s="50" t="s">
        <v>510</v>
      </c>
      <c r="E13" s="50" t="s">
        <v>511</v>
      </c>
      <c r="F13" s="50" t="s">
        <v>512</v>
      </c>
    </row>
    <row r="14" spans="1:8" ht="34" customHeight="1" x14ac:dyDescent="0.2">
      <c r="A14" s="50" t="s">
        <v>513</v>
      </c>
      <c r="B14" s="50" t="s">
        <v>514</v>
      </c>
      <c r="C14" s="50" t="s">
        <v>515</v>
      </c>
      <c r="D14" s="50" t="s">
        <v>516</v>
      </c>
      <c r="E14" s="50" t="s">
        <v>517</v>
      </c>
      <c r="F14" s="50" t="s">
        <v>518</v>
      </c>
    </row>
    <row r="17" spans="1:8" ht="24" customHeight="1" x14ac:dyDescent="0.2">
      <c r="A17" s="77" t="s">
        <v>519</v>
      </c>
      <c r="B17" s="77"/>
      <c r="C17" s="77"/>
      <c r="D17" s="77"/>
      <c r="E17" s="77"/>
      <c r="F17" s="77"/>
      <c r="G17" s="77"/>
      <c r="H17" s="77"/>
    </row>
    <row r="18" spans="1:8" ht="9" customHeight="1" x14ac:dyDescent="0.2"/>
    <row r="19" spans="1:8" ht="20" customHeight="1" x14ac:dyDescent="0.2">
      <c r="A19" s="51" t="s">
        <v>520</v>
      </c>
      <c r="B19" s="51" t="s">
        <v>420</v>
      </c>
      <c r="C19" s="51" t="s">
        <v>423</v>
      </c>
      <c r="D19" s="51" t="s">
        <v>425</v>
      </c>
      <c r="E19" s="51" t="s">
        <v>428</v>
      </c>
      <c r="F19" s="51" t="s">
        <v>430</v>
      </c>
      <c r="G19" s="51" t="s">
        <v>433</v>
      </c>
      <c r="H19" s="51" t="s">
        <v>154</v>
      </c>
    </row>
    <row r="20" spans="1:8" ht="22" customHeight="1" x14ac:dyDescent="0.2">
      <c r="A20" s="52"/>
      <c r="B20" s="53" t="s">
        <v>521</v>
      </c>
      <c r="C20" s="53" t="s">
        <v>151</v>
      </c>
      <c r="D20" s="54" t="s">
        <v>191</v>
      </c>
      <c r="E20" s="53" t="s">
        <v>153</v>
      </c>
      <c r="F20" s="53" t="s">
        <v>522</v>
      </c>
      <c r="G20" s="53" t="s">
        <v>434</v>
      </c>
      <c r="H20" s="53" t="s">
        <v>523</v>
      </c>
    </row>
  </sheetData>
  <mergeCells count="2">
    <mergeCell ref="A17:H17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5"/>
  <sheetViews>
    <sheetView showGridLines="0" workbookViewId="0">
      <selection sqref="A1:Q1"/>
    </sheetView>
  </sheetViews>
  <sheetFormatPr baseColWidth="10" defaultColWidth="8.83203125" defaultRowHeight="15" x14ac:dyDescent="0.2"/>
  <cols>
    <col min="1" max="1" width="3" customWidth="1"/>
    <col min="2" max="2" width="32" customWidth="1"/>
    <col min="3" max="3" width="14" customWidth="1"/>
    <col min="4" max="4" width="10" customWidth="1"/>
    <col min="5" max="5" width="2" customWidth="1"/>
    <col min="6" max="17" width="9" customWidth="1"/>
  </cols>
  <sheetData>
    <row r="1" spans="1:17" ht="24" customHeight="1" x14ac:dyDescent="0.2">
      <c r="A1" s="77" t="s">
        <v>524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</row>
    <row r="2" spans="1:17" ht="9" customHeight="1" x14ac:dyDescent="0.2"/>
    <row r="3" spans="1:17" ht="20" customHeight="1" x14ac:dyDescent="0.2">
      <c r="A3" s="51" t="s">
        <v>251</v>
      </c>
      <c r="B3" s="51" t="s">
        <v>446</v>
      </c>
      <c r="C3" s="51" t="s">
        <v>525</v>
      </c>
      <c r="D3" s="51" t="s">
        <v>526</v>
      </c>
      <c r="E3" s="51" t="s">
        <v>527</v>
      </c>
      <c r="F3" s="51" t="s">
        <v>253</v>
      </c>
    </row>
    <row r="4" spans="1:17" ht="36" customHeight="1" x14ac:dyDescent="0.2">
      <c r="A4" s="50" t="s">
        <v>528</v>
      </c>
      <c r="B4" s="50" t="s">
        <v>529</v>
      </c>
      <c r="C4" s="50" t="s">
        <v>530</v>
      </c>
      <c r="D4" s="50" t="s">
        <v>531</v>
      </c>
      <c r="E4" s="50" t="s">
        <v>532</v>
      </c>
      <c r="F4" s="50" t="s">
        <v>258</v>
      </c>
    </row>
    <row r="5" spans="1:17" ht="36" customHeight="1" x14ac:dyDescent="0.2">
      <c r="A5" s="50" t="s">
        <v>533</v>
      </c>
      <c r="B5" s="50" t="s">
        <v>534</v>
      </c>
      <c r="C5" s="50" t="s">
        <v>535</v>
      </c>
      <c r="D5" s="50" t="s">
        <v>536</v>
      </c>
      <c r="E5" s="50" t="s">
        <v>537</v>
      </c>
      <c r="F5" s="50" t="s">
        <v>258</v>
      </c>
    </row>
    <row r="6" spans="1:17" ht="36" customHeight="1" x14ac:dyDescent="0.2">
      <c r="A6" s="50" t="s">
        <v>538</v>
      </c>
      <c r="B6" s="50" t="s">
        <v>539</v>
      </c>
      <c r="C6" s="50" t="s">
        <v>540</v>
      </c>
      <c r="D6" s="50" t="s">
        <v>541</v>
      </c>
      <c r="E6" s="50" t="s">
        <v>542</v>
      </c>
      <c r="F6" s="50" t="s">
        <v>258</v>
      </c>
    </row>
    <row r="7" spans="1:17" ht="36" customHeight="1" x14ac:dyDescent="0.2">
      <c r="A7" s="50" t="s">
        <v>543</v>
      </c>
      <c r="B7" s="50" t="s">
        <v>544</v>
      </c>
      <c r="C7" s="50" t="s">
        <v>545</v>
      </c>
      <c r="D7" s="50" t="s">
        <v>546</v>
      </c>
      <c r="E7" s="50" t="s">
        <v>547</v>
      </c>
      <c r="F7" s="50" t="s">
        <v>268</v>
      </c>
    </row>
    <row r="8" spans="1:17" ht="36" customHeight="1" x14ac:dyDescent="0.2">
      <c r="A8" s="50" t="s">
        <v>548</v>
      </c>
      <c r="B8" s="50" t="s">
        <v>549</v>
      </c>
      <c r="C8" s="50" t="s">
        <v>550</v>
      </c>
      <c r="D8" s="50" t="s">
        <v>551</v>
      </c>
      <c r="E8" s="50" t="s">
        <v>552</v>
      </c>
      <c r="F8" s="50" t="s">
        <v>268</v>
      </c>
    </row>
    <row r="9" spans="1:17" ht="36" customHeight="1" x14ac:dyDescent="0.2">
      <c r="A9" s="50" t="s">
        <v>553</v>
      </c>
      <c r="B9" s="50" t="s">
        <v>554</v>
      </c>
      <c r="C9" s="50" t="s">
        <v>555</v>
      </c>
      <c r="D9" s="50" t="s">
        <v>556</v>
      </c>
      <c r="E9" s="50" t="s">
        <v>557</v>
      </c>
      <c r="F9" s="50" t="s">
        <v>288</v>
      </c>
    </row>
    <row r="12" spans="1:17" ht="24" customHeight="1" x14ac:dyDescent="0.2">
      <c r="A12" s="77" t="s">
        <v>558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</row>
    <row r="13" spans="1:17" ht="9" customHeight="1" x14ac:dyDescent="0.2"/>
    <row r="14" spans="1:17" ht="20" customHeight="1" x14ac:dyDescent="0.2">
      <c r="B14" s="55" t="s">
        <v>559</v>
      </c>
      <c r="C14" s="55" t="s">
        <v>153</v>
      </c>
      <c r="D14" s="55" t="s">
        <v>154</v>
      </c>
      <c r="F14" s="56" t="s">
        <v>560</v>
      </c>
      <c r="G14" s="56" t="s">
        <v>561</v>
      </c>
      <c r="H14" s="56" t="s">
        <v>562</v>
      </c>
      <c r="I14" s="56" t="s">
        <v>563</v>
      </c>
      <c r="J14" s="56" t="s">
        <v>564</v>
      </c>
      <c r="K14" s="56" t="s">
        <v>565</v>
      </c>
      <c r="L14" s="56" t="s">
        <v>566</v>
      </c>
      <c r="M14" s="56" t="s">
        <v>567</v>
      </c>
      <c r="N14" s="56" t="s">
        <v>568</v>
      </c>
      <c r="O14" s="56" t="s">
        <v>569</v>
      </c>
      <c r="P14" s="56" t="s">
        <v>570</v>
      </c>
      <c r="Q14" s="56" t="s">
        <v>571</v>
      </c>
    </row>
    <row r="15" spans="1:17" ht="18" customHeight="1" x14ac:dyDescent="0.2">
      <c r="B15" s="57" t="s">
        <v>572</v>
      </c>
      <c r="C15" s="57" t="s">
        <v>157</v>
      </c>
      <c r="D15" s="57"/>
      <c r="F15" s="58">
        <v>0</v>
      </c>
      <c r="G15" s="58">
        <v>0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</row>
  </sheetData>
  <mergeCells count="2">
    <mergeCell ref="A1:Q1"/>
    <mergeCell ref="A12:Q1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"/>
  <sheetViews>
    <sheetView workbookViewId="0">
      <selection sqref="A1:H1"/>
    </sheetView>
  </sheetViews>
  <sheetFormatPr baseColWidth="10" defaultColWidth="8.83203125" defaultRowHeight="15" x14ac:dyDescent="0.2"/>
  <cols>
    <col min="1" max="2" width="22" customWidth="1"/>
    <col min="3" max="3" width="18" customWidth="1"/>
    <col min="4" max="5" width="16" customWidth="1"/>
    <col min="6" max="7" width="18" customWidth="1"/>
    <col min="8" max="8" width="22" customWidth="1"/>
  </cols>
  <sheetData>
    <row r="1" spans="1:8" ht="28" customHeight="1" x14ac:dyDescent="0.2">
      <c r="A1" s="77" t="s">
        <v>573</v>
      </c>
      <c r="B1" s="60"/>
      <c r="C1" s="60"/>
      <c r="D1" s="60"/>
      <c r="E1" s="60"/>
      <c r="F1" s="60"/>
      <c r="G1" s="60"/>
      <c r="H1" s="60"/>
    </row>
    <row r="2" spans="1:8" ht="36" customHeight="1" x14ac:dyDescent="0.2">
      <c r="A2" s="79" t="s">
        <v>574</v>
      </c>
      <c r="B2" s="60"/>
      <c r="C2" s="60"/>
      <c r="D2" s="60"/>
      <c r="E2" s="60"/>
      <c r="F2" s="60"/>
      <c r="G2" s="60"/>
      <c r="H2" s="60"/>
    </row>
    <row r="4" spans="1:8" ht="20" customHeight="1" x14ac:dyDescent="0.2">
      <c r="A4" s="47" t="s">
        <v>385</v>
      </c>
      <c r="B4" s="47" t="s">
        <v>575</v>
      </c>
      <c r="C4" s="47" t="s">
        <v>150</v>
      </c>
      <c r="D4" s="47" t="s">
        <v>576</v>
      </c>
      <c r="E4" s="47" t="s">
        <v>577</v>
      </c>
      <c r="F4" s="47" t="s">
        <v>578</v>
      </c>
      <c r="G4" s="47" t="s">
        <v>56</v>
      </c>
      <c r="H4" s="47" t="s">
        <v>579</v>
      </c>
    </row>
    <row r="5" spans="1:8" ht="36" customHeight="1" x14ac:dyDescent="0.2">
      <c r="A5" s="48" t="s">
        <v>580</v>
      </c>
      <c r="B5" s="48" t="s">
        <v>581</v>
      </c>
      <c r="C5" s="48" t="s">
        <v>582</v>
      </c>
      <c r="D5" s="48" t="s">
        <v>583</v>
      </c>
      <c r="E5" s="48" t="s">
        <v>584</v>
      </c>
      <c r="F5" s="48" t="s">
        <v>585</v>
      </c>
      <c r="G5" s="48" t="s">
        <v>586</v>
      </c>
      <c r="H5" s="48" t="s">
        <v>587</v>
      </c>
    </row>
    <row r="6" spans="1:8" ht="36" customHeight="1" x14ac:dyDescent="0.2">
      <c r="A6" s="48" t="s">
        <v>588</v>
      </c>
      <c r="B6" s="48" t="s">
        <v>589</v>
      </c>
      <c r="C6" s="48" t="s">
        <v>590</v>
      </c>
      <c r="D6" s="48" t="s">
        <v>583</v>
      </c>
      <c r="E6" s="48" t="s">
        <v>591</v>
      </c>
      <c r="F6" s="48" t="s">
        <v>585</v>
      </c>
      <c r="G6" s="48" t="s">
        <v>592</v>
      </c>
      <c r="H6" s="48" t="s">
        <v>593</v>
      </c>
    </row>
    <row r="7" spans="1:8" ht="36" customHeight="1" x14ac:dyDescent="0.2">
      <c r="A7" s="48" t="s">
        <v>594</v>
      </c>
      <c r="B7" s="48" t="s">
        <v>595</v>
      </c>
      <c r="C7" s="48" t="s">
        <v>596</v>
      </c>
      <c r="D7" s="48" t="s">
        <v>597</v>
      </c>
      <c r="E7" s="48" t="s">
        <v>598</v>
      </c>
      <c r="F7" s="48" t="s">
        <v>585</v>
      </c>
      <c r="G7" s="48" t="s">
        <v>599</v>
      </c>
      <c r="H7" s="48" t="s">
        <v>600</v>
      </c>
    </row>
    <row r="8" spans="1:8" ht="36" customHeight="1" x14ac:dyDescent="0.2">
      <c r="A8" s="48" t="s">
        <v>601</v>
      </c>
      <c r="B8" s="48" t="s">
        <v>602</v>
      </c>
      <c r="C8" s="48" t="s">
        <v>603</v>
      </c>
      <c r="D8" s="48" t="s">
        <v>604</v>
      </c>
      <c r="E8" s="48" t="s">
        <v>605</v>
      </c>
      <c r="F8" s="48" t="s">
        <v>606</v>
      </c>
      <c r="G8" s="48" t="s">
        <v>607</v>
      </c>
      <c r="H8" s="48" t="s">
        <v>608</v>
      </c>
    </row>
    <row r="9" spans="1:8" ht="36" customHeight="1" x14ac:dyDescent="0.2">
      <c r="A9" s="48" t="s">
        <v>609</v>
      </c>
      <c r="B9" s="48" t="s">
        <v>131</v>
      </c>
      <c r="C9" s="48" t="s">
        <v>610</v>
      </c>
      <c r="D9" s="48" t="s">
        <v>604</v>
      </c>
      <c r="E9" s="48" t="s">
        <v>611</v>
      </c>
      <c r="F9" s="48" t="s">
        <v>612</v>
      </c>
      <c r="G9" s="48" t="s">
        <v>613</v>
      </c>
      <c r="H9" s="48" t="s">
        <v>614</v>
      </c>
    </row>
    <row r="10" spans="1:8" ht="36" customHeight="1" x14ac:dyDescent="0.2">
      <c r="A10" s="48" t="s">
        <v>615</v>
      </c>
      <c r="B10" s="48" t="s">
        <v>135</v>
      </c>
      <c r="C10" s="48" t="s">
        <v>616</v>
      </c>
      <c r="D10" s="48" t="s">
        <v>617</v>
      </c>
      <c r="E10" s="48" t="s">
        <v>618</v>
      </c>
      <c r="F10" s="48" t="s">
        <v>619</v>
      </c>
      <c r="G10" s="48" t="s">
        <v>613</v>
      </c>
      <c r="H10" s="48" t="s">
        <v>620</v>
      </c>
    </row>
    <row r="11" spans="1:8" ht="36" customHeight="1" x14ac:dyDescent="0.2">
      <c r="A11" s="48" t="s">
        <v>153</v>
      </c>
      <c r="B11" s="48" t="s">
        <v>139</v>
      </c>
      <c r="C11" s="48" t="s">
        <v>621</v>
      </c>
      <c r="D11" s="48" t="s">
        <v>604</v>
      </c>
      <c r="E11" s="48" t="s">
        <v>611</v>
      </c>
      <c r="F11" s="48" t="s">
        <v>612</v>
      </c>
      <c r="G11" s="48" t="s">
        <v>613</v>
      </c>
      <c r="H11" s="48" t="s">
        <v>622</v>
      </c>
    </row>
    <row r="12" spans="1:8" ht="36" customHeight="1" x14ac:dyDescent="0.2">
      <c r="A12" s="48" t="s">
        <v>522</v>
      </c>
      <c r="B12" s="48" t="s">
        <v>143</v>
      </c>
      <c r="C12" s="48" t="s">
        <v>623</v>
      </c>
      <c r="D12" s="48" t="s">
        <v>604</v>
      </c>
      <c r="E12" s="48" t="s">
        <v>624</v>
      </c>
      <c r="F12" s="48" t="s">
        <v>625</v>
      </c>
      <c r="G12" s="48" t="s">
        <v>613</v>
      </c>
      <c r="H12" s="48" t="s">
        <v>626</v>
      </c>
    </row>
    <row r="13" spans="1:8" ht="36" customHeight="1" x14ac:dyDescent="0.2">
      <c r="A13" s="48" t="s">
        <v>627</v>
      </c>
      <c r="B13" s="48" t="s">
        <v>628</v>
      </c>
      <c r="C13" s="48" t="s">
        <v>629</v>
      </c>
      <c r="D13" s="48" t="s">
        <v>630</v>
      </c>
      <c r="E13" s="48" t="s">
        <v>631</v>
      </c>
      <c r="F13" s="48" t="s">
        <v>612</v>
      </c>
      <c r="G13" s="48" t="s">
        <v>632</v>
      </c>
      <c r="H13" s="48" t="s">
        <v>633</v>
      </c>
    </row>
    <row r="14" spans="1:8" ht="36" customHeight="1" x14ac:dyDescent="0.2">
      <c r="A14" s="48" t="s">
        <v>634</v>
      </c>
      <c r="B14" s="48" t="s">
        <v>635</v>
      </c>
      <c r="C14" s="48" t="s">
        <v>636</v>
      </c>
      <c r="D14" s="48" t="s">
        <v>637</v>
      </c>
      <c r="E14" s="48" t="s">
        <v>638</v>
      </c>
      <c r="F14" s="48" t="s">
        <v>639</v>
      </c>
      <c r="G14" s="48" t="s">
        <v>640</v>
      </c>
      <c r="H14" s="48" t="s">
        <v>641</v>
      </c>
    </row>
    <row r="15" spans="1:8" ht="36" customHeight="1" x14ac:dyDescent="0.2">
      <c r="A15" s="48" t="s">
        <v>364</v>
      </c>
      <c r="B15" s="48" t="s">
        <v>642</v>
      </c>
      <c r="C15" s="48" t="s">
        <v>643</v>
      </c>
      <c r="D15" s="48" t="s">
        <v>604</v>
      </c>
      <c r="E15" s="48" t="s">
        <v>644</v>
      </c>
      <c r="F15" s="48" t="s">
        <v>645</v>
      </c>
      <c r="G15" s="48" t="s">
        <v>646</v>
      </c>
      <c r="H15" s="48" t="s">
        <v>647</v>
      </c>
    </row>
    <row r="16" spans="1:8" ht="36" customHeight="1" x14ac:dyDescent="0.2">
      <c r="A16" s="48" t="s">
        <v>648</v>
      </c>
      <c r="B16" s="48" t="s">
        <v>649</v>
      </c>
      <c r="C16" s="48" t="s">
        <v>650</v>
      </c>
      <c r="D16" s="48" t="s">
        <v>651</v>
      </c>
      <c r="E16" s="48" t="s">
        <v>605</v>
      </c>
      <c r="F16" s="48" t="s">
        <v>652</v>
      </c>
      <c r="G16" s="48" t="s">
        <v>653</v>
      </c>
      <c r="H16" s="48" t="s">
        <v>654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"/>
  <sheetViews>
    <sheetView workbookViewId="0"/>
  </sheetViews>
  <sheetFormatPr baseColWidth="10" defaultColWidth="8.83203125" defaultRowHeight="15" x14ac:dyDescent="0.2"/>
  <cols>
    <col min="1" max="1" width="28" customWidth="1"/>
    <col min="2" max="2" width="34" customWidth="1"/>
    <col min="3" max="3" width="28" customWidth="1"/>
    <col min="4" max="4" width="36" customWidth="1"/>
  </cols>
  <sheetData>
    <row r="1" spans="1:4" ht="22" customHeight="1" x14ac:dyDescent="0.2">
      <c r="A1" s="38" t="s">
        <v>655</v>
      </c>
    </row>
    <row r="3" spans="1:4" ht="16" x14ac:dyDescent="0.2">
      <c r="A3" s="38" t="s">
        <v>656</v>
      </c>
      <c r="B3" s="38" t="s">
        <v>657</v>
      </c>
      <c r="C3" s="38" t="s">
        <v>226</v>
      </c>
      <c r="D3" s="38" t="s">
        <v>658</v>
      </c>
    </row>
    <row r="4" spans="1:4" ht="32" x14ac:dyDescent="0.2">
      <c r="A4" s="38" t="s">
        <v>659</v>
      </c>
      <c r="B4" s="38" t="s">
        <v>660</v>
      </c>
      <c r="C4" s="38" t="s">
        <v>661</v>
      </c>
      <c r="D4" s="38" t="s">
        <v>662</v>
      </c>
    </row>
    <row r="5" spans="1:4" ht="16" x14ac:dyDescent="0.2">
      <c r="A5" s="38" t="s">
        <v>663</v>
      </c>
      <c r="B5" s="38" t="s">
        <v>664</v>
      </c>
      <c r="C5" s="38" t="s">
        <v>665</v>
      </c>
      <c r="D5" s="38" t="s">
        <v>666</v>
      </c>
    </row>
    <row r="6" spans="1:4" ht="32" x14ac:dyDescent="0.2">
      <c r="A6" s="38" t="s">
        <v>667</v>
      </c>
      <c r="B6" s="38" t="s">
        <v>668</v>
      </c>
      <c r="C6" s="38" t="s">
        <v>669</v>
      </c>
      <c r="D6" s="38" t="s">
        <v>670</v>
      </c>
    </row>
    <row r="7" spans="1:4" ht="16" x14ac:dyDescent="0.2">
      <c r="A7" s="38" t="s">
        <v>671</v>
      </c>
      <c r="B7" s="38" t="s">
        <v>672</v>
      </c>
      <c r="C7" s="38" t="s">
        <v>673</v>
      </c>
      <c r="D7" s="38" t="s">
        <v>674</v>
      </c>
    </row>
    <row r="8" spans="1:4" ht="16" x14ac:dyDescent="0.2">
      <c r="A8" s="38" t="s">
        <v>675</v>
      </c>
      <c r="B8" s="38" t="s">
        <v>676</v>
      </c>
      <c r="C8" s="38" t="s">
        <v>677</v>
      </c>
      <c r="D8" s="38" t="s">
        <v>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Design_Tokens</vt:lpstr>
      <vt:lpstr>Styles_Katalog</vt:lpstr>
      <vt:lpstr>Number_Formats</vt:lpstr>
      <vt:lpstr>Layout_Patterns</vt:lpstr>
      <vt:lpstr>Inputs_Block_Template</vt:lpstr>
      <vt:lpstr>QA_Checklist</vt:lpstr>
      <vt:lpstr>Lint_Rules</vt:lpstr>
      <vt:lpstr>Agent_Skill_Prompt</vt:lpstr>
      <vt:lpstr>Mini_Example_Model</vt:lpstr>
      <vt:lpstr>IB_Borders_Rules</vt:lpstr>
      <vt:lpstr>IB_Sizing_Rules</vt:lpstr>
      <vt:lpstr>IB_Spacing_Grid_Rules</vt:lpstr>
      <vt:lpstr>IB_TimeSeries_Rules</vt:lpstr>
      <vt:lpstr>Inputs_Layout_Spec</vt:lpstr>
      <vt:lpstr>IB_Hide_Show_Rules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Jonatan Larsen Koefoed</cp:lastModifiedBy>
  <dcterms:created xsi:type="dcterms:W3CDTF">2026-02-15T20:07:43Z</dcterms:created>
  <dcterms:modified xsi:type="dcterms:W3CDTF">2026-02-15T20:40:14Z</dcterms:modified>
</cp:coreProperties>
</file>